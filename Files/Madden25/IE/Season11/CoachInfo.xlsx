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32" documentId="8_{7439F5F4-0550-416B-BC1B-7000694EB110}" xr6:coauthVersionLast="47" xr6:coauthVersionMax="47" xr10:uidLastSave="{D64651BC-F6CA-45EC-A320-6D6D8E70489F}"/>
  <bookViews>
    <workbookView xWindow="14295" yWindow="0" windowWidth="14610" windowHeight="15585" xr2:uid="{726F127D-2287-4B7B-8DF5-1D5CE77D8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  <c r="Q44" i="1"/>
  <c r="M44" i="1"/>
  <c r="H44" i="1"/>
  <c r="Q43" i="1"/>
  <c r="M43" i="1"/>
  <c r="H43" i="1"/>
  <c r="Q42" i="1"/>
  <c r="M42" i="1"/>
  <c r="H42" i="1"/>
  <c r="Q41" i="1"/>
  <c r="M41" i="1"/>
  <c r="H41" i="1"/>
  <c r="Q40" i="1"/>
  <c r="M40" i="1"/>
  <c r="H40" i="1"/>
  <c r="B41" i="1" l="1"/>
  <c r="B44" i="1"/>
  <c r="B40" i="1"/>
  <c r="B43" i="1"/>
  <c r="B42" i="1"/>
  <c r="A41" i="1"/>
  <c r="A44" i="1"/>
  <c r="A40" i="1"/>
  <c r="A43" i="1"/>
  <c r="A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<sst xmlns="http://schemas.openxmlformats.org/spreadsheetml/2006/main" count="258" uniqueCount="162">
  <si>
    <t>Team</t>
  </si>
  <si>
    <t>TeamIndex</t>
  </si>
  <si>
    <t>Off/Def</t>
  </si>
  <si>
    <t>Coach</t>
  </si>
  <si>
    <t>Years as HC</t>
  </si>
  <si>
    <t>Years Left</t>
  </si>
  <si>
    <t>.</t>
  </si>
  <si>
    <t>OC</t>
  </si>
  <si>
    <t>Years as OC</t>
  </si>
  <si>
    <t>OC Tier</t>
  </si>
  <si>
    <t>HC Candidate</t>
  </si>
  <si>
    <t>DC</t>
  </si>
  <si>
    <t>Years as DC</t>
  </si>
  <si>
    <t>DC Tier</t>
  </si>
  <si>
    <t>Bills</t>
  </si>
  <si>
    <t>OFF</t>
  </si>
  <si>
    <t>Joe Brady</t>
  </si>
  <si>
    <t>x</t>
  </si>
  <si>
    <t>Dolphins</t>
  </si>
  <si>
    <t>DEF</t>
  </si>
  <si>
    <t>Jeff Hafley</t>
  </si>
  <si>
    <t>Bobby Slowik</t>
  </si>
  <si>
    <t>Sean Duggan</t>
  </si>
  <si>
    <t>Patriots</t>
  </si>
  <si>
    <t>Jets</t>
  </si>
  <si>
    <t>Davis Webb</t>
  </si>
  <si>
    <t>Ravens</t>
  </si>
  <si>
    <t>Jesse Minter</t>
  </si>
  <si>
    <t>Declan Doyle</t>
  </si>
  <si>
    <t>Anthony Weaver</t>
  </si>
  <si>
    <t>Bengals</t>
  </si>
  <si>
    <t>Zac Taylor</t>
  </si>
  <si>
    <t>Browns</t>
  </si>
  <si>
    <t>Mike Rutenberg</t>
  </si>
  <si>
    <t>Steelers</t>
  </si>
  <si>
    <t>Texans</t>
  </si>
  <si>
    <t>Zac Robinson</t>
  </si>
  <si>
    <t>Matt Burke</t>
  </si>
  <si>
    <t>Colts</t>
  </si>
  <si>
    <t>Jaguars</t>
  </si>
  <si>
    <t>Liam Coen</t>
  </si>
  <si>
    <t>Grant Udinski</t>
  </si>
  <si>
    <t>Titans</t>
  </si>
  <si>
    <t>Robert Saleh</t>
  </si>
  <si>
    <t>Broncos</t>
  </si>
  <si>
    <t>Chiefs</t>
  </si>
  <si>
    <t>Chargers</t>
  </si>
  <si>
    <t>Raiders</t>
  </si>
  <si>
    <t>Klint Kubiak</t>
  </si>
  <si>
    <t>Andrew Janocko</t>
  </si>
  <si>
    <t>Cowboys</t>
  </si>
  <si>
    <t>Christian Parker</t>
  </si>
  <si>
    <t>Giants</t>
  </si>
  <si>
    <t>Dennard Wilson</t>
  </si>
  <si>
    <t>Eagles</t>
  </si>
  <si>
    <t>Anthony Campanile</t>
  </si>
  <si>
    <t>Commanders</t>
  </si>
  <si>
    <t>Dan Quinn</t>
  </si>
  <si>
    <t>Bears</t>
  </si>
  <si>
    <t>Ben Johnson</t>
  </si>
  <si>
    <t>Lions</t>
  </si>
  <si>
    <t>Packers</t>
  </si>
  <si>
    <t>Matt LaFleur</t>
  </si>
  <si>
    <t>Jonathan Gannon</t>
  </si>
  <si>
    <t>Vikings</t>
  </si>
  <si>
    <t>Kevin O'Connell</t>
  </si>
  <si>
    <t>Chris Kuper</t>
  </si>
  <si>
    <t>Falcons</t>
  </si>
  <si>
    <t>Jeff Ulbrich</t>
  </si>
  <si>
    <t>Panthers</t>
  </si>
  <si>
    <t>Dave Canales</t>
  </si>
  <si>
    <t>Saints</t>
  </si>
  <si>
    <t>Dan Pitcher</t>
  </si>
  <si>
    <t>Buccaneers</t>
  </si>
  <si>
    <t>Cardinals</t>
  </si>
  <si>
    <t>Mike LaFleur</t>
  </si>
  <si>
    <t>Bo Hardegree</t>
  </si>
  <si>
    <t>Rams</t>
  </si>
  <si>
    <t>Nate Scheelhaase</t>
  </si>
  <si>
    <t>Seahawks</t>
  </si>
  <si>
    <t>Mike Macdonald</t>
  </si>
  <si>
    <t>Brian Fleury</t>
  </si>
  <si>
    <t>Aden Durde</t>
  </si>
  <si>
    <t>49ers</t>
  </si>
  <si>
    <t>Kyle Shanahan</t>
  </si>
  <si>
    <t>Raheem Morris</t>
  </si>
  <si>
    <t>OFF Tier</t>
  </si>
  <si>
    <t>DEF Tier</t>
  </si>
  <si>
    <t>OFF/DEF Tier</t>
  </si>
  <si>
    <t>HC contract lengths usually 5 years (sometimes only 4), extensions usually 3+</t>
  </si>
  <si>
    <t>AFC</t>
  </si>
  <si>
    <t>NFC</t>
  </si>
  <si>
    <t>Free Agents</t>
  </si>
  <si>
    <t>Includes this year</t>
  </si>
  <si>
    <t>Most coordinators under 5 years with same team</t>
  </si>
  <si>
    <t>Most coordinators under 4 years with same team</t>
  </si>
  <si>
    <t>1 means last year</t>
  </si>
  <si>
    <t>League wide should be ~2 on average</t>
  </si>
  <si>
    <t>Tier 1</t>
  </si>
  <si>
    <t>Tier 2</t>
  </si>
  <si>
    <t>Tier 3</t>
  </si>
  <si>
    <t>Tier 4</t>
  </si>
  <si>
    <t>Tier 5</t>
  </si>
  <si>
    <t>Ben Ellefson</t>
  </si>
  <si>
    <t>Marquand Manuel</t>
  </si>
  <si>
    <t>Ryan Walters</t>
  </si>
  <si>
    <t>Tom Manning</t>
  </si>
  <si>
    <t>Michael Hodges</t>
  </si>
  <si>
    <t>Tanner Engstrand</t>
  </si>
  <si>
    <t>Danny Breyer</t>
  </si>
  <si>
    <t>Dan Lanning</t>
  </si>
  <si>
    <t>Kliff Kingsbury</t>
  </si>
  <si>
    <t>Donald D'Alesio</t>
  </si>
  <si>
    <t>Mack Brown</t>
  </si>
  <si>
    <t>Chris Marve</t>
  </si>
  <si>
    <t>Spencer Whipple</t>
  </si>
  <si>
    <t>Justin Outten</t>
  </si>
  <si>
    <t>Joe Lombardi</t>
  </si>
  <si>
    <t>John Van Dam</t>
  </si>
  <si>
    <t>Frisman Jackson</t>
  </si>
  <si>
    <t>Zachary Orr</t>
  </si>
  <si>
    <t>Jim Bob Cooter</t>
  </si>
  <si>
    <t>Israel Woolfork</t>
  </si>
  <si>
    <t>Parks Frazier</t>
  </si>
  <si>
    <t>Chris Harris</t>
  </si>
  <si>
    <t>Chris O'Hara</t>
  </si>
  <si>
    <t>Ross Douglas</t>
  </si>
  <si>
    <t>Frank Smith</t>
  </si>
  <si>
    <t>Larry Foote</t>
  </si>
  <si>
    <t>Marcus Freeman</t>
  </si>
  <si>
    <t>Ryan Downard</t>
  </si>
  <si>
    <t>Ronnie Regula</t>
  </si>
  <si>
    <t>Joe Coniglio</t>
  </si>
  <si>
    <t>Josh McCown</t>
  </si>
  <si>
    <t>Arthur Smith</t>
  </si>
  <si>
    <t>Al Washington</t>
  </si>
  <si>
    <t>Cam Turner</t>
  </si>
  <si>
    <t>Joe Kasper</t>
  </si>
  <si>
    <t>Jake Peetz</t>
  </si>
  <si>
    <t>Ephraim Banda</t>
  </si>
  <si>
    <t>Chris Kiffin</t>
  </si>
  <si>
    <t>Shea Tierney</t>
  </si>
  <si>
    <t>Brandon Lynch</t>
  </si>
  <si>
    <t>Shane Bowen</t>
  </si>
  <si>
    <t>Scott McCurley</t>
  </si>
  <si>
    <t>Kevin Carberry</t>
  </si>
  <si>
    <t>Demeco Ryans</t>
  </si>
  <si>
    <t>Dino Vasso</t>
  </si>
  <si>
    <t>Shane Steichen</t>
  </si>
  <si>
    <t>Kellen Moore</t>
  </si>
  <si>
    <t>Dylan Roney</t>
  </si>
  <si>
    <t>Drew Terrell</t>
  </si>
  <si>
    <t>JT Barrett</t>
  </si>
  <si>
    <t>Jay Valai</t>
  </si>
  <si>
    <t>Kevin Stefanski</t>
  </si>
  <si>
    <t>Jim Dray</t>
  </si>
  <si>
    <t>Dan Campbell</t>
  </si>
  <si>
    <t>Ejiro Evero</t>
  </si>
  <si>
    <t>Jordan Kovacs</t>
  </si>
  <si>
    <t>Mike McDaniel</t>
  </si>
  <si>
    <t>Brad Kragthorpe</t>
  </si>
  <si>
    <t>Brad Idzik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</si>
</sst>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FCAB-1572-4736-B5A7-BB8877141E0F}">
  <dimension ref="A1:AB44"/>
  <sheetViews>
    <sheetView tabSelected="1" workbookViewId="0"/>
  </sheetViews>
  <sheetFormatPr defaultRowHeight="15" x14ac:dyDescent="0.25"/>
  <cols>
    <col min="1" max="1" width="8.28515625" bestFit="1" customWidth="1"/>
    <col min="2" max="2" width="8.42578125" bestFit="1" customWidth="1"/>
    <col min="3" max="3" width="12.85546875" bestFit="1" customWidth="1"/>
    <col min="4" max="4" width="10.85546875" bestFit="1" customWidth="1"/>
    <col min="5" max="5" width="7.85546875" bestFit="1" customWidth="1"/>
    <col min="6" max="6" width="20.140625" bestFit="1" customWidth="1"/>
    <col min="7" max="7" width="11.7109375" bestFit="1" customWidth="1"/>
    <col min="8" max="8" width="12.5703125" bestFit="1" customWidth="1"/>
    <col min="9" max="9" width="10" bestFit="1" customWidth="1"/>
    <col min="10" max="10" width="1.5703125" bestFit="1" customWidth="1"/>
    <col min="11" max="11" width="17.42578125" bestFit="1" customWidth="1"/>
    <col min="12" max="12" width="11.7109375" bestFit="1" customWidth="1"/>
    <col min="13" max="13" width="7.7109375" bestFit="1" customWidth="1"/>
    <col min="14" max="14" width="13.7109375" bestFit="1" customWidth="1"/>
    <col min="15" max="15" width="17.5703125" bestFit="1" customWidth="1"/>
    <col min="16" max="16" width="11.7109375" bestFit="1" customWidth="1"/>
    <col min="17" max="17" width="7.7109375" bestFit="1" customWidth="1"/>
    <col min="18" max="18" width="13.7109375" bestFit="1" customWidth="1"/>
  </cols>
  <sheetData>
    <row r="1" spans="1:28" x14ac:dyDescent="0.25">
      <c r="A1" s="1" t="s">
        <v>86</v>
      </c>
      <c r="B1" s="1" t="s">
        <v>87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88</v>
      </c>
      <c r="I1" s="1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10</v>
      </c>
      <c r="S1" s="2"/>
      <c r="T1" s="3"/>
      <c r="U1" s="3"/>
      <c r="V1" s="6" t="s">
        <v>89</v>
      </c>
      <c r="W1" s="6"/>
      <c r="X1" s="6"/>
      <c r="Y1" s="6"/>
      <c r="Z1" s="6"/>
      <c r="AA1" s="6"/>
      <c r="AB1" s="6"/>
    </row>
    <row r="2" spans="1:28" x14ac:dyDescent="0.25">
      <c r="A2" s="3" cm="1">
        <f t="array" ref="A2">ROUND(_xlfn.IFS(E2="OFF",(H2*4+M2)/5,E2="DEF",M2,E2="ST",M2),0)</f>
        <v>4</v>
      </c>
      <c r="B2" s="3" cm="1">
        <f t="array" ref="B2">ROUND(_xlfn.IFS(E2="DEF",(H2*4+Q2)/5,E2="OFF",Q2,E2="ST",Q2),0)</f>
        <v>4</v>
      </c>
      <c r="C2" s="3" t="s">
        <v>14</v>
      </c>
      <c r="D2" s="3">
        <v>2</v>
      </c>
      <c r="E2" s="3" t="s">
        <v>19</v>
      </c>
      <c r="F2" s="3" t="s">
        <v>82</v>
      </c>
      <c r="G2" s="3">
        <v>1</v>
      </c>
      <c r="H2" s="3">
        <v>4</v>
      </c>
      <c r="I2" s="3">
        <v>5</v>
      </c>
      <c r="J2" s="3"/>
      <c r="K2" s="3" t="s">
        <v>134</v>
      </c>
      <c r="L2" s="3">
        <v>1</v>
      </c>
      <c r="M2" s="3">
        <v>4</v>
      </c>
      <c r="N2" s="3"/>
      <c r="O2" s="3" t="s">
        <v>143</v>
      </c>
      <c r="P2" s="3">
        <v>1</v>
      </c>
      <c r="Q2" s="3">
        <v>5</v>
      </c>
      <c r="R2" s="3"/>
      <c r="S2" s="3"/>
      <c r="T2" s="3"/>
      <c r="U2" s="3"/>
      <c r="V2" s="4">
        <v>14</v>
      </c>
      <c r="W2" s="3" t="s">
        <v>83</v>
      </c>
      <c r="X2" s="3"/>
      <c r="Y2" s="3"/>
      <c r="Z2" s="3"/>
      <c r="AA2" s="3"/>
      <c r="AB2" s="3"/>
    </row>
    <row r="3" spans="1:28" x14ac:dyDescent="0.25">
      <c r="A3" s="3" cm="1">
        <f t="array" ref="A3">ROUND(_xlfn.IFS(E3="OFF",(H3*4+M3)/5,E3="DEF",M3,E3="ST",M3),0)</f>
        <v>2</v>
      </c>
      <c r="B3" s="3" cm="1">
        <f t="array" ref="B3">ROUND(_xlfn.IFS(E3="DEF",(H3*4+Q3)/5,E3="OFF",Q3,E3="ST",Q3),0)</f>
        <v>3</v>
      </c>
      <c r="C3" s="3" t="s">
        <v>18</v>
      </c>
      <c r="D3" s="3">
        <v>11</v>
      </c>
      <c r="E3" s="3" t="s">
        <v>15</v>
      </c>
      <c r="F3" s="3" t="s">
        <v>65</v>
      </c>
      <c r="G3" s="3">
        <v>3</v>
      </c>
      <c r="H3" s="3">
        <v>2</v>
      </c>
      <c r="I3" s="3">
        <v>3</v>
      </c>
      <c r="J3" s="3"/>
      <c r="K3" s="3" t="s">
        <v>103</v>
      </c>
      <c r="L3" s="3">
        <v>3</v>
      </c>
      <c r="M3" s="3">
        <v>3</v>
      </c>
      <c r="N3" s="3" t="s">
        <v>17</v>
      </c>
      <c r="O3" s="3" t="s">
        <v>104</v>
      </c>
      <c r="P3" s="3">
        <v>5</v>
      </c>
      <c r="Q3" s="3">
        <v>3</v>
      </c>
      <c r="R3" s="3"/>
      <c r="S3" s="3"/>
      <c r="T3" s="3"/>
      <c r="U3" s="3"/>
      <c r="V3" s="4">
        <v>0</v>
      </c>
      <c r="W3" s="3" t="s">
        <v>58</v>
      </c>
      <c r="X3" s="3"/>
      <c r="Y3" s="3"/>
      <c r="Z3" s="3"/>
      <c r="AA3" s="3"/>
      <c r="AB3" s="3"/>
    </row>
    <row r="4" spans="1:28" x14ac:dyDescent="0.25">
      <c r="A4" s="3" cm="1">
        <f t="array" ref="A4">ROUND(_xlfn.IFS(E4="OFF",(H4*4+M4)/5,E4="DEF",M4,E4="ST",M4),0)</f>
        <v>3</v>
      </c>
      <c r="B4" s="3" cm="1">
        <f t="array" ref="B4">ROUND(_xlfn.IFS(E4="DEF",(H4*4+Q4)/5,E4="OFF",Q4,E4="ST",Q4),0)</f>
        <v>3</v>
      </c>
      <c r="C4" s="3" t="s">
        <v>23</v>
      </c>
      <c r="D4" s="3">
        <v>21</v>
      </c>
      <c r="E4" s="3" t="s">
        <v>19</v>
      </c>
      <c r="F4" s="3" t="s">
        <v>105</v>
      </c>
      <c r="G4" s="3">
        <v>2</v>
      </c>
      <c r="H4" s="3">
        <v>3</v>
      </c>
      <c r="I4" s="3">
        <v>4</v>
      </c>
      <c r="J4" s="3"/>
      <c r="K4" s="3" t="s">
        <v>106</v>
      </c>
      <c r="L4" s="3">
        <v>2</v>
      </c>
      <c r="M4" s="3">
        <v>3</v>
      </c>
      <c r="N4" s="3" t="s">
        <v>17</v>
      </c>
      <c r="O4" s="3" t="s">
        <v>144</v>
      </c>
      <c r="P4" s="3">
        <v>1</v>
      </c>
      <c r="Q4" s="3">
        <v>3</v>
      </c>
      <c r="R4" s="3"/>
      <c r="S4" s="3"/>
      <c r="T4" s="3"/>
      <c r="U4" s="3"/>
      <c r="V4" s="4">
        <v>1</v>
      </c>
      <c r="W4" s="3" t="s">
        <v>30</v>
      </c>
      <c r="X4" s="3"/>
      <c r="Y4" s="3"/>
      <c r="Z4" s="3"/>
      <c r="AA4" s="3"/>
      <c r="AB4" s="3"/>
    </row>
    <row r="5" spans="1:28" x14ac:dyDescent="0.25">
      <c r="A5" s="3" cm="1">
        <f t="array" ref="A5">ROUND(_xlfn.IFS(E5="OFF",(H5*4+M5)/5,E5="DEF",M5,E5="ST",M5),0)</f>
        <v>3</v>
      </c>
      <c r="B5" s="3" cm="1">
        <f t="array" ref="B5">ROUND(_xlfn.IFS(E5="DEF",(H5*4+Q5)/5,E5="OFF",Q5,E5="ST",Q5),0)</f>
        <v>2</v>
      </c>
      <c r="C5" s="3" t="s">
        <v>24</v>
      </c>
      <c r="D5" s="3">
        <v>17</v>
      </c>
      <c r="E5" s="3" t="s">
        <v>15</v>
      </c>
      <c r="F5" s="3" t="s">
        <v>41</v>
      </c>
      <c r="G5" s="3">
        <v>1</v>
      </c>
      <c r="H5" s="3">
        <v>3</v>
      </c>
      <c r="I5" s="3">
        <v>5</v>
      </c>
      <c r="J5" s="3"/>
      <c r="K5" s="3" t="s">
        <v>145</v>
      </c>
      <c r="L5" s="3">
        <v>1</v>
      </c>
      <c r="M5" s="3">
        <v>3</v>
      </c>
      <c r="N5" s="3"/>
      <c r="O5" s="3" t="s">
        <v>146</v>
      </c>
      <c r="P5" s="3">
        <v>1</v>
      </c>
      <c r="Q5" s="3">
        <v>2</v>
      </c>
      <c r="R5" s="3"/>
      <c r="S5" s="3"/>
      <c r="T5" s="3"/>
      <c r="U5" s="3"/>
      <c r="V5" s="4">
        <v>2</v>
      </c>
      <c r="W5" s="3" t="s">
        <v>14</v>
      </c>
      <c r="X5" s="3"/>
      <c r="Y5" s="3"/>
      <c r="Z5" s="3"/>
      <c r="AA5" s="3"/>
      <c r="AB5" s="3"/>
    </row>
    <row r="6" spans="1:28" x14ac:dyDescent="0.25">
      <c r="A6" s="3" cm="1">
        <f t="array" ref="A6">ROUND(_xlfn.IFS(E6="OFF",(H6*4+M6)/5,E6="DEF",M6,E6="ST",M6),0)</f>
        <v>5</v>
      </c>
      <c r="B6" s="3" cm="1">
        <f t="array" ref="B6">ROUND(_xlfn.IFS(E6="DEF",(H6*4+Q6)/5,E6="OFF",Q6,E6="ST",Q6),0)</f>
        <v>4</v>
      </c>
      <c r="C6" s="3" t="s">
        <v>26</v>
      </c>
      <c r="D6" s="3">
        <v>24</v>
      </c>
      <c r="E6" s="3" t="s">
        <v>19</v>
      </c>
      <c r="F6" s="3" t="s">
        <v>51</v>
      </c>
      <c r="G6" s="3">
        <v>3</v>
      </c>
      <c r="H6" s="3">
        <v>4</v>
      </c>
      <c r="I6" s="3">
        <v>3</v>
      </c>
      <c r="J6" s="3"/>
      <c r="K6" s="3" t="s">
        <v>109</v>
      </c>
      <c r="L6" s="3">
        <v>3</v>
      </c>
      <c r="M6" s="3">
        <v>5</v>
      </c>
      <c r="N6" s="3"/>
      <c r="O6" s="3" t="s">
        <v>85</v>
      </c>
      <c r="P6" s="3">
        <v>3</v>
      </c>
      <c r="Q6" s="3">
        <v>3</v>
      </c>
      <c r="R6" s="3"/>
      <c r="S6" s="3"/>
      <c r="T6" s="3"/>
      <c r="U6" s="3"/>
      <c r="V6" s="4">
        <v>3</v>
      </c>
      <c r="W6" s="3" t="s">
        <v>44</v>
      </c>
      <c r="X6" s="3"/>
      <c r="Y6" s="3"/>
      <c r="Z6" s="3"/>
      <c r="AA6" s="3"/>
      <c r="AB6" s="3"/>
    </row>
    <row r="7" spans="1:28" x14ac:dyDescent="0.25">
      <c r="A7" s="3" cm="1">
        <f t="array" ref="A7">ROUND(_xlfn.IFS(E7="OFF",(H7*4+M7)/5,E7="DEF",M7,E7="ST",M7),0)</f>
        <v>4</v>
      </c>
      <c r="B7" s="3" cm="1">
        <f t="array" ref="B7">ROUND(_xlfn.IFS(E7="DEF",(H7*4+Q7)/5,E7="OFF",Q7,E7="ST",Q7),0)</f>
        <v>4</v>
      </c>
      <c r="C7" s="3" t="s">
        <v>30</v>
      </c>
      <c r="D7" s="3">
        <v>1</v>
      </c>
      <c r="E7" s="3" t="s">
        <v>15</v>
      </c>
      <c r="F7" s="3" t="s">
        <v>21</v>
      </c>
      <c r="G7" s="3">
        <v>6</v>
      </c>
      <c r="H7" s="3">
        <v>4</v>
      </c>
      <c r="I7" s="3">
        <v>3</v>
      </c>
      <c r="J7" s="3"/>
      <c r="K7" s="3" t="s">
        <v>76</v>
      </c>
      <c r="L7" s="3">
        <v>2</v>
      </c>
      <c r="M7" s="3">
        <v>2</v>
      </c>
      <c r="N7" s="3" t="s">
        <v>17</v>
      </c>
      <c r="O7" s="3" t="s">
        <v>147</v>
      </c>
      <c r="P7" s="3">
        <v>1</v>
      </c>
      <c r="Q7" s="3">
        <v>4</v>
      </c>
      <c r="R7" s="3"/>
      <c r="S7" s="3"/>
      <c r="T7" s="3"/>
      <c r="U7" s="3"/>
      <c r="V7" s="4">
        <v>4</v>
      </c>
      <c r="W7" s="3" t="s">
        <v>32</v>
      </c>
      <c r="X7" s="3"/>
      <c r="Y7" s="3"/>
      <c r="Z7" s="3"/>
      <c r="AA7" s="3"/>
      <c r="AB7" s="3"/>
    </row>
    <row r="8" spans="1:28" x14ac:dyDescent="0.25">
      <c r="A8" s="3" cm="1">
        <f t="array" ref="A8">ROUND(_xlfn.IFS(E8="OFF",(H8*4+M8)/5,E8="DEF",M8,E8="ST",M8),0)</f>
        <v>2</v>
      </c>
      <c r="B8" s="3" cm="1">
        <f t="array" ref="B8">ROUND(_xlfn.IFS(E8="DEF",(H8*4+Q8)/5,E8="OFF",Q8,E8="ST",Q8),0)</f>
        <v>2</v>
      </c>
      <c r="C8" s="3" t="s">
        <v>32</v>
      </c>
      <c r="D8" s="3">
        <v>4</v>
      </c>
      <c r="E8" s="3" t="s">
        <v>19</v>
      </c>
      <c r="F8" s="3" t="s">
        <v>110</v>
      </c>
      <c r="G8" s="3">
        <v>6</v>
      </c>
      <c r="H8" s="3">
        <v>2</v>
      </c>
      <c r="I8" s="3">
        <v>3</v>
      </c>
      <c r="J8" s="3"/>
      <c r="K8" s="3" t="s">
        <v>148</v>
      </c>
      <c r="L8" s="3">
        <v>1</v>
      </c>
      <c r="M8" s="3">
        <v>2</v>
      </c>
      <c r="N8" s="3"/>
      <c r="O8" s="3" t="s">
        <v>112</v>
      </c>
      <c r="P8" s="3">
        <v>2</v>
      </c>
      <c r="Q8" s="3">
        <v>3</v>
      </c>
      <c r="R8" s="3" t="s">
        <v>17</v>
      </c>
      <c r="S8" s="3"/>
      <c r="T8" s="3"/>
      <c r="U8" s="3"/>
      <c r="V8" s="4">
        <v>5</v>
      </c>
      <c r="W8" s="3" t="s">
        <v>73</v>
      </c>
      <c r="X8" s="3"/>
      <c r="Y8" s="3"/>
      <c r="Z8" s="3"/>
      <c r="AA8" s="3"/>
      <c r="AB8" s="3"/>
    </row>
    <row r="9" spans="1:28" x14ac:dyDescent="0.25">
      <c r="A9" s="3" cm="1">
        <f t="array" ref="A9">ROUND(_xlfn.IFS(E9="OFF",(H9*4+M9)/5,E9="DEF",M9,E9="ST",M9),0)</f>
        <v>3</v>
      </c>
      <c r="B9" s="3" cm="1">
        <f t="array" ref="B9">ROUND(_xlfn.IFS(E9="DEF",(H9*4+Q9)/5,E9="OFF",Q9,E9="ST",Q9),0)</f>
        <v>3</v>
      </c>
      <c r="C9" s="3" t="s">
        <v>34</v>
      </c>
      <c r="D9" s="3">
        <v>28</v>
      </c>
      <c r="E9" s="3" t="s">
        <v>19</v>
      </c>
      <c r="F9" s="3" t="s">
        <v>33</v>
      </c>
      <c r="G9" s="3">
        <v>4</v>
      </c>
      <c r="H9" s="3">
        <v>3</v>
      </c>
      <c r="I9" s="3">
        <v>2</v>
      </c>
      <c r="J9" s="3"/>
      <c r="K9" s="3" t="s">
        <v>113</v>
      </c>
      <c r="L9" s="3">
        <v>2</v>
      </c>
      <c r="M9" s="3">
        <v>3</v>
      </c>
      <c r="N9" s="3"/>
      <c r="O9" s="3" t="s">
        <v>114</v>
      </c>
      <c r="P9" s="3">
        <v>4</v>
      </c>
      <c r="Q9" s="3">
        <v>3</v>
      </c>
      <c r="R9" s="3"/>
      <c r="S9" s="3"/>
      <c r="T9" s="3"/>
      <c r="U9" s="3"/>
      <c r="V9" s="4">
        <v>6</v>
      </c>
      <c r="W9" s="3" t="s">
        <v>74</v>
      </c>
      <c r="X9" s="3"/>
      <c r="Y9" s="3"/>
      <c r="Z9" s="3"/>
      <c r="AA9" s="3"/>
      <c r="AB9" s="3"/>
    </row>
    <row r="10" spans="1:28" x14ac:dyDescent="0.25">
      <c r="A10" s="3" cm="1">
        <f t="array" ref="A10">ROUND(_xlfn.IFS(E10="OFF",(H10*4+M10)/5,E10="DEF",M10,E10="ST",M10),0)</f>
        <v>3</v>
      </c>
      <c r="B10" s="3" cm="1">
        <f t="array" ref="B10">ROUND(_xlfn.IFS(E10="DEF",(H10*4+Q10)/5,E10="OFF",Q10,E10="ST",Q10),0)</f>
        <v>3</v>
      </c>
      <c r="C10" s="3" t="s">
        <v>35</v>
      </c>
      <c r="D10" s="3">
        <v>31</v>
      </c>
      <c r="E10" s="3" t="s">
        <v>15</v>
      </c>
      <c r="F10" s="3" t="s">
        <v>115</v>
      </c>
      <c r="G10" s="3">
        <v>3</v>
      </c>
      <c r="H10" s="3">
        <v>3</v>
      </c>
      <c r="I10" s="3">
        <v>3</v>
      </c>
      <c r="J10" s="3"/>
      <c r="K10" s="3" t="s">
        <v>149</v>
      </c>
      <c r="L10" s="3">
        <v>1</v>
      </c>
      <c r="M10" s="3">
        <v>3</v>
      </c>
      <c r="N10" s="3"/>
      <c r="O10" s="3" t="s">
        <v>150</v>
      </c>
      <c r="P10" s="3">
        <v>1</v>
      </c>
      <c r="Q10" s="3">
        <v>3</v>
      </c>
      <c r="R10" s="3"/>
      <c r="S10" s="3"/>
      <c r="T10" s="3"/>
      <c r="U10" s="3"/>
      <c r="V10" s="4">
        <v>32</v>
      </c>
      <c r="W10" s="3" t="s">
        <v>90</v>
      </c>
      <c r="X10" s="3"/>
      <c r="Y10" s="3"/>
      <c r="Z10" s="3"/>
      <c r="AA10" s="3"/>
      <c r="AB10" s="3"/>
    </row>
    <row r="11" spans="1:28" x14ac:dyDescent="0.25">
      <c r="A11" s="3" cm="1">
        <f t="array" ref="A11">ROUND(_xlfn.IFS(E11="OFF",(H11*4+M11)/5,E11="DEF",M11,E11="ST",M11),0)</f>
        <v>3</v>
      </c>
      <c r="B11" s="3" cm="1">
        <f t="array" ref="B11">ROUND(_xlfn.IFS(E11="DEF",(H11*4+Q11)/5,E11="OFF",Q11,E11="ST",Q11),0)</f>
        <v>3</v>
      </c>
      <c r="C11" s="3" t="s">
        <v>38</v>
      </c>
      <c r="D11" s="3">
        <v>9</v>
      </c>
      <c r="E11" s="3" t="s">
        <v>15</v>
      </c>
      <c r="F11" s="3" t="s">
        <v>116</v>
      </c>
      <c r="G11" s="3">
        <v>2</v>
      </c>
      <c r="H11" s="3">
        <v>3</v>
      </c>
      <c r="I11" s="3">
        <v>4</v>
      </c>
      <c r="J11" s="3"/>
      <c r="K11" s="3" t="s">
        <v>117</v>
      </c>
      <c r="L11" s="3">
        <v>4</v>
      </c>
      <c r="M11" s="3">
        <v>5</v>
      </c>
      <c r="N11" s="3"/>
      <c r="O11" s="3" t="s">
        <v>29</v>
      </c>
      <c r="P11" s="3">
        <v>1</v>
      </c>
      <c r="Q11" s="3">
        <v>3</v>
      </c>
      <c r="R11" s="3"/>
      <c r="S11" s="3"/>
      <c r="T11" s="3"/>
      <c r="U11" s="3"/>
      <c r="V11" s="4">
        <v>32</v>
      </c>
      <c r="W11" s="3" t="s">
        <v>91</v>
      </c>
      <c r="X11" s="3"/>
      <c r="Y11" s="3"/>
      <c r="Z11" s="3"/>
      <c r="AA11" s="3"/>
      <c r="AB11" s="3"/>
    </row>
    <row r="12" spans="1:28" x14ac:dyDescent="0.25">
      <c r="A12" s="3" cm="1">
        <f t="array" ref="A12">ROUND(_xlfn.IFS(E12="OFF",(H12*4+M12)/5,E12="DEF",M12,E12="ST",M12),0)</f>
        <v>3</v>
      </c>
      <c r="B12" s="3" cm="1">
        <f t="array" ref="B12">ROUND(_xlfn.IFS(E12="DEF",(H12*4+Q12)/5,E12="OFF",Q12,E12="ST",Q12),0)</f>
        <v>2</v>
      </c>
      <c r="C12" s="3" t="s">
        <v>39</v>
      </c>
      <c r="D12" s="3">
        <v>16</v>
      </c>
      <c r="E12" s="3" t="s">
        <v>15</v>
      </c>
      <c r="F12" s="3" t="s">
        <v>118</v>
      </c>
      <c r="G12" s="3">
        <v>3</v>
      </c>
      <c r="H12" s="3">
        <v>3</v>
      </c>
      <c r="I12" s="3">
        <v>3</v>
      </c>
      <c r="J12" s="3"/>
      <c r="K12" s="3" t="s">
        <v>119</v>
      </c>
      <c r="L12" s="3">
        <v>3</v>
      </c>
      <c r="M12" s="3">
        <v>3</v>
      </c>
      <c r="N12" s="3"/>
      <c r="O12" s="3" t="s">
        <v>120</v>
      </c>
      <c r="P12" s="3">
        <v>3</v>
      </c>
      <c r="Q12" s="3">
        <v>2</v>
      </c>
      <c r="R12" s="3"/>
      <c r="S12" s="3"/>
      <c r="T12" s="3"/>
      <c r="U12" s="3"/>
      <c r="V12" s="4">
        <v>7</v>
      </c>
      <c r="W12" s="3" t="s">
        <v>46</v>
      </c>
      <c r="X12" s="3"/>
      <c r="Y12" s="3"/>
      <c r="Z12" s="3"/>
      <c r="AA12" s="3"/>
      <c r="AB12" s="3"/>
    </row>
    <row r="13" spans="1:28" x14ac:dyDescent="0.25">
      <c r="A13" s="3" cm="1">
        <f t="array" ref="A13">ROUND(_xlfn.IFS(E13="OFF",(H13*4+M13)/5,E13="DEF",M13,E13="ST",M13),0)</f>
        <v>3</v>
      </c>
      <c r="B13" s="3" cm="1">
        <f t="array" ref="B13">ROUND(_xlfn.IFS(E13="DEF",(H13*4+Q13)/5,E13="OFF",Q13,E13="ST",Q13),0)</f>
        <v>3</v>
      </c>
      <c r="C13" s="3" t="s">
        <v>42</v>
      </c>
      <c r="D13" s="3">
        <v>29</v>
      </c>
      <c r="E13" s="3" t="s">
        <v>15</v>
      </c>
      <c r="F13" s="3" t="s">
        <v>122</v>
      </c>
      <c r="G13" s="3">
        <v>1</v>
      </c>
      <c r="H13" s="3">
        <v>3</v>
      </c>
      <c r="I13" s="3">
        <v>5</v>
      </c>
      <c r="J13" s="3"/>
      <c r="K13" s="3" t="s">
        <v>151</v>
      </c>
      <c r="L13" s="3">
        <v>1</v>
      </c>
      <c r="M13" s="3">
        <v>3</v>
      </c>
      <c r="N13" s="3"/>
      <c r="O13" s="3" t="s">
        <v>63</v>
      </c>
      <c r="P13" s="3">
        <v>1</v>
      </c>
      <c r="Q13" s="3">
        <v>3</v>
      </c>
      <c r="R13" s="3"/>
      <c r="S13" s="3"/>
      <c r="T13" s="3"/>
      <c r="U13" s="3"/>
      <c r="V13" s="4">
        <v>8</v>
      </c>
      <c r="W13" s="3" t="s">
        <v>45</v>
      </c>
      <c r="X13" s="3"/>
      <c r="Y13" s="3"/>
      <c r="Z13" s="3"/>
      <c r="AA13" s="3"/>
      <c r="AB13" s="3"/>
    </row>
    <row r="14" spans="1:28" x14ac:dyDescent="0.25">
      <c r="A14" s="3" cm="1">
        <f t="array" ref="A14">ROUND(_xlfn.IFS(E14="OFF",(H14*4+M14)/5,E14="DEF",M14,E14="ST",M14),0)</f>
        <v>2</v>
      </c>
      <c r="B14" s="3" cm="1">
        <f t="array" ref="B14">ROUND(_xlfn.IFS(E14="DEF",(H14*4+Q14)/5,E14="OFF",Q14,E14="ST",Q14),0)</f>
        <v>1</v>
      </c>
      <c r="C14" s="3" t="s">
        <v>44</v>
      </c>
      <c r="D14" s="3">
        <v>3</v>
      </c>
      <c r="E14" s="3" t="s">
        <v>15</v>
      </c>
      <c r="F14" s="3" t="s">
        <v>28</v>
      </c>
      <c r="G14" s="3">
        <v>5</v>
      </c>
      <c r="H14" s="3">
        <v>2</v>
      </c>
      <c r="I14" s="3">
        <v>4</v>
      </c>
      <c r="J14" s="3"/>
      <c r="K14" s="3" t="s">
        <v>152</v>
      </c>
      <c r="L14" s="3">
        <v>1</v>
      </c>
      <c r="M14" s="3">
        <v>4</v>
      </c>
      <c r="N14" s="3"/>
      <c r="O14" s="3" t="s">
        <v>27</v>
      </c>
      <c r="P14" s="3">
        <v>3</v>
      </c>
      <c r="Q14" s="3">
        <v>1</v>
      </c>
      <c r="R14" s="3" t="s">
        <v>17</v>
      </c>
      <c r="S14" s="3"/>
      <c r="T14" s="3"/>
      <c r="U14" s="3"/>
      <c r="V14" s="4">
        <v>9</v>
      </c>
      <c r="W14" s="3" t="s">
        <v>38</v>
      </c>
      <c r="X14" s="3"/>
      <c r="Y14" s="3"/>
      <c r="Z14" s="3"/>
      <c r="AA14" s="3"/>
      <c r="AB14" s="3"/>
    </row>
    <row r="15" spans="1:28" x14ac:dyDescent="0.25">
      <c r="A15" s="3" cm="1">
        <f t="array" ref="A15">ROUND(_xlfn.IFS(E15="OFF",(H15*4+M15)/5,E15="DEF",M15,E15="ST",M15),0)</f>
        <v>3</v>
      </c>
      <c r="B15" s="3" cm="1">
        <f t="array" ref="B15">ROUND(_xlfn.IFS(E15="DEF",(H15*4+Q15)/5,E15="OFF",Q15,E15="ST",Q15),0)</f>
        <v>3</v>
      </c>
      <c r="C15" s="3" t="s">
        <v>45</v>
      </c>
      <c r="D15" s="3">
        <v>8</v>
      </c>
      <c r="E15" s="3" t="s">
        <v>15</v>
      </c>
      <c r="F15" s="3" t="s">
        <v>25</v>
      </c>
      <c r="G15" s="3">
        <v>5</v>
      </c>
      <c r="H15" s="3">
        <v>3</v>
      </c>
      <c r="I15" s="3">
        <v>1</v>
      </c>
      <c r="J15" s="3"/>
      <c r="K15" s="3" t="s">
        <v>138</v>
      </c>
      <c r="L15" s="3">
        <v>1</v>
      </c>
      <c r="M15" s="3">
        <v>5</v>
      </c>
      <c r="N15" s="3"/>
      <c r="O15" s="3" t="s">
        <v>37</v>
      </c>
      <c r="P15" s="3">
        <v>1</v>
      </c>
      <c r="Q15" s="3">
        <v>3</v>
      </c>
      <c r="R15" s="3"/>
      <c r="S15" s="3"/>
      <c r="T15" s="3"/>
      <c r="U15" s="3"/>
      <c r="V15" s="4">
        <v>25</v>
      </c>
      <c r="W15" s="3" t="s">
        <v>56</v>
      </c>
      <c r="X15" s="3"/>
      <c r="Y15" s="3"/>
      <c r="Z15" s="3"/>
      <c r="AA15" s="3"/>
      <c r="AB15" s="3"/>
    </row>
    <row r="16" spans="1:28" x14ac:dyDescent="0.25">
      <c r="A16" s="3" cm="1">
        <f t="array" ref="A16">ROUND(_xlfn.IFS(E16="OFF",(H16*4+M16)/5,E16="DEF",M16,E16="ST",M16),0)</f>
        <v>2</v>
      </c>
      <c r="B16" s="3" cm="1">
        <f t="array" ref="B16">ROUND(_xlfn.IFS(E16="DEF",(H16*4+Q16)/5,E16="OFF",Q16,E16="ST",Q16),0)</f>
        <v>3</v>
      </c>
      <c r="C16" s="3" t="s">
        <v>46</v>
      </c>
      <c r="D16" s="3">
        <v>7</v>
      </c>
      <c r="E16" s="3" t="s">
        <v>15</v>
      </c>
      <c r="F16" s="3" t="s">
        <v>62</v>
      </c>
      <c r="G16" s="3">
        <v>2</v>
      </c>
      <c r="H16" s="3">
        <v>2</v>
      </c>
      <c r="I16" s="3">
        <v>4</v>
      </c>
      <c r="J16" s="3"/>
      <c r="K16" s="3" t="s">
        <v>123</v>
      </c>
      <c r="L16" s="3">
        <v>2</v>
      </c>
      <c r="M16" s="3">
        <v>1</v>
      </c>
      <c r="N16" s="3" t="s">
        <v>17</v>
      </c>
      <c r="O16" s="3" t="s">
        <v>124</v>
      </c>
      <c r="P16" s="3">
        <v>4</v>
      </c>
      <c r="Q16" s="3">
        <v>3</v>
      </c>
      <c r="R16" s="3" t="s">
        <v>17</v>
      </c>
      <c r="S16" s="3"/>
      <c r="T16" s="3"/>
      <c r="U16" s="3"/>
      <c r="V16" s="4">
        <v>10</v>
      </c>
      <c r="W16" s="3" t="s">
        <v>50</v>
      </c>
      <c r="X16" s="3"/>
      <c r="Y16" s="3"/>
      <c r="Z16" s="3"/>
      <c r="AA16" s="3"/>
      <c r="AB16" s="3"/>
    </row>
    <row r="17" spans="1:28" x14ac:dyDescent="0.25">
      <c r="A17" s="3" cm="1">
        <f t="array" ref="A17">ROUND(_xlfn.IFS(E17="OFF",(H17*4+M17)/5,E17="DEF",M17,E17="ST",M17),0)</f>
        <v>2</v>
      </c>
      <c r="B17" s="3" cm="1">
        <f t="array" ref="B17">ROUND(_xlfn.IFS(E17="DEF",(H17*4+Q17)/5,E17="OFF",Q17,E17="ST",Q17),0)</f>
        <v>1</v>
      </c>
      <c r="C17" s="3" t="s">
        <v>47</v>
      </c>
      <c r="D17" s="3">
        <v>22</v>
      </c>
      <c r="E17" s="3" t="s">
        <v>19</v>
      </c>
      <c r="F17" s="3" t="s">
        <v>80</v>
      </c>
      <c r="G17" s="3">
        <v>3</v>
      </c>
      <c r="H17" s="3">
        <v>1</v>
      </c>
      <c r="I17" s="3">
        <v>3</v>
      </c>
      <c r="J17" s="3"/>
      <c r="K17" s="3" t="s">
        <v>31</v>
      </c>
      <c r="L17" s="3">
        <v>3</v>
      </c>
      <c r="M17" s="3">
        <v>2</v>
      </c>
      <c r="N17" s="3"/>
      <c r="O17" s="3" t="s">
        <v>22</v>
      </c>
      <c r="P17" s="3">
        <v>3</v>
      </c>
      <c r="Q17" s="3">
        <v>3</v>
      </c>
      <c r="R17" s="3" t="s">
        <v>17</v>
      </c>
      <c r="S17" s="3"/>
      <c r="T17" s="3"/>
      <c r="U17" s="3"/>
      <c r="V17" s="4">
        <v>11</v>
      </c>
      <c r="W17" s="3" t="s">
        <v>18</v>
      </c>
      <c r="X17" s="3"/>
      <c r="Y17" s="3"/>
      <c r="Z17" s="3"/>
      <c r="AA17" s="3"/>
      <c r="AB17" s="3"/>
    </row>
    <row r="18" spans="1:28" x14ac:dyDescent="0.25">
      <c r="A18" s="3" cm="1">
        <f t="array" ref="A18">ROUND(_xlfn.IFS(E18="OFF",(H18*4+M18)/5,E18="DEF",M18,E18="ST",M18),0)</f>
        <v>3</v>
      </c>
      <c r="B18" s="3" cm="1">
        <f t="array" ref="B18">ROUND(_xlfn.IFS(E18="DEF",(H18*4+Q18)/5,E18="OFF",Q18,E18="ST",Q18),0)</f>
        <v>3</v>
      </c>
      <c r="C18" s="3" t="s">
        <v>50</v>
      </c>
      <c r="D18" s="3">
        <v>10</v>
      </c>
      <c r="E18" s="3" t="s">
        <v>15</v>
      </c>
      <c r="F18" s="3" t="s">
        <v>125</v>
      </c>
      <c r="G18" s="3">
        <v>2</v>
      </c>
      <c r="H18" s="3">
        <v>3</v>
      </c>
      <c r="I18" s="3">
        <v>4</v>
      </c>
      <c r="J18" s="3"/>
      <c r="K18" s="3" t="s">
        <v>126</v>
      </c>
      <c r="L18" s="3">
        <v>2</v>
      </c>
      <c r="M18" s="3">
        <v>3</v>
      </c>
      <c r="N18" s="3"/>
      <c r="O18" s="3" t="s">
        <v>53</v>
      </c>
      <c r="P18" s="3">
        <v>2</v>
      </c>
      <c r="Q18" s="3">
        <v>3</v>
      </c>
      <c r="R18" s="3" t="s">
        <v>17</v>
      </c>
      <c r="S18" s="3"/>
      <c r="T18" s="3"/>
      <c r="U18" s="3"/>
      <c r="V18" s="4">
        <v>12</v>
      </c>
      <c r="W18" s="3" t="s">
        <v>54</v>
      </c>
      <c r="X18" s="3"/>
      <c r="Y18" s="3"/>
      <c r="Z18" s="3"/>
      <c r="AA18" s="3"/>
      <c r="AB18" s="3"/>
    </row>
    <row r="19" spans="1:28" x14ac:dyDescent="0.25">
      <c r="A19" s="3" cm="1">
        <f t="array" ref="A19">ROUND(_xlfn.IFS(E19="OFF",(H19*4+M19)/5,E19="DEF",M19,E19="ST",M19),0)</f>
        <v>3</v>
      </c>
      <c r="B19" s="3" cm="1">
        <f t="array" ref="B19">ROUND(_xlfn.IFS(E19="DEF",(H19*4+Q19)/5,E19="OFF",Q19,E19="ST",Q19),0)</f>
        <v>2</v>
      </c>
      <c r="C19" s="3" t="s">
        <v>52</v>
      </c>
      <c r="D19" s="3">
        <v>15</v>
      </c>
      <c r="E19" s="3" t="s">
        <v>15</v>
      </c>
      <c r="F19" s="3" t="s">
        <v>127</v>
      </c>
      <c r="G19" s="3">
        <v>11</v>
      </c>
      <c r="H19" s="3">
        <v>3</v>
      </c>
      <c r="I19" s="3">
        <v>4</v>
      </c>
      <c r="J19" s="3"/>
      <c r="K19" s="3" t="s">
        <v>72</v>
      </c>
      <c r="L19" s="3">
        <v>3</v>
      </c>
      <c r="M19" s="3">
        <v>3</v>
      </c>
      <c r="N19" s="3"/>
      <c r="O19" s="3" t="s">
        <v>57</v>
      </c>
      <c r="P19" s="3">
        <v>1</v>
      </c>
      <c r="Q19" s="3">
        <v>2</v>
      </c>
      <c r="R19" s="3"/>
      <c r="S19" s="3"/>
      <c r="T19" s="3"/>
      <c r="U19" s="3"/>
      <c r="V19" s="4">
        <v>13</v>
      </c>
      <c r="W19" s="3" t="s">
        <v>67</v>
      </c>
      <c r="X19" s="3"/>
      <c r="Y19" s="3"/>
      <c r="Z19" s="3"/>
      <c r="AA19" s="3"/>
      <c r="AB19" s="3"/>
    </row>
    <row r="20" spans="1:28" x14ac:dyDescent="0.25">
      <c r="A20" s="3" cm="1">
        <f t="array" ref="A20">ROUND(_xlfn.IFS(E20="OFF",(H20*4+M20)/5,E20="DEF",M20,E20="ST",M20),0)</f>
        <v>1</v>
      </c>
      <c r="B20" s="3" cm="1">
        <f t="array" ref="B20">ROUND(_xlfn.IFS(E20="DEF",(H20*4+Q20)/5,E20="OFF",Q20,E20="ST",Q20),0)</f>
        <v>2</v>
      </c>
      <c r="C20" s="3" t="s">
        <v>54</v>
      </c>
      <c r="D20" s="3">
        <v>12</v>
      </c>
      <c r="E20" s="3" t="s">
        <v>19</v>
      </c>
      <c r="F20" s="3" t="s">
        <v>128</v>
      </c>
      <c r="G20" s="3">
        <v>6</v>
      </c>
      <c r="H20" s="3">
        <v>2</v>
      </c>
      <c r="I20" s="3">
        <v>3</v>
      </c>
      <c r="J20" s="3"/>
      <c r="K20" s="3" t="s">
        <v>78</v>
      </c>
      <c r="L20" s="3">
        <v>1</v>
      </c>
      <c r="M20" s="3">
        <v>1</v>
      </c>
      <c r="N20" s="3" t="s">
        <v>17</v>
      </c>
      <c r="O20" s="3" t="s">
        <v>153</v>
      </c>
      <c r="P20" s="3">
        <v>1</v>
      </c>
      <c r="Q20" s="3">
        <v>3</v>
      </c>
      <c r="R20" s="3"/>
      <c r="S20" s="3"/>
      <c r="T20" s="3"/>
      <c r="U20" s="3"/>
      <c r="V20" s="4">
        <v>32</v>
      </c>
      <c r="W20" s="3" t="s">
        <v>92</v>
      </c>
      <c r="X20" s="3"/>
      <c r="Y20" s="3"/>
      <c r="Z20" s="3"/>
      <c r="AA20" s="3"/>
      <c r="AB20" s="3"/>
    </row>
    <row r="21" spans="1:28" x14ac:dyDescent="0.25">
      <c r="A21" s="3" cm="1">
        <f t="array" ref="A21">ROUND(_xlfn.IFS(E21="OFF",(H21*4+M21)/5,E21="DEF",M21,E21="ST",M21),0)</f>
        <v>3</v>
      </c>
      <c r="B21" s="3" cm="1">
        <f t="array" ref="B21">ROUND(_xlfn.IFS(E21="DEF",(H21*4+Q21)/5,E21="OFF",Q21,E21="ST",Q21),0)</f>
        <v>5</v>
      </c>
      <c r="C21" s="3" t="s">
        <v>56</v>
      </c>
      <c r="D21" s="3">
        <v>25</v>
      </c>
      <c r="E21" s="3" t="s">
        <v>19</v>
      </c>
      <c r="F21" s="3" t="s">
        <v>129</v>
      </c>
      <c r="G21" s="3">
        <v>2</v>
      </c>
      <c r="H21" s="3">
        <v>5</v>
      </c>
      <c r="I21" s="3">
        <v>4</v>
      </c>
      <c r="J21" s="3"/>
      <c r="K21" s="3" t="s">
        <v>154</v>
      </c>
      <c r="L21" s="3">
        <v>1</v>
      </c>
      <c r="M21" s="3">
        <v>3</v>
      </c>
      <c r="N21" s="3"/>
      <c r="O21" s="3" t="s">
        <v>130</v>
      </c>
      <c r="P21" s="3">
        <v>2</v>
      </c>
      <c r="Q21" s="3">
        <v>5</v>
      </c>
      <c r="R21" s="3"/>
      <c r="S21" s="3"/>
      <c r="T21" s="3"/>
      <c r="U21" s="3"/>
      <c r="V21" s="4">
        <v>15</v>
      </c>
      <c r="W21" s="3" t="s">
        <v>52</v>
      </c>
      <c r="X21" s="3"/>
      <c r="Y21" s="3"/>
      <c r="Z21" s="3"/>
      <c r="AA21" s="3"/>
      <c r="AB21" s="3"/>
    </row>
    <row r="22" spans="1:28" x14ac:dyDescent="0.25">
      <c r="A22" s="3" cm="1">
        <f t="array" ref="A22">ROUND(_xlfn.IFS(E22="OFF",(H22*4+M22)/5,E22="DEF",M22,E22="ST",M22),0)</f>
        <v>1</v>
      </c>
      <c r="B22" s="3" cm="1">
        <f t="array" ref="B22">ROUND(_xlfn.IFS(E22="DEF",(H22*4+Q22)/5,E22="OFF",Q22,E22="ST",Q22),0)</f>
        <v>4</v>
      </c>
      <c r="C22" s="3" t="s">
        <v>58</v>
      </c>
      <c r="D22" s="3">
        <v>0</v>
      </c>
      <c r="E22" s="3" t="s">
        <v>15</v>
      </c>
      <c r="F22" s="3" t="s">
        <v>59</v>
      </c>
      <c r="G22" s="3">
        <v>12</v>
      </c>
      <c r="H22" s="3">
        <v>1</v>
      </c>
      <c r="I22" s="3">
        <v>3</v>
      </c>
      <c r="J22" s="3"/>
      <c r="K22" s="3" t="s">
        <v>155</v>
      </c>
      <c r="L22" s="3">
        <v>1</v>
      </c>
      <c r="M22" s="3">
        <v>3</v>
      </c>
      <c r="N22" s="3"/>
      <c r="O22" s="3" t="s">
        <v>139</v>
      </c>
      <c r="P22" s="3">
        <v>1</v>
      </c>
      <c r="Q22" s="3">
        <v>4</v>
      </c>
      <c r="R22" s="3"/>
      <c r="S22" s="3"/>
      <c r="T22" s="3"/>
      <c r="U22" s="3"/>
      <c r="V22" s="4">
        <v>0</v>
      </c>
      <c r="W22" s="3">
        <v>0</v>
      </c>
      <c r="X22" s="3"/>
      <c r="Y22" s="3"/>
      <c r="Z22" s="3"/>
      <c r="AA22" s="3"/>
      <c r="AB22" s="3"/>
    </row>
    <row r="23" spans="1:28" x14ac:dyDescent="0.25">
      <c r="A23" s="3" cm="1">
        <f t="array" ref="A23">ROUND(_xlfn.IFS(E23="OFF",(H23*4+M23)/5,E23="DEF",M23,E23="ST",M23),0)</f>
        <v>3</v>
      </c>
      <c r="B23" s="3" cm="1">
        <f t="array" ref="B23">ROUND(_xlfn.IFS(E23="DEF",(H23*4+Q23)/5,E23="OFF",Q23,E23="ST",Q23),0)</f>
        <v>3</v>
      </c>
      <c r="C23" s="3" t="s">
        <v>60</v>
      </c>
      <c r="D23" s="3">
        <v>18</v>
      </c>
      <c r="E23" s="3" t="s">
        <v>15</v>
      </c>
      <c r="F23" s="3" t="s">
        <v>49</v>
      </c>
      <c r="G23" s="3">
        <v>4</v>
      </c>
      <c r="H23" s="3">
        <v>3</v>
      </c>
      <c r="I23" s="3">
        <v>2</v>
      </c>
      <c r="J23" s="3"/>
      <c r="K23" s="3" t="s">
        <v>131</v>
      </c>
      <c r="L23" s="3">
        <v>4</v>
      </c>
      <c r="M23" s="3">
        <v>4</v>
      </c>
      <c r="N23" s="3"/>
      <c r="O23" s="3" t="s">
        <v>132</v>
      </c>
      <c r="P23" s="3">
        <v>4</v>
      </c>
      <c r="Q23" s="3">
        <v>3</v>
      </c>
      <c r="R23" s="3" t="s">
        <v>17</v>
      </c>
      <c r="S23" s="3"/>
      <c r="T23" s="3"/>
      <c r="U23" s="3"/>
      <c r="V23" s="4">
        <v>16</v>
      </c>
      <c r="W23" s="3" t="s">
        <v>39</v>
      </c>
      <c r="X23" s="3"/>
      <c r="Y23" s="3"/>
      <c r="Z23" s="3"/>
      <c r="AA23" s="3"/>
      <c r="AB23" s="3"/>
    </row>
    <row r="24" spans="1:28" x14ac:dyDescent="0.25">
      <c r="A24" s="3" cm="1">
        <f t="array" ref="A24">ROUND(_xlfn.IFS(E24="OFF",(H24*4+M24)/5,E24="DEF",M24,E24="ST",M24),0)</f>
        <v>5</v>
      </c>
      <c r="B24" s="3" cm="1">
        <f t="array" ref="B24">ROUND(_xlfn.IFS(E24="DEF",(H24*4+Q24)/5,E24="OFF",Q24,E24="ST",Q24),0)</f>
        <v>5</v>
      </c>
      <c r="C24" s="3" t="s">
        <v>61</v>
      </c>
      <c r="D24" s="3">
        <v>19</v>
      </c>
      <c r="E24" s="3" t="s">
        <v>15</v>
      </c>
      <c r="F24" s="3" t="s">
        <v>66</v>
      </c>
      <c r="G24" s="3">
        <v>2</v>
      </c>
      <c r="H24" s="3">
        <v>5</v>
      </c>
      <c r="I24" s="3">
        <v>4</v>
      </c>
      <c r="J24" s="3"/>
      <c r="K24" s="3" t="s">
        <v>133</v>
      </c>
      <c r="L24" s="3">
        <v>2</v>
      </c>
      <c r="M24" s="3">
        <v>4</v>
      </c>
      <c r="N24" s="3"/>
      <c r="O24" s="3" t="s">
        <v>81</v>
      </c>
      <c r="P24" s="3">
        <v>2</v>
      </c>
      <c r="Q24" s="3">
        <v>5</v>
      </c>
      <c r="R24" s="3"/>
      <c r="S24" s="3"/>
      <c r="T24" s="3"/>
      <c r="U24" s="3"/>
      <c r="V24" s="4">
        <v>17</v>
      </c>
      <c r="W24" s="3" t="s">
        <v>24</v>
      </c>
      <c r="X24" s="3"/>
      <c r="Y24" s="3"/>
      <c r="Z24" s="3"/>
      <c r="AA24" s="3"/>
      <c r="AB24" s="3"/>
    </row>
    <row r="25" spans="1:28" x14ac:dyDescent="0.25">
      <c r="A25" s="3" cm="1">
        <f t="array" ref="A25">ROUND(_xlfn.IFS(E25="OFF",(H25*4+M25)/5,E25="DEF",M25,E25="ST",M25),0)</f>
        <v>3</v>
      </c>
      <c r="B25" s="3" cm="1">
        <f t="array" ref="B25">ROUND(_xlfn.IFS(E25="DEF",(H25*4+Q25)/5,E25="OFF",Q25,E25="ST",Q25),0)</f>
        <v>4</v>
      </c>
      <c r="C25" s="3" t="s">
        <v>64</v>
      </c>
      <c r="D25" s="3">
        <v>30</v>
      </c>
      <c r="E25" s="3" t="s">
        <v>15</v>
      </c>
      <c r="F25" s="3" t="s">
        <v>48</v>
      </c>
      <c r="G25" s="3">
        <v>4</v>
      </c>
      <c r="H25" s="3">
        <v>3</v>
      </c>
      <c r="I25" s="3">
        <v>2</v>
      </c>
      <c r="J25" s="3"/>
      <c r="K25" s="3" t="s">
        <v>121</v>
      </c>
      <c r="L25" s="3">
        <v>1</v>
      </c>
      <c r="M25" s="3">
        <v>3</v>
      </c>
      <c r="N25" s="3"/>
      <c r="O25" s="3" t="s">
        <v>135</v>
      </c>
      <c r="P25" s="3">
        <v>4</v>
      </c>
      <c r="Q25" s="3">
        <v>4</v>
      </c>
      <c r="R25" s="3"/>
      <c r="S25" s="3"/>
      <c r="T25" s="3"/>
      <c r="U25" s="3"/>
      <c r="V25" s="4">
        <v>18</v>
      </c>
      <c r="W25" s="3" t="s">
        <v>60</v>
      </c>
      <c r="X25" s="3"/>
      <c r="Y25" s="3"/>
      <c r="Z25" s="3"/>
      <c r="AA25" s="3"/>
      <c r="AB25" s="3"/>
    </row>
    <row r="26" spans="1:28" x14ac:dyDescent="0.25">
      <c r="A26" s="3" cm="1">
        <f t="array" ref="A26">ROUND(_xlfn.IFS(E26="OFF",(H26*4+M26)/5,E26="DEF",M26,E26="ST",M26),0)</f>
        <v>5</v>
      </c>
      <c r="B26" s="3" cm="1">
        <f t="array" ref="B26">ROUND(_xlfn.IFS(E26="DEF",(H26*4+Q26)/5,E26="OFF",Q26,E26="ST",Q26),0)</f>
        <v>4</v>
      </c>
      <c r="C26" s="3" t="s">
        <v>67</v>
      </c>
      <c r="D26" s="3">
        <v>13</v>
      </c>
      <c r="E26" s="3" t="s">
        <v>15</v>
      </c>
      <c r="F26" s="3" t="s">
        <v>136</v>
      </c>
      <c r="G26" s="3">
        <v>2</v>
      </c>
      <c r="H26" s="3">
        <v>5</v>
      </c>
      <c r="I26" s="3">
        <v>4</v>
      </c>
      <c r="J26" s="3"/>
      <c r="K26" s="3" t="s">
        <v>16</v>
      </c>
      <c r="L26" s="3">
        <v>2</v>
      </c>
      <c r="M26" s="3">
        <v>3</v>
      </c>
      <c r="N26" s="3" t="s">
        <v>17</v>
      </c>
      <c r="O26" s="3" t="s">
        <v>137</v>
      </c>
      <c r="P26" s="3">
        <v>2</v>
      </c>
      <c r="Q26" s="3">
        <v>4</v>
      </c>
      <c r="R26" s="3"/>
      <c r="S26" s="3"/>
      <c r="T26" s="3"/>
      <c r="U26" s="3"/>
      <c r="V26" s="4">
        <v>0</v>
      </c>
      <c r="W26" s="3">
        <v>0</v>
      </c>
      <c r="X26" s="3"/>
      <c r="Y26" s="3"/>
      <c r="Z26" s="3"/>
      <c r="AA26" s="3"/>
      <c r="AB26" s="3"/>
    </row>
    <row r="27" spans="1:28" x14ac:dyDescent="0.25">
      <c r="A27" s="3" cm="1">
        <f t="array" ref="A27">ROUND(_xlfn.IFS(E27="OFF",(H27*4+M27)/5,E27="DEF",M27,E27="ST",M27),0)</f>
        <v>3</v>
      </c>
      <c r="B27" s="3" cm="1">
        <f t="array" ref="B27">ROUND(_xlfn.IFS(E27="DEF",(H27*4+Q27)/5,E27="OFF",Q27,E27="ST",Q27),0)</f>
        <v>2</v>
      </c>
      <c r="C27" s="3" t="s">
        <v>69</v>
      </c>
      <c r="D27" s="3">
        <v>20</v>
      </c>
      <c r="E27" s="3" t="s">
        <v>15</v>
      </c>
      <c r="F27" s="3" t="s">
        <v>36</v>
      </c>
      <c r="G27" s="3">
        <v>9</v>
      </c>
      <c r="H27" s="3">
        <v>4</v>
      </c>
      <c r="I27" s="3">
        <v>3</v>
      </c>
      <c r="J27" s="3"/>
      <c r="K27" s="3" t="s">
        <v>75</v>
      </c>
      <c r="L27" s="3">
        <v>1</v>
      </c>
      <c r="M27" s="3">
        <v>1</v>
      </c>
      <c r="N27" s="3" t="s">
        <v>17</v>
      </c>
      <c r="O27" s="3" t="s">
        <v>68</v>
      </c>
      <c r="P27" s="3">
        <v>1</v>
      </c>
      <c r="Q27" s="3">
        <v>2</v>
      </c>
      <c r="R27" s="3"/>
      <c r="S27" s="3"/>
      <c r="T27" s="3"/>
      <c r="U27" s="3"/>
      <c r="V27" s="4">
        <v>19</v>
      </c>
      <c r="W27" s="3" t="s">
        <v>61</v>
      </c>
      <c r="X27" s="3"/>
      <c r="Y27" s="3"/>
      <c r="Z27" s="3"/>
      <c r="AA27" s="3"/>
      <c r="AB27" s="3"/>
    </row>
    <row r="28" spans="1:28" x14ac:dyDescent="0.25">
      <c r="A28" s="3" cm="1">
        <f t="array" ref="A28">ROUND(_xlfn.IFS(E28="OFF",(H28*4+M28)/5,E28="DEF",M28,E28="ST",M28),0)</f>
        <v>3</v>
      </c>
      <c r="B28" s="3" cm="1">
        <f t="array" ref="B28">ROUND(_xlfn.IFS(E28="DEF",(H28*4+Q28)/5,E28="OFF",Q28,E28="ST",Q28),0)</f>
        <v>4</v>
      </c>
      <c r="C28" s="3" t="s">
        <v>71</v>
      </c>
      <c r="D28" s="3">
        <v>26</v>
      </c>
      <c r="E28" s="3" t="s">
        <v>15</v>
      </c>
      <c r="F28" s="3" t="s">
        <v>156</v>
      </c>
      <c r="G28" s="3">
        <v>1</v>
      </c>
      <c r="H28" s="3">
        <v>3</v>
      </c>
      <c r="I28" s="3">
        <v>4</v>
      </c>
      <c r="J28" s="3"/>
      <c r="K28" s="3" t="s">
        <v>108</v>
      </c>
      <c r="L28" s="3">
        <v>1</v>
      </c>
      <c r="M28" s="3">
        <v>4</v>
      </c>
      <c r="N28" s="3"/>
      <c r="O28" s="3" t="s">
        <v>157</v>
      </c>
      <c r="P28" s="3">
        <v>1</v>
      </c>
      <c r="Q28" s="3">
        <v>4</v>
      </c>
      <c r="R28" s="3"/>
      <c r="S28" s="3"/>
      <c r="T28" s="3"/>
      <c r="U28" s="3"/>
      <c r="V28" s="4">
        <v>20</v>
      </c>
      <c r="W28" s="3" t="s">
        <v>69</v>
      </c>
      <c r="X28" s="3"/>
      <c r="Y28" s="3"/>
      <c r="Z28" s="3"/>
      <c r="AA28" s="3"/>
      <c r="AB28" s="3"/>
    </row>
    <row r="29" spans="1:28" x14ac:dyDescent="0.25">
      <c r="A29" s="3" cm="1">
        <f t="array" ref="A29">ROUND(_xlfn.IFS(E29="OFF",(H29*4+M29)/5,E29="DEF",M29,E29="ST",M29),0)</f>
        <v>2</v>
      </c>
      <c r="B29" s="3" cm="1">
        <f t="array" ref="B29">ROUND(_xlfn.IFS(E29="DEF",(H29*4+Q29)/5,E29="OFF",Q29,E29="ST",Q29),0)</f>
        <v>4</v>
      </c>
      <c r="C29" s="3" t="s">
        <v>73</v>
      </c>
      <c r="D29" s="3">
        <v>5</v>
      </c>
      <c r="E29" s="3" t="s">
        <v>19</v>
      </c>
      <c r="F29" s="3" t="s">
        <v>107</v>
      </c>
      <c r="G29" s="3">
        <v>1</v>
      </c>
      <c r="H29" s="3">
        <v>4</v>
      </c>
      <c r="I29" s="3">
        <v>5</v>
      </c>
      <c r="J29" s="3"/>
      <c r="K29" s="3" t="s">
        <v>111</v>
      </c>
      <c r="L29" s="3">
        <v>1</v>
      </c>
      <c r="M29" s="3">
        <v>2</v>
      </c>
      <c r="N29" s="3"/>
      <c r="O29" s="3" t="s">
        <v>158</v>
      </c>
      <c r="P29" s="3">
        <v>1</v>
      </c>
      <c r="Q29" s="3">
        <v>3</v>
      </c>
      <c r="R29" s="3"/>
      <c r="S29" s="3"/>
      <c r="T29" s="3"/>
      <c r="U29" s="3"/>
      <c r="V29" s="4">
        <v>21</v>
      </c>
      <c r="W29" s="3" t="s">
        <v>23</v>
      </c>
      <c r="X29" s="3"/>
      <c r="Y29" s="3"/>
      <c r="Z29" s="3"/>
      <c r="AA29" s="3"/>
      <c r="AB29" s="3"/>
    </row>
    <row r="30" spans="1:28" x14ac:dyDescent="0.25">
      <c r="A30" s="3" cm="1">
        <f t="array" ref="A30">ROUND(_xlfn.IFS(E30="OFF",(H30*4+M30)/5,E30="DEF",M30,E30="ST",M30),0)</f>
        <v>3</v>
      </c>
      <c r="B30" s="3" cm="1">
        <f t="array" ref="B30">ROUND(_xlfn.IFS(E30="DEF",(H30*4+Q30)/5,E30="OFF",Q30,E30="ST",Q30),0)</f>
        <v>3</v>
      </c>
      <c r="C30" s="3" t="s">
        <v>74</v>
      </c>
      <c r="D30" s="3">
        <v>6</v>
      </c>
      <c r="E30" s="3" t="s">
        <v>19</v>
      </c>
      <c r="F30" s="3" t="s">
        <v>140</v>
      </c>
      <c r="G30" s="3">
        <v>2</v>
      </c>
      <c r="H30" s="3">
        <v>3</v>
      </c>
      <c r="I30" s="3">
        <v>4</v>
      </c>
      <c r="J30" s="3"/>
      <c r="K30" s="3" t="s">
        <v>141</v>
      </c>
      <c r="L30" s="3">
        <v>2</v>
      </c>
      <c r="M30" s="3">
        <v>3</v>
      </c>
      <c r="N30" s="3" t="s">
        <v>17</v>
      </c>
      <c r="O30" s="3" t="s">
        <v>142</v>
      </c>
      <c r="P30" s="3">
        <v>2</v>
      </c>
      <c r="Q30" s="3">
        <v>2</v>
      </c>
      <c r="R30" s="3" t="s">
        <v>17</v>
      </c>
      <c r="S30" s="3"/>
      <c r="T30" s="3"/>
      <c r="U30" s="3"/>
      <c r="V30" s="4">
        <v>22</v>
      </c>
      <c r="W30" s="3" t="s">
        <v>47</v>
      </c>
      <c r="X30" s="3"/>
      <c r="Y30" s="3"/>
      <c r="Z30" s="3"/>
      <c r="AA30" s="3"/>
      <c r="AB30" s="3"/>
    </row>
    <row r="31" spans="1:28" x14ac:dyDescent="0.25">
      <c r="A31" s="3" cm="1">
        <f t="array" ref="A31">ROUND(_xlfn.IFS(E31="OFF",(H31*4+M31)/5,E31="DEF",M31,E31="ST",M31),0)</f>
        <v>1</v>
      </c>
      <c r="B31" s="3" cm="1">
        <f t="array" ref="B31">ROUND(_xlfn.IFS(E31="DEF",(H31*4+Q31)/5,E31="OFF",Q31,E31="ST",Q31),0)</f>
        <v>1</v>
      </c>
      <c r="C31" s="3" t="s">
        <v>77</v>
      </c>
      <c r="D31" s="3">
        <v>23</v>
      </c>
      <c r="E31" s="3" t="s">
        <v>15</v>
      </c>
      <c r="F31" s="3" t="s">
        <v>84</v>
      </c>
      <c r="G31" s="3">
        <v>4</v>
      </c>
      <c r="H31" s="3">
        <v>1</v>
      </c>
      <c r="I31" s="3">
        <v>2</v>
      </c>
      <c r="J31" s="3"/>
      <c r="K31" s="3" t="s">
        <v>159</v>
      </c>
      <c r="L31" s="3">
        <v>1</v>
      </c>
      <c r="M31" s="3">
        <v>2</v>
      </c>
      <c r="N31" s="3"/>
      <c r="O31" s="3" t="s">
        <v>43</v>
      </c>
      <c r="P31" s="3">
        <v>4</v>
      </c>
      <c r="Q31" s="3">
        <v>1</v>
      </c>
      <c r="R31" s="3" t="s">
        <v>17</v>
      </c>
      <c r="S31" s="3"/>
      <c r="T31" s="3"/>
      <c r="U31" s="3"/>
      <c r="V31" s="4">
        <v>23</v>
      </c>
      <c r="W31" s="3" t="s">
        <v>77</v>
      </c>
      <c r="X31" s="3"/>
      <c r="Y31" s="3"/>
      <c r="Z31" s="3"/>
      <c r="AA31" s="3"/>
      <c r="AB31" s="3"/>
    </row>
    <row r="32" spans="1:28" x14ac:dyDescent="0.25">
      <c r="A32" s="3" cm="1">
        <f t="array" ref="A32">ROUND(_xlfn.IFS(E32="OFF",(H32*4+M32)/5,E32="DEF",M32,E32="ST",M32),0)</f>
        <v>3</v>
      </c>
      <c r="B32" s="3" cm="1">
        <f t="array" ref="B32">ROUND(_xlfn.IFS(E32="DEF",(H32*4+Q32)/5,E32="OFF",Q32,E32="ST",Q32),0)</f>
        <v>1</v>
      </c>
      <c r="C32" s="3" t="s">
        <v>79</v>
      </c>
      <c r="D32" s="3">
        <v>27</v>
      </c>
      <c r="E32" s="3" t="s">
        <v>15</v>
      </c>
      <c r="F32" s="3" t="s">
        <v>40</v>
      </c>
      <c r="G32" s="3">
        <v>4</v>
      </c>
      <c r="H32" s="3">
        <v>3</v>
      </c>
      <c r="I32" s="3">
        <v>2</v>
      </c>
      <c r="J32" s="3"/>
      <c r="K32" s="3" t="s">
        <v>160</v>
      </c>
      <c r="L32" s="3">
        <v>1</v>
      </c>
      <c r="M32" s="3">
        <v>3</v>
      </c>
      <c r="N32" s="3"/>
      <c r="O32" s="3" t="s">
        <v>20</v>
      </c>
      <c r="P32" s="3">
        <v>1</v>
      </c>
      <c r="Q32" s="3">
        <v>1</v>
      </c>
      <c r="R32" s="3"/>
      <c r="S32" s="3"/>
      <c r="T32" s="3"/>
      <c r="U32" s="3"/>
      <c r="V32" s="4">
        <v>24</v>
      </c>
      <c r="W32" s="3" t="s">
        <v>26</v>
      </c>
      <c r="X32" s="3"/>
      <c r="Y32" s="3"/>
      <c r="Z32" s="3"/>
      <c r="AA32" s="3"/>
      <c r="AB32" s="3"/>
    </row>
    <row r="33" spans="1:28" x14ac:dyDescent="0.25">
      <c r="A33" s="3" cm="1">
        <f t="array" ref="A33">ROUND(_xlfn.IFS(E33="OFF",(H33*4+M33)/5,E33="DEF",M33,E33="ST",M33),0)</f>
        <v>3</v>
      </c>
      <c r="B33" s="3" cm="1">
        <f t="array" ref="B33">ROUND(_xlfn.IFS(E33="DEF",(H33*4+Q33)/5,E33="OFF",Q33,E33="ST",Q33),0)</f>
        <v>3</v>
      </c>
      <c r="C33" s="3" t="s">
        <v>83</v>
      </c>
      <c r="D33" s="3">
        <v>14</v>
      </c>
      <c r="E33" s="3" t="s">
        <v>15</v>
      </c>
      <c r="F33" s="3" t="s">
        <v>70</v>
      </c>
      <c r="G33" s="3">
        <v>1</v>
      </c>
      <c r="H33" s="3">
        <v>3</v>
      </c>
      <c r="I33" s="3">
        <v>5</v>
      </c>
      <c r="J33" s="3"/>
      <c r="K33" s="3" t="s">
        <v>161</v>
      </c>
      <c r="L33" s="3">
        <v>1</v>
      </c>
      <c r="M33" s="3">
        <v>3</v>
      </c>
      <c r="N33" s="3"/>
      <c r="O33" s="3" t="s">
        <v>55</v>
      </c>
      <c r="P33" s="3">
        <v>1</v>
      </c>
      <c r="Q33" s="3">
        <v>3</v>
      </c>
      <c r="R33" s="3"/>
      <c r="S33" s="3"/>
      <c r="T33" s="3"/>
      <c r="U33" s="3"/>
      <c r="V33" s="4">
        <v>26</v>
      </c>
      <c r="W33" s="3" t="s">
        <v>71</v>
      </c>
      <c r="X33" s="3"/>
      <c r="Y33" s="3"/>
      <c r="Z33" s="3"/>
      <c r="AA33" s="3"/>
      <c r="AB33" s="3"/>
    </row>
    <row r="34" spans="1:2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>
        <v>27</v>
      </c>
      <c r="W34" s="3" t="s">
        <v>79</v>
      </c>
      <c r="X34" s="3"/>
      <c r="Y34" s="3"/>
      <c r="Z34" s="3"/>
      <c r="AA34" s="3"/>
      <c r="AB34" s="3"/>
    </row>
    <row r="35" spans="1:28" x14ac:dyDescent="0.25">
      <c r="A35" s="3"/>
      <c r="B35" s="3"/>
      <c r="C35" s="3"/>
      <c r="D35" s="3"/>
      <c r="E35" s="3"/>
      <c r="F35" s="3"/>
      <c r="G35" s="7" t="s">
        <v>93</v>
      </c>
      <c r="H35" s="7"/>
      <c r="I35" s="7"/>
      <c r="J35" s="3"/>
      <c r="K35" s="5" t="s">
        <v>94</v>
      </c>
      <c r="L35" s="5"/>
      <c r="M35" s="3"/>
      <c r="N35" s="3"/>
      <c r="O35" s="5" t="s">
        <v>95</v>
      </c>
      <c r="P35" s="5"/>
      <c r="Q35" s="3"/>
      <c r="R35" s="3"/>
      <c r="S35" s="3"/>
      <c r="T35" s="3"/>
      <c r="U35" s="3"/>
      <c r="V35" s="4">
        <v>28</v>
      </c>
      <c r="W35" s="3" t="s">
        <v>34</v>
      </c>
      <c r="X35" s="3"/>
      <c r="Y35" s="3"/>
      <c r="Z35" s="3"/>
      <c r="AA35" s="3"/>
      <c r="AB35" s="3"/>
    </row>
    <row r="36" spans="1:28" x14ac:dyDescent="0.25">
      <c r="A36" s="3"/>
      <c r="B36" s="3"/>
      <c r="C36" s="3"/>
      <c r="D36" s="3"/>
      <c r="E36" s="3"/>
      <c r="F36" s="3"/>
      <c r="G36" s="7" t="s">
        <v>96</v>
      </c>
      <c r="H36" s="7"/>
      <c r="I36" s="7"/>
      <c r="J36" s="3"/>
      <c r="K36" s="5"/>
      <c r="L36" s="5"/>
      <c r="M36" s="3"/>
      <c r="N36" s="3"/>
      <c r="O36" s="5"/>
      <c r="P36" s="5"/>
      <c r="Q36" s="3"/>
      <c r="R36" s="3"/>
      <c r="S36" s="3"/>
      <c r="T36" s="3"/>
      <c r="U36" s="3"/>
      <c r="V36" s="4">
        <v>31</v>
      </c>
      <c r="W36" s="3" t="s">
        <v>35</v>
      </c>
      <c r="X36" s="3"/>
      <c r="Y36" s="3"/>
      <c r="Z36" s="3"/>
      <c r="AA36" s="3"/>
      <c r="AB36" s="3"/>
    </row>
    <row r="37" spans="1:2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5" t="s">
        <v>97</v>
      </c>
      <c r="L37" s="5"/>
      <c r="M37" s="3"/>
      <c r="N37" s="3"/>
      <c r="O37" s="5" t="s">
        <v>97</v>
      </c>
      <c r="P37" s="5"/>
      <c r="Q37" s="3"/>
      <c r="R37" s="3"/>
      <c r="S37" s="3"/>
      <c r="T37" s="3"/>
      <c r="U37" s="3"/>
      <c r="V37" s="4">
        <v>29</v>
      </c>
      <c r="W37" s="3" t="s">
        <v>42</v>
      </c>
      <c r="X37" s="3"/>
      <c r="Y37" s="3"/>
      <c r="Z37" s="3"/>
      <c r="AA37" s="3"/>
      <c r="AB37" s="3"/>
    </row>
    <row r="38" spans="1: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  <c r="L38" s="5"/>
      <c r="M38" s="3"/>
      <c r="N38" s="3"/>
      <c r="O38" s="5"/>
      <c r="P38" s="5"/>
      <c r="Q38" s="3"/>
      <c r="R38" s="3"/>
      <c r="S38" s="3"/>
      <c r="T38" s="3"/>
      <c r="U38" s="3"/>
      <c r="V38" s="4">
        <v>30</v>
      </c>
      <c r="W38" s="3" t="s">
        <v>64</v>
      </c>
      <c r="X38" s="3"/>
      <c r="Y38" s="3"/>
      <c r="Z38" s="3"/>
      <c r="AA38" s="3"/>
      <c r="AB38" s="3"/>
    </row>
    <row r="39" spans="1:28" x14ac:dyDescent="0.25">
      <c r="A39" s="3" t="s">
        <v>7</v>
      </c>
      <c r="B39" s="3" t="s">
        <v>11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5">
      <c r="A40" s="3">
        <f>COUNTIF(A$2:A$33,RIGHT(C40,1))</f>
        <v>3</v>
      </c>
      <c r="B40" s="3">
        <f>COUNTIF(B$2:B$33,RIGHT(C40,1))</f>
        <v>4</v>
      </c>
      <c r="C40" s="3" t="s">
        <v>98</v>
      </c>
      <c r="D40" s="3"/>
      <c r="E40" s="3"/>
      <c r="F40" s="3"/>
      <c r="G40" s="3" t="s">
        <v>98</v>
      </c>
      <c r="H40" s="3">
        <f>COUNTIF(H$2:H$33,RIGHT(G40,1))</f>
        <v>3</v>
      </c>
      <c r="I40" s="3"/>
      <c r="J40" s="3"/>
      <c r="K40" s="3"/>
      <c r="L40" s="3" t="s">
        <v>98</v>
      </c>
      <c r="M40" s="3">
        <f>COUNTIF(M$2:M$33,RIGHT(L40,1))</f>
        <v>3</v>
      </c>
      <c r="N40" s="3"/>
      <c r="O40" s="3"/>
      <c r="P40" s="3" t="s">
        <v>98</v>
      </c>
      <c r="Q40" s="3">
        <f>COUNTIF(Q$2:Q$33,RIGHT(P40,1))</f>
        <v>3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5">
      <c r="A41" s="3">
        <f t="shared" ref="A41:A44" si="0">COUNTIF(A$2:A$33,RIGHT(C41,1))</f>
        <v>6</v>
      </c>
      <c r="B41" s="3">
        <f t="shared" ref="B41:B44" si="1">COUNTIF(B$2:B$33,RIGHT(C41,1))</f>
        <v>6</v>
      </c>
      <c r="C41" s="3" t="s">
        <v>99</v>
      </c>
      <c r="D41" s="3"/>
      <c r="E41" s="3"/>
      <c r="F41" s="3"/>
      <c r="G41" s="3" t="s">
        <v>99</v>
      </c>
      <c r="H41" s="3">
        <f t="shared" ref="H41:H44" si="2">COUNTIF(H$2:H$33,RIGHT(G41,1))</f>
        <v>5</v>
      </c>
      <c r="I41" s="3"/>
      <c r="J41" s="3"/>
      <c r="K41" s="3"/>
      <c r="L41" s="3" t="s">
        <v>99</v>
      </c>
      <c r="M41" s="3">
        <f t="shared" ref="M41:M44" si="3">COUNTIF(M$2:M$33,RIGHT(L41,1))</f>
        <v>5</v>
      </c>
      <c r="N41" s="3"/>
      <c r="O41" s="3"/>
      <c r="P41" s="3" t="s">
        <v>99</v>
      </c>
      <c r="Q41" s="3">
        <f t="shared" ref="Q41:Q44" si="4">COUNTIF(Q$2:Q$33,RIGHT(P41,1))</f>
        <v>5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5">
      <c r="A42" s="3">
        <f t="shared" si="0"/>
        <v>18</v>
      </c>
      <c r="B42" s="3">
        <f t="shared" si="1"/>
        <v>12</v>
      </c>
      <c r="C42" s="3" t="s">
        <v>100</v>
      </c>
      <c r="D42" s="3"/>
      <c r="E42" s="3"/>
      <c r="F42" s="3"/>
      <c r="G42" s="3" t="s">
        <v>100</v>
      </c>
      <c r="H42" s="3">
        <f t="shared" si="2"/>
        <v>16</v>
      </c>
      <c r="I42" s="3"/>
      <c r="J42" s="3"/>
      <c r="K42" s="3"/>
      <c r="L42" s="3" t="s">
        <v>100</v>
      </c>
      <c r="M42" s="3">
        <f t="shared" si="3"/>
        <v>16</v>
      </c>
      <c r="N42" s="3"/>
      <c r="O42" s="3"/>
      <c r="P42" s="3" t="s">
        <v>100</v>
      </c>
      <c r="Q42" s="3">
        <f t="shared" si="4"/>
        <v>16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3">
        <f t="shared" si="0"/>
        <v>2</v>
      </c>
      <c r="B43" s="3">
        <f t="shared" si="1"/>
        <v>8</v>
      </c>
      <c r="C43" s="3" t="s">
        <v>101</v>
      </c>
      <c r="D43" s="3"/>
      <c r="E43" s="3"/>
      <c r="F43" s="3"/>
      <c r="G43" s="3" t="s">
        <v>101</v>
      </c>
      <c r="H43" s="3">
        <f t="shared" si="2"/>
        <v>5</v>
      </c>
      <c r="I43" s="3"/>
      <c r="J43" s="3"/>
      <c r="K43" s="3"/>
      <c r="L43" s="3" t="s">
        <v>101</v>
      </c>
      <c r="M43" s="3">
        <f t="shared" si="3"/>
        <v>5</v>
      </c>
      <c r="N43" s="3"/>
      <c r="O43" s="3"/>
      <c r="P43" s="3" t="s">
        <v>101</v>
      </c>
      <c r="Q43" s="3">
        <f t="shared" si="4"/>
        <v>5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5">
      <c r="A44" s="3">
        <f t="shared" si="0"/>
        <v>3</v>
      </c>
      <c r="B44" s="3">
        <f t="shared" si="1"/>
        <v>2</v>
      </c>
      <c r="C44" s="3" t="s">
        <v>102</v>
      </c>
      <c r="D44" s="3"/>
      <c r="E44" s="3"/>
      <c r="F44" s="3"/>
      <c r="G44" s="3" t="s">
        <v>102</v>
      </c>
      <c r="H44" s="3">
        <f t="shared" si="2"/>
        <v>3</v>
      </c>
      <c r="I44" s="3"/>
      <c r="J44" s="3"/>
      <c r="K44" s="3"/>
      <c r="L44" s="3" t="s">
        <v>102</v>
      </c>
      <c r="M44" s="3">
        <f t="shared" si="3"/>
        <v>3</v>
      </c>
      <c r="N44" s="3"/>
      <c r="O44" s="3"/>
      <c r="P44" s="3" t="s">
        <v>102</v>
      </c>
      <c r="Q44" s="3">
        <f t="shared" si="4"/>
        <v>3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</sheetData>
  <mergeCells count="7">
    <mergeCell ref="K37:L38"/>
    <mergeCell ref="O37:P38"/>
    <mergeCell ref="V1:AB1"/>
    <mergeCell ref="G35:I35"/>
    <mergeCell ref="K35:L36"/>
    <mergeCell ref="O35:P36"/>
    <mergeCell ref="G36:I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2026-02-22T02:09:02Z</dcterms:created>
  <dcterms:modified xsi:type="dcterms:W3CDTF">2026-04-15T00:55:05Z</dcterms:modified>
</cp:coreProperties>
</file>