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186" documentId="8_{325646B0-9B3C-47CD-9A09-B39459AC90C2}" xr6:coauthVersionLast="47" xr6:coauthVersionMax="47" xr10:uidLastSave="{57E16A99-982C-4B8B-A6D3-7E52D4C08FC5}"/>
  <bookViews>
    <workbookView xWindow="-120" yWindow="-120" windowWidth="29040" windowHeight="15720" tabRatio="818" xr2:uid="{00000000-000D-0000-FFFF-FFFF00000000}"/>
  </bookViews>
  <sheets>
    <sheet name="Notes" sheetId="5" r:id="rId1"/>
    <sheet name="Import Sheet" sheetId="4" r:id="rId2"/>
    <sheet name="Save as SeasonGame" sheetId="7" r:id="rId3"/>
    <sheet name="Old" sheetId="1" r:id="rId4"/>
    <sheet name="New" sheetId="2" r:id="rId5"/>
    <sheet name="PASTE IN" sheetId="10" r:id="rId6"/>
    <sheet name="Game Order" sheetId="8" r:id="rId7"/>
    <sheet name="TeamIdentity" sheetId="3" r:id="rId8"/>
  </sheets>
  <definedNames>
    <definedName name="_xlnm._FilterDatabase" localSheetId="6" hidden="1">'Game Order'!$A$1:$F$430</definedName>
    <definedName name="_xlnm._FilterDatabase" localSheetId="1" hidden="1">'Import Sheet'!$A$1:$BD$430</definedName>
    <definedName name="_xlnm._FilterDatabase" localSheetId="4" hidden="1">New!$A$1:$BE$273</definedName>
    <definedName name="_xlnm._FilterDatabase" localSheetId="3" hidden="1">Old!$A$1:$BI$430</definedName>
    <definedName name="_xlnm._FilterDatabase" localSheetId="2" hidden="1">'Save as SeasonGame'!$A$1:$BB$430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2" i="1"/>
  <c r="E305" i="1" l="1" a="1"/>
  <c r="E305" i="1" s="1"/>
  <c r="F305" i="1" a="1"/>
  <c r="F305" i="1" s="1"/>
  <c r="E352" i="1" a="1"/>
  <c r="E352" i="1" s="1"/>
  <c r="F352" i="1" a="1"/>
  <c r="F352" i="1" s="1"/>
  <c r="E176" i="1" a="1"/>
  <c r="E176" i="1" s="1"/>
  <c r="F176" i="1" a="1"/>
  <c r="F176" i="1" s="1"/>
  <c r="E422" i="1" a="1"/>
  <c r="E422" i="1" s="1"/>
  <c r="F422" i="1" a="1"/>
  <c r="F422" i="1" s="1"/>
  <c r="E390" i="1" a="1"/>
  <c r="E390" i="1" s="1"/>
  <c r="F390" i="1" a="1"/>
  <c r="F390" i="1" s="1"/>
  <c r="E358" i="1" a="1"/>
  <c r="E358" i="1" s="1"/>
  <c r="F358" i="1" a="1"/>
  <c r="F358" i="1" s="1"/>
  <c r="E310" i="1" a="1"/>
  <c r="E310" i="1" s="1"/>
  <c r="F310" i="1" a="1"/>
  <c r="F310" i="1" s="1"/>
  <c r="D310" i="1" s="1"/>
  <c r="B310" i="1" s="1" a="1"/>
  <c r="B310" i="1" s="1"/>
  <c r="F278" i="1" a="1"/>
  <c r="F278" i="1" s="1"/>
  <c r="D278" i="1" s="1"/>
  <c r="B278" i="1" s="1" a="1"/>
  <c r="B278" i="1" s="1"/>
  <c r="E278" i="1" a="1"/>
  <c r="E278" i="1" s="1"/>
  <c r="E246" i="1" a="1"/>
  <c r="E246" i="1" s="1"/>
  <c r="F246" i="1" a="1"/>
  <c r="F246" i="1" s="1"/>
  <c r="E198" i="1" a="1"/>
  <c r="E198" i="1" s="1"/>
  <c r="F198" i="1" a="1"/>
  <c r="F198" i="1" s="1"/>
  <c r="E166" i="1" a="1"/>
  <c r="E166" i="1" s="1"/>
  <c r="F166" i="1" a="1"/>
  <c r="F166" i="1" s="1"/>
  <c r="E134" i="1" a="1"/>
  <c r="E134" i="1" s="1"/>
  <c r="F134" i="1" a="1"/>
  <c r="F134" i="1" s="1"/>
  <c r="E102" i="1" a="1"/>
  <c r="E102" i="1" s="1"/>
  <c r="F102" i="1" a="1"/>
  <c r="F102" i="1" s="1"/>
  <c r="E70" i="1" a="1"/>
  <c r="E70" i="1" s="1"/>
  <c r="F70" i="1" a="1"/>
  <c r="F70" i="1" s="1"/>
  <c r="E38" i="1" a="1"/>
  <c r="E38" i="1" s="1"/>
  <c r="F38" i="1" a="1"/>
  <c r="F38" i="1" s="1"/>
  <c r="E421" i="1" a="1"/>
  <c r="E421" i="1" s="1"/>
  <c r="F421" i="1" a="1"/>
  <c r="F421" i="1" s="1"/>
  <c r="D421" i="1" s="1"/>
  <c r="F389" i="1" a="1"/>
  <c r="F389" i="1" s="1"/>
  <c r="E389" i="1" a="1"/>
  <c r="E389" i="1" s="1"/>
  <c r="E341" i="1" a="1"/>
  <c r="E341" i="1" s="1"/>
  <c r="F341" i="1" a="1"/>
  <c r="F341" i="1" s="1"/>
  <c r="E309" i="1" a="1"/>
  <c r="E309" i="1" s="1"/>
  <c r="F309" i="1" a="1"/>
  <c r="F309" i="1" s="1"/>
  <c r="E261" i="1" a="1"/>
  <c r="E261" i="1" s="1"/>
  <c r="F261" i="1" a="1"/>
  <c r="F261" i="1" s="1"/>
  <c r="E420" i="1" a="1"/>
  <c r="E420" i="1" s="1"/>
  <c r="F420" i="1" a="1"/>
  <c r="F420" i="1" s="1"/>
  <c r="E404" i="1" a="1"/>
  <c r="E404" i="1" s="1"/>
  <c r="F404" i="1" a="1"/>
  <c r="F404" i="1" s="1"/>
  <c r="E388" i="1" a="1"/>
  <c r="E388" i="1" s="1"/>
  <c r="F388" i="1" a="1"/>
  <c r="F388" i="1" s="1"/>
  <c r="D388" i="1" s="1"/>
  <c r="E372" i="1" a="1"/>
  <c r="E372" i="1" s="1"/>
  <c r="C372" i="1" s="1"/>
  <c r="F372" i="1" a="1"/>
  <c r="F372" i="1" s="1"/>
  <c r="E356" i="1" a="1"/>
  <c r="E356" i="1" s="1"/>
  <c r="F356" i="1" a="1"/>
  <c r="F356" i="1" s="1"/>
  <c r="E340" i="1" a="1"/>
  <c r="E340" i="1" s="1"/>
  <c r="F340" i="1" a="1"/>
  <c r="F340" i="1" s="1"/>
  <c r="F324" i="1" a="1"/>
  <c r="F324" i="1" s="1"/>
  <c r="E324" i="1" a="1"/>
  <c r="E324" i="1" s="1"/>
  <c r="C324" i="1" s="1"/>
  <c r="A324" i="1" s="1" a="1"/>
  <c r="A324" i="1" s="1"/>
  <c r="E308" i="1" a="1"/>
  <c r="E308" i="1" s="1"/>
  <c r="F308" i="1" a="1"/>
  <c r="F308" i="1" s="1"/>
  <c r="E292" i="1" a="1"/>
  <c r="E292" i="1" s="1"/>
  <c r="F292" i="1" a="1"/>
  <c r="F292" i="1" s="1"/>
  <c r="E276" i="1" a="1"/>
  <c r="E276" i="1" s="1"/>
  <c r="F276" i="1" a="1"/>
  <c r="F276" i="1" s="1"/>
  <c r="F260" i="1" a="1"/>
  <c r="F260" i="1" s="1"/>
  <c r="D260" i="1" s="1"/>
  <c r="B260" i="1" s="1" a="1"/>
  <c r="B260" i="1" s="1"/>
  <c r="E260" i="1" a="1"/>
  <c r="E260" i="1" s="1"/>
  <c r="E244" i="1" a="1"/>
  <c r="E244" i="1" s="1"/>
  <c r="F244" i="1" a="1"/>
  <c r="F244" i="1" s="1"/>
  <c r="D244" i="1" s="1"/>
  <c r="B244" i="1" s="1" a="1"/>
  <c r="B244" i="1" s="1"/>
  <c r="E228" i="1" a="1"/>
  <c r="E228" i="1" s="1"/>
  <c r="F228" i="1" a="1"/>
  <c r="F228" i="1" s="1"/>
  <c r="E212" i="1" a="1"/>
  <c r="E212" i="1" s="1"/>
  <c r="F212" i="1" a="1"/>
  <c r="F212" i="1" s="1"/>
  <c r="F196" i="1" a="1"/>
  <c r="F196" i="1" s="1"/>
  <c r="D196" i="1" s="1"/>
  <c r="B196" i="1" s="1" a="1"/>
  <c r="B196" i="1" s="1"/>
  <c r="E196" i="1" a="1"/>
  <c r="E196" i="1" s="1"/>
  <c r="E180" i="1" a="1"/>
  <c r="E180" i="1" s="1"/>
  <c r="F180" i="1" a="1"/>
  <c r="F180" i="1" s="1"/>
  <c r="E164" i="1" a="1"/>
  <c r="E164" i="1" s="1"/>
  <c r="F164" i="1" a="1"/>
  <c r="F164" i="1" s="1"/>
  <c r="E148" i="1" a="1"/>
  <c r="E148" i="1" s="1"/>
  <c r="F148" i="1" a="1"/>
  <c r="F148" i="1" s="1"/>
  <c r="F132" i="1" a="1"/>
  <c r="F132" i="1" s="1"/>
  <c r="E132" i="1" a="1"/>
  <c r="E132" i="1" s="1"/>
  <c r="E116" i="1" a="1"/>
  <c r="E116" i="1" s="1"/>
  <c r="F116" i="1" a="1"/>
  <c r="F116" i="1" s="1"/>
  <c r="D116" i="1" s="1"/>
  <c r="B116" i="1" s="1" a="1"/>
  <c r="B116" i="1" s="1"/>
  <c r="E100" i="1" a="1"/>
  <c r="E100" i="1" s="1"/>
  <c r="F100" i="1" a="1"/>
  <c r="F100" i="1" s="1"/>
  <c r="E84" i="1" a="1"/>
  <c r="E84" i="1" s="1"/>
  <c r="F84" i="1" a="1"/>
  <c r="F84" i="1" s="1"/>
  <c r="E68" i="1" a="1"/>
  <c r="E68" i="1" s="1"/>
  <c r="F68" i="1" a="1"/>
  <c r="F68" i="1" s="1"/>
  <c r="D68" i="1" s="1"/>
  <c r="B68" i="1" s="1" a="1"/>
  <c r="B68" i="1" s="1"/>
  <c r="E52" i="1" a="1"/>
  <c r="E52" i="1" s="1"/>
  <c r="F52" i="1" a="1"/>
  <c r="F52" i="1" s="1"/>
  <c r="E36" i="1" a="1"/>
  <c r="E36" i="1" s="1"/>
  <c r="F36" i="1" a="1"/>
  <c r="F36" i="1" s="1"/>
  <c r="E20" i="1" a="1"/>
  <c r="E20" i="1" s="1"/>
  <c r="F20" i="1" a="1"/>
  <c r="F20" i="1" s="1"/>
  <c r="E419" i="1" a="1"/>
  <c r="E419" i="1" s="1"/>
  <c r="F419" i="1" a="1"/>
  <c r="F419" i="1" s="1"/>
  <c r="E403" i="1" a="1"/>
  <c r="E403" i="1" s="1"/>
  <c r="F403" i="1" a="1"/>
  <c r="F403" i="1" s="1"/>
  <c r="D403" i="1" s="1"/>
  <c r="E387" i="1" a="1"/>
  <c r="E387" i="1" s="1"/>
  <c r="F387" i="1" a="1"/>
  <c r="F387" i="1" s="1"/>
  <c r="E371" i="1" a="1"/>
  <c r="E371" i="1" s="1"/>
  <c r="F371" i="1" a="1"/>
  <c r="F371" i="1" s="1"/>
  <c r="E355" i="1" a="1"/>
  <c r="E355" i="1" s="1"/>
  <c r="F355" i="1" a="1"/>
  <c r="F355" i="1" s="1"/>
  <c r="D355" i="1" s="1"/>
  <c r="E339" i="1" a="1"/>
  <c r="E339" i="1" s="1"/>
  <c r="F339" i="1" a="1"/>
  <c r="F339" i="1" s="1"/>
  <c r="E323" i="1" a="1"/>
  <c r="E323" i="1" s="1"/>
  <c r="F323" i="1" a="1"/>
  <c r="F323" i="1" s="1"/>
  <c r="D323" i="1" s="1"/>
  <c r="B323" i="1" s="1" a="1"/>
  <c r="B323" i="1" s="1"/>
  <c r="E307" i="1" a="1"/>
  <c r="E307" i="1" s="1"/>
  <c r="F307" i="1" a="1"/>
  <c r="F307" i="1" s="1"/>
  <c r="E291" i="1" a="1"/>
  <c r="E291" i="1" s="1"/>
  <c r="F291" i="1" a="1"/>
  <c r="F291" i="1" s="1"/>
  <c r="D291" i="1" s="1"/>
  <c r="B291" i="1" s="1" a="1"/>
  <c r="B291" i="1" s="1"/>
  <c r="E275" i="1" a="1"/>
  <c r="E275" i="1" s="1"/>
  <c r="F275" i="1" a="1"/>
  <c r="F275" i="1" s="1"/>
  <c r="D275" i="1" s="1"/>
  <c r="B275" i="1" s="1" a="1"/>
  <c r="B275" i="1" s="1"/>
  <c r="E259" i="1" a="1"/>
  <c r="E259" i="1" s="1"/>
  <c r="F259" i="1" a="1"/>
  <c r="F259" i="1" s="1"/>
  <c r="E243" i="1" a="1"/>
  <c r="E243" i="1" s="1"/>
  <c r="F243" i="1" a="1"/>
  <c r="F243" i="1" s="1"/>
  <c r="E227" i="1" a="1"/>
  <c r="E227" i="1" s="1"/>
  <c r="F227" i="1" a="1"/>
  <c r="F227" i="1" s="1"/>
  <c r="D227" i="1" s="1"/>
  <c r="B227" i="1" s="1" a="1"/>
  <c r="B227" i="1" s="1"/>
  <c r="E211" i="1" a="1"/>
  <c r="E211" i="1" s="1"/>
  <c r="F211" i="1" a="1"/>
  <c r="F211" i="1" s="1"/>
  <c r="E195" i="1" a="1"/>
  <c r="E195" i="1" s="1"/>
  <c r="F195" i="1" a="1"/>
  <c r="F195" i="1" s="1"/>
  <c r="D195" i="1" s="1"/>
  <c r="B195" i="1" s="1" a="1"/>
  <c r="B195" i="1" s="1"/>
  <c r="E179" i="1" a="1"/>
  <c r="E179" i="1" s="1"/>
  <c r="F179" i="1" a="1"/>
  <c r="F179" i="1" s="1"/>
  <c r="E163" i="1" a="1"/>
  <c r="E163" i="1" s="1"/>
  <c r="F163" i="1" a="1"/>
  <c r="F163" i="1" s="1"/>
  <c r="D163" i="1" s="1"/>
  <c r="B163" i="1" s="1" a="1"/>
  <c r="B163" i="1" s="1"/>
  <c r="E147" i="1" a="1"/>
  <c r="E147" i="1" s="1"/>
  <c r="F147" i="1" a="1"/>
  <c r="F147" i="1" s="1"/>
  <c r="D147" i="1" s="1"/>
  <c r="B147" i="1" s="1" a="1"/>
  <c r="B147" i="1" s="1"/>
  <c r="E131" i="1" a="1"/>
  <c r="E131" i="1" s="1"/>
  <c r="F131" i="1" a="1"/>
  <c r="F131" i="1" s="1"/>
  <c r="E115" i="1" a="1"/>
  <c r="E115" i="1" s="1"/>
  <c r="F115" i="1" a="1"/>
  <c r="F115" i="1" s="1"/>
  <c r="E99" i="1" a="1"/>
  <c r="E99" i="1" s="1"/>
  <c r="F99" i="1" a="1"/>
  <c r="F99" i="1" s="1"/>
  <c r="E83" i="1" a="1"/>
  <c r="E83" i="1" s="1"/>
  <c r="F83" i="1" a="1"/>
  <c r="F83" i="1" s="1"/>
  <c r="E67" i="1" a="1"/>
  <c r="E67" i="1" s="1"/>
  <c r="F67" i="1" a="1"/>
  <c r="F67" i="1" s="1"/>
  <c r="D67" i="1" s="1"/>
  <c r="B67" i="1" s="1" a="1"/>
  <c r="B67" i="1" s="1"/>
  <c r="E51" i="1" a="1"/>
  <c r="E51" i="1" s="1"/>
  <c r="F51" i="1" a="1"/>
  <c r="F51" i="1" s="1"/>
  <c r="E35" i="1" a="1"/>
  <c r="E35" i="1" s="1"/>
  <c r="F35" i="1" a="1"/>
  <c r="F35" i="1" s="1"/>
  <c r="E19" i="1" a="1"/>
  <c r="E19" i="1" s="1"/>
  <c r="C19" i="1" s="1"/>
  <c r="A19" i="1" s="1" a="1"/>
  <c r="A19" i="1" s="1"/>
  <c r="F19" i="1" a="1"/>
  <c r="F19" i="1" s="1"/>
  <c r="E418" i="1" a="1"/>
  <c r="E418" i="1" s="1"/>
  <c r="F418" i="1" a="1"/>
  <c r="F418" i="1" s="1"/>
  <c r="E402" i="1" a="1"/>
  <c r="E402" i="1" s="1"/>
  <c r="F402" i="1" a="1"/>
  <c r="F402" i="1" s="1"/>
  <c r="E386" i="1" a="1"/>
  <c r="E386" i="1" s="1"/>
  <c r="F386" i="1" a="1"/>
  <c r="F386" i="1" s="1"/>
  <c r="E370" i="1" a="1"/>
  <c r="E370" i="1" s="1"/>
  <c r="F370" i="1" a="1"/>
  <c r="F370" i="1" s="1"/>
  <c r="E354" i="1" a="1"/>
  <c r="E354" i="1" s="1"/>
  <c r="C354" i="1" s="1"/>
  <c r="F354" i="1" a="1"/>
  <c r="F354" i="1" s="1"/>
  <c r="E338" i="1" a="1"/>
  <c r="E338" i="1" s="1"/>
  <c r="F338" i="1" a="1"/>
  <c r="F338" i="1" s="1"/>
  <c r="E322" i="1" a="1"/>
  <c r="E322" i="1" s="1"/>
  <c r="F322" i="1" a="1"/>
  <c r="F322" i="1" s="1"/>
  <c r="D322" i="1" s="1"/>
  <c r="B322" i="1" s="1" a="1"/>
  <c r="B322" i="1" s="1"/>
  <c r="E306" i="1" a="1"/>
  <c r="E306" i="1" s="1"/>
  <c r="C306" i="1" s="1"/>
  <c r="A306" i="1" s="1" a="1"/>
  <c r="A306" i="1" s="1"/>
  <c r="F306" i="1" a="1"/>
  <c r="F306" i="1" s="1"/>
  <c r="E290" i="1" a="1"/>
  <c r="E290" i="1" s="1"/>
  <c r="F290" i="1" a="1"/>
  <c r="F290" i="1" s="1"/>
  <c r="E274" i="1" a="1"/>
  <c r="E274" i="1" s="1"/>
  <c r="F274" i="1" a="1"/>
  <c r="F274" i="1" s="1"/>
  <c r="E258" i="1" a="1"/>
  <c r="E258" i="1" s="1"/>
  <c r="F258" i="1" a="1"/>
  <c r="F258" i="1" s="1"/>
  <c r="E242" i="1" a="1"/>
  <c r="E242" i="1" s="1"/>
  <c r="F242" i="1" a="1"/>
  <c r="F242" i="1" s="1"/>
  <c r="E226" i="1" a="1"/>
  <c r="E226" i="1" s="1"/>
  <c r="F226" i="1" a="1"/>
  <c r="F226" i="1" s="1"/>
  <c r="D226" i="1" s="1"/>
  <c r="B226" i="1" s="1" a="1"/>
  <c r="B226" i="1" s="1"/>
  <c r="E210" i="1" a="1"/>
  <c r="E210" i="1" s="1"/>
  <c r="F210" i="1" a="1"/>
  <c r="F210" i="1" s="1"/>
  <c r="E194" i="1" a="1"/>
  <c r="E194" i="1" s="1"/>
  <c r="F194" i="1" a="1"/>
  <c r="F194" i="1" s="1"/>
  <c r="D194" i="1" s="1"/>
  <c r="B194" i="1" s="1" a="1"/>
  <c r="B194" i="1" s="1"/>
  <c r="E178" i="1" a="1"/>
  <c r="E178" i="1" s="1"/>
  <c r="C178" i="1" s="1"/>
  <c r="A178" i="1" s="1" a="1"/>
  <c r="A178" i="1" s="1"/>
  <c r="F178" i="1" a="1"/>
  <c r="F178" i="1" s="1"/>
  <c r="E162" i="1" a="1"/>
  <c r="E162" i="1" s="1"/>
  <c r="F162" i="1" a="1"/>
  <c r="F162" i="1" s="1"/>
  <c r="E146" i="1" a="1"/>
  <c r="E146" i="1" s="1"/>
  <c r="F146" i="1" a="1"/>
  <c r="F146" i="1" s="1"/>
  <c r="E130" i="1" a="1"/>
  <c r="E130" i="1" s="1"/>
  <c r="F130" i="1" a="1"/>
  <c r="F130" i="1" s="1"/>
  <c r="D130" i="1" s="1"/>
  <c r="B130" i="1" s="1" a="1"/>
  <c r="B130" i="1" s="1"/>
  <c r="F114" i="1" a="1"/>
  <c r="F114" i="1" s="1"/>
  <c r="E114" i="1" a="1"/>
  <c r="E114" i="1" s="1"/>
  <c r="E98" i="1" a="1"/>
  <c r="E98" i="1" s="1"/>
  <c r="F98" i="1" a="1"/>
  <c r="F98" i="1" s="1"/>
  <c r="D98" i="1" s="1"/>
  <c r="B98" i="1" s="1" a="1"/>
  <c r="B98" i="1" s="1"/>
  <c r="E82" i="1" a="1"/>
  <c r="E82" i="1" s="1"/>
  <c r="F82" i="1" a="1"/>
  <c r="F82" i="1" s="1"/>
  <c r="D82" i="1" s="1"/>
  <c r="B82" i="1" s="1" a="1"/>
  <c r="B82" i="1" s="1"/>
  <c r="E66" i="1" a="1"/>
  <c r="E66" i="1" s="1"/>
  <c r="F66" i="1" a="1"/>
  <c r="F66" i="1" s="1"/>
  <c r="D66" i="1" s="1"/>
  <c r="B66" i="1" s="1" a="1"/>
  <c r="B66" i="1" s="1"/>
  <c r="F50" i="1" a="1"/>
  <c r="F50" i="1" s="1"/>
  <c r="E50" i="1" a="1"/>
  <c r="E50" i="1" s="1"/>
  <c r="C50" i="1" s="1"/>
  <c r="A50" i="1" s="1" a="1"/>
  <c r="A50" i="1" s="1"/>
  <c r="E34" i="1" a="1"/>
  <c r="E34" i="1" s="1"/>
  <c r="F34" i="1" a="1"/>
  <c r="F34" i="1" s="1"/>
  <c r="E18" i="1" a="1"/>
  <c r="E18" i="1" s="1"/>
  <c r="C18" i="1" s="1"/>
  <c r="A18" i="1" s="1" a="1"/>
  <c r="A18" i="1" s="1"/>
  <c r="F18" i="1" a="1"/>
  <c r="F18" i="1" s="1"/>
  <c r="D18" i="1" s="1"/>
  <c r="B18" i="1" s="1" a="1"/>
  <c r="B18" i="1" s="1"/>
  <c r="F289" i="1" a="1"/>
  <c r="F289" i="1" s="1"/>
  <c r="D289" i="1" s="1"/>
  <c r="B289" i="1" s="1" a="1"/>
  <c r="B289" i="1" s="1"/>
  <c r="E289" i="1" a="1"/>
  <c r="E289" i="1" s="1"/>
  <c r="F161" i="1" a="1"/>
  <c r="F161" i="1" s="1"/>
  <c r="E161" i="1" a="1"/>
  <c r="E161" i="1" s="1"/>
  <c r="E145" i="1" a="1"/>
  <c r="E145" i="1" s="1"/>
  <c r="F145" i="1" a="1"/>
  <c r="F145" i="1" s="1"/>
  <c r="D145" i="1" s="1"/>
  <c r="B145" i="1" s="1" a="1"/>
  <c r="B145" i="1" s="1"/>
  <c r="E129" i="1" a="1"/>
  <c r="E129" i="1" s="1"/>
  <c r="F129" i="1" a="1"/>
  <c r="F129" i="1" s="1"/>
  <c r="D129" i="1" s="1"/>
  <c r="B129" i="1" s="1" a="1"/>
  <c r="B129" i="1" s="1"/>
  <c r="E113" i="1" a="1"/>
  <c r="E113" i="1" s="1"/>
  <c r="F113" i="1" a="1"/>
  <c r="F113" i="1" s="1"/>
  <c r="D113" i="1" s="1"/>
  <c r="B113" i="1" s="1" a="1"/>
  <c r="B113" i="1" s="1"/>
  <c r="F97" i="1" a="1"/>
  <c r="F97" i="1" s="1"/>
  <c r="E97" i="1" a="1"/>
  <c r="E97" i="1" s="1"/>
  <c r="C97" i="1" s="1"/>
  <c r="A97" i="1" s="1" a="1"/>
  <c r="A97" i="1" s="1"/>
  <c r="E81" i="1" a="1"/>
  <c r="E81" i="1" s="1"/>
  <c r="F81" i="1" a="1"/>
  <c r="F81" i="1" s="1"/>
  <c r="E65" i="1" a="1"/>
  <c r="E65" i="1" s="1"/>
  <c r="F65" i="1" a="1"/>
  <c r="F65" i="1" s="1"/>
  <c r="D65" i="1" s="1"/>
  <c r="B65" i="1" s="1" a="1"/>
  <c r="B65" i="1" s="1"/>
  <c r="E49" i="1" a="1"/>
  <c r="E49" i="1" s="1"/>
  <c r="C49" i="1" s="1"/>
  <c r="A49" i="1" s="1" a="1"/>
  <c r="A49" i="1" s="1"/>
  <c r="F49" i="1" a="1"/>
  <c r="F49" i="1" s="1"/>
  <c r="F33" i="1" a="1"/>
  <c r="F33" i="1" s="1"/>
  <c r="E33" i="1" a="1"/>
  <c r="E33" i="1" s="1"/>
  <c r="E17" i="1" a="1"/>
  <c r="E17" i="1" s="1"/>
  <c r="C17" i="1" s="1"/>
  <c r="A17" i="1" s="1" a="1"/>
  <c r="A17" i="1" s="1"/>
  <c r="F17" i="1" a="1"/>
  <c r="F17" i="1" s="1"/>
  <c r="E16" i="1" a="1"/>
  <c r="E16" i="1" s="1"/>
  <c r="C16" i="1" s="1"/>
  <c r="A16" i="1" s="1" a="1"/>
  <c r="A16" i="1" s="1"/>
  <c r="F16" i="1" a="1"/>
  <c r="F16" i="1" s="1"/>
  <c r="D16" i="1" s="1"/>
  <c r="B16" i="1" s="1" a="1"/>
  <c r="B16" i="1" s="1"/>
  <c r="E15" i="1" a="1"/>
  <c r="E15" i="1" s="1"/>
  <c r="C15" i="1" s="1"/>
  <c r="F15" i="1" a="1"/>
  <c r="F15" i="1" s="1"/>
  <c r="E14" i="1" a="1"/>
  <c r="E14" i="1" s="1"/>
  <c r="C14" i="1" s="1"/>
  <c r="F14" i="1" a="1"/>
  <c r="F14" i="1" s="1"/>
  <c r="D14" i="1" s="1"/>
  <c r="E417" i="1" a="1"/>
  <c r="E417" i="1" s="1"/>
  <c r="C417" i="1" s="1"/>
  <c r="F417" i="1" a="1"/>
  <c r="F417" i="1" s="1"/>
  <c r="D417" i="1" s="1"/>
  <c r="E209" i="1" a="1"/>
  <c r="E209" i="1" s="1"/>
  <c r="F209" i="1" a="1"/>
  <c r="F209" i="1" s="1"/>
  <c r="D209" i="1" s="1"/>
  <c r="B209" i="1" s="1" a="1"/>
  <c r="B209" i="1" s="1"/>
  <c r="E320" i="1" a="1"/>
  <c r="E320" i="1" s="1"/>
  <c r="C320" i="1" s="1"/>
  <c r="A320" i="1" s="1" a="1"/>
  <c r="A320" i="1" s="1"/>
  <c r="F320" i="1" a="1"/>
  <c r="F320" i="1" s="1"/>
  <c r="E192" i="1" a="1"/>
  <c r="E192" i="1" s="1"/>
  <c r="F192" i="1" a="1"/>
  <c r="F192" i="1" s="1"/>
  <c r="D192" i="1" s="1"/>
  <c r="B192" i="1" s="1" a="1"/>
  <c r="B192" i="1" s="1"/>
  <c r="E48" i="1" a="1"/>
  <c r="E48" i="1" s="1"/>
  <c r="C48" i="1" s="1"/>
  <c r="A48" i="1" s="1" a="1"/>
  <c r="A48" i="1" s="1"/>
  <c r="F48" i="1" a="1"/>
  <c r="F48" i="1" s="1"/>
  <c r="D48" i="1" s="1"/>
  <c r="B48" i="1" s="1" a="1"/>
  <c r="B48" i="1" s="1"/>
  <c r="F383" i="1" a="1"/>
  <c r="F383" i="1" s="1"/>
  <c r="E383" i="1" a="1"/>
  <c r="E383" i="1" s="1"/>
  <c r="E319" i="1" a="1"/>
  <c r="E319" i="1" s="1"/>
  <c r="F319" i="1" a="1"/>
  <c r="F319" i="1" s="1"/>
  <c r="D319" i="1" s="1"/>
  <c r="B319" i="1" s="1" a="1"/>
  <c r="B319" i="1" s="1"/>
  <c r="E271" i="1" a="1"/>
  <c r="E271" i="1" s="1"/>
  <c r="F271" i="1" a="1"/>
  <c r="F271" i="1" s="1"/>
  <c r="D271" i="1" s="1"/>
  <c r="B271" i="1" s="1" a="1"/>
  <c r="B271" i="1" s="1"/>
  <c r="E223" i="1" a="1"/>
  <c r="E223" i="1" s="1"/>
  <c r="F223" i="1" a="1"/>
  <c r="F223" i="1" s="1"/>
  <c r="D223" i="1" s="1"/>
  <c r="B223" i="1" s="1" a="1"/>
  <c r="B223" i="1" s="1"/>
  <c r="E191" i="1" a="1"/>
  <c r="E191" i="1" s="1"/>
  <c r="F191" i="1" a="1"/>
  <c r="F191" i="1" s="1"/>
  <c r="D191" i="1" s="1"/>
  <c r="B191" i="1" s="1" a="1"/>
  <c r="B191" i="1" s="1"/>
  <c r="E159" i="1" a="1"/>
  <c r="E159" i="1" s="1"/>
  <c r="F159" i="1" a="1"/>
  <c r="F159" i="1" s="1"/>
  <c r="D159" i="1" s="1"/>
  <c r="B159" i="1" s="1" a="1"/>
  <c r="B159" i="1" s="1"/>
  <c r="E127" i="1" a="1"/>
  <c r="E127" i="1" s="1"/>
  <c r="F127" i="1" a="1"/>
  <c r="F127" i="1" s="1"/>
  <c r="D127" i="1" s="1"/>
  <c r="B127" i="1" s="1" a="1"/>
  <c r="B127" i="1" s="1"/>
  <c r="E79" i="1" a="1"/>
  <c r="E79" i="1" s="1"/>
  <c r="C79" i="1" s="1"/>
  <c r="A79" i="1" s="1" a="1"/>
  <c r="A79" i="1" s="1"/>
  <c r="F79" i="1" a="1"/>
  <c r="F79" i="1" s="1"/>
  <c r="E47" i="1" a="1"/>
  <c r="E47" i="1" s="1"/>
  <c r="C47" i="1" s="1"/>
  <c r="A47" i="1" s="1" a="1"/>
  <c r="A47" i="1" s="1"/>
  <c r="F47" i="1" a="1"/>
  <c r="F47" i="1" s="1"/>
  <c r="D47" i="1" s="1"/>
  <c r="B47" i="1" s="1" a="1"/>
  <c r="B47" i="1" s="1"/>
  <c r="F430" i="1" a="1"/>
  <c r="F430" i="1" s="1"/>
  <c r="E430" i="1" a="1"/>
  <c r="E430" i="1" s="1"/>
  <c r="C430" i="1" s="1"/>
  <c r="F398" i="1" a="1"/>
  <c r="F398" i="1" s="1"/>
  <c r="D398" i="1" s="1"/>
  <c r="E398" i="1" a="1"/>
  <c r="E398" i="1" s="1"/>
  <c r="C398" i="1" s="1"/>
  <c r="F366" i="1" a="1"/>
  <c r="F366" i="1" s="1"/>
  <c r="E366" i="1" a="1"/>
  <c r="E366" i="1" s="1"/>
  <c r="E350" i="1" a="1"/>
  <c r="E350" i="1" s="1"/>
  <c r="C350" i="1" s="1"/>
  <c r="F350" i="1" a="1"/>
  <c r="F350" i="1" s="1"/>
  <c r="E318" i="1" a="1"/>
  <c r="E318" i="1" s="1"/>
  <c r="F318" i="1" a="1"/>
  <c r="F318" i="1" s="1"/>
  <c r="D318" i="1" s="1"/>
  <c r="B318" i="1" s="1" a="1"/>
  <c r="B318" i="1" s="1"/>
  <c r="E286" i="1" a="1"/>
  <c r="E286" i="1" s="1"/>
  <c r="F286" i="1" a="1"/>
  <c r="F286" i="1" s="1"/>
  <c r="D286" i="1" s="1"/>
  <c r="B286" i="1" s="1" a="1"/>
  <c r="B286" i="1" s="1"/>
  <c r="E270" i="1" a="1"/>
  <c r="E270" i="1" s="1"/>
  <c r="F270" i="1" a="1"/>
  <c r="F270" i="1" s="1"/>
  <c r="D270" i="1" s="1"/>
  <c r="B270" i="1" s="1" a="1"/>
  <c r="B270" i="1" s="1"/>
  <c r="E254" i="1" a="1"/>
  <c r="E254" i="1" s="1"/>
  <c r="F254" i="1" a="1"/>
  <c r="F254" i="1" s="1"/>
  <c r="D254" i="1" s="1"/>
  <c r="B254" i="1" s="1" a="1"/>
  <c r="B254" i="1" s="1"/>
  <c r="E238" i="1" a="1"/>
  <c r="E238" i="1" s="1"/>
  <c r="F238" i="1" a="1"/>
  <c r="F238" i="1" s="1"/>
  <c r="D238" i="1" s="1"/>
  <c r="B238" i="1" s="1" a="1"/>
  <c r="B238" i="1" s="1"/>
  <c r="E222" i="1" a="1"/>
  <c r="E222" i="1" s="1"/>
  <c r="F222" i="1" a="1"/>
  <c r="F222" i="1" s="1"/>
  <c r="D222" i="1" s="1"/>
  <c r="B222" i="1" s="1" a="1"/>
  <c r="B222" i="1" s="1"/>
  <c r="E206" i="1" a="1"/>
  <c r="E206" i="1" s="1"/>
  <c r="F206" i="1" a="1"/>
  <c r="F206" i="1" s="1"/>
  <c r="D206" i="1" s="1"/>
  <c r="B206" i="1" s="1" a="1"/>
  <c r="B206" i="1" s="1"/>
  <c r="E190" i="1" a="1"/>
  <c r="E190" i="1" s="1"/>
  <c r="F190" i="1" a="1"/>
  <c r="F190" i="1" s="1"/>
  <c r="D190" i="1" s="1"/>
  <c r="B190" i="1" s="1" a="1"/>
  <c r="B190" i="1" s="1"/>
  <c r="E174" i="1" a="1"/>
  <c r="E174" i="1" s="1"/>
  <c r="F174" i="1" a="1"/>
  <c r="F174" i="1" s="1"/>
  <c r="D174" i="1" s="1"/>
  <c r="B174" i="1" s="1" a="1"/>
  <c r="B174" i="1" s="1"/>
  <c r="E158" i="1" a="1"/>
  <c r="E158" i="1" s="1"/>
  <c r="F158" i="1" a="1"/>
  <c r="F158" i="1" s="1"/>
  <c r="D158" i="1" s="1"/>
  <c r="B158" i="1" s="1" a="1"/>
  <c r="B158" i="1" s="1"/>
  <c r="E142" i="1" a="1"/>
  <c r="E142" i="1" s="1"/>
  <c r="F142" i="1" a="1"/>
  <c r="F142" i="1" s="1"/>
  <c r="E126" i="1" a="1"/>
  <c r="E126" i="1" s="1"/>
  <c r="F126" i="1" a="1"/>
  <c r="F126" i="1" s="1"/>
  <c r="D126" i="1" s="1"/>
  <c r="B126" i="1" s="1" a="1"/>
  <c r="B126" i="1" s="1"/>
  <c r="E110" i="1" a="1"/>
  <c r="E110" i="1" s="1"/>
  <c r="F110" i="1" a="1"/>
  <c r="F110" i="1" s="1"/>
  <c r="D110" i="1" s="1"/>
  <c r="B110" i="1" s="1" a="1"/>
  <c r="B110" i="1" s="1"/>
  <c r="E94" i="1" a="1"/>
  <c r="E94" i="1" s="1"/>
  <c r="F94" i="1" a="1"/>
  <c r="F94" i="1" s="1"/>
  <c r="D94" i="1" s="1"/>
  <c r="B94" i="1" s="1" a="1"/>
  <c r="B94" i="1" s="1"/>
  <c r="E78" i="1" a="1"/>
  <c r="E78" i="1" s="1"/>
  <c r="C78" i="1" s="1"/>
  <c r="A78" i="1" s="1" a="1"/>
  <c r="A78" i="1" s="1"/>
  <c r="F78" i="1" a="1"/>
  <c r="F78" i="1" s="1"/>
  <c r="F62" i="1" a="1"/>
  <c r="F62" i="1" s="1"/>
  <c r="D62" i="1" s="1"/>
  <c r="B62" i="1" s="1" a="1"/>
  <c r="B62" i="1" s="1"/>
  <c r="E62" i="1" a="1"/>
  <c r="E62" i="1" s="1"/>
  <c r="E46" i="1" a="1"/>
  <c r="E46" i="1" s="1"/>
  <c r="C46" i="1" s="1"/>
  <c r="A46" i="1" s="1" a="1"/>
  <c r="A46" i="1" s="1"/>
  <c r="F46" i="1" a="1"/>
  <c r="F46" i="1" s="1"/>
  <c r="D46" i="1" s="1"/>
  <c r="B46" i="1" s="1" a="1"/>
  <c r="B46" i="1" s="1"/>
  <c r="E30" i="1" a="1"/>
  <c r="E30" i="1" s="1"/>
  <c r="F30" i="1" a="1"/>
  <c r="F30" i="1" s="1"/>
  <c r="D30" i="1" s="1"/>
  <c r="B30" i="1" s="1" a="1"/>
  <c r="B30" i="1" s="1"/>
  <c r="E429" i="1" a="1"/>
  <c r="E429" i="1" s="1"/>
  <c r="C429" i="1" s="1"/>
  <c r="F429" i="1" a="1"/>
  <c r="F429" i="1" s="1"/>
  <c r="D429" i="1" s="1"/>
  <c r="F413" i="1" a="1"/>
  <c r="F413" i="1" s="1"/>
  <c r="E413" i="1" a="1"/>
  <c r="E413" i="1" s="1"/>
  <c r="E397" i="1" a="1"/>
  <c r="E397" i="1" s="1"/>
  <c r="C397" i="1" s="1"/>
  <c r="F397" i="1" a="1"/>
  <c r="F397" i="1" s="1"/>
  <c r="D397" i="1" s="1"/>
  <c r="E381" i="1" a="1"/>
  <c r="E381" i="1" s="1"/>
  <c r="C381" i="1" s="1"/>
  <c r="F381" i="1" a="1"/>
  <c r="F381" i="1" s="1"/>
  <c r="D381" i="1" s="1"/>
  <c r="E365" i="1" a="1"/>
  <c r="E365" i="1" s="1"/>
  <c r="C365" i="1" s="1"/>
  <c r="F365" i="1" a="1"/>
  <c r="F365" i="1" s="1"/>
  <c r="D365" i="1" s="1"/>
  <c r="E349" i="1" a="1"/>
  <c r="E349" i="1" s="1"/>
  <c r="C349" i="1" s="1"/>
  <c r="F349" i="1" a="1"/>
  <c r="F349" i="1" s="1"/>
  <c r="D349" i="1" s="1"/>
  <c r="E333" i="1" a="1"/>
  <c r="E333" i="1" s="1"/>
  <c r="F333" i="1" a="1"/>
  <c r="F333" i="1" s="1"/>
  <c r="D333" i="1" s="1"/>
  <c r="B333" i="1" s="1" a="1"/>
  <c r="B333" i="1" s="1"/>
  <c r="E317" i="1" a="1"/>
  <c r="E317" i="1" s="1"/>
  <c r="F317" i="1" a="1"/>
  <c r="F317" i="1" s="1"/>
  <c r="D317" i="1" s="1"/>
  <c r="B317" i="1" s="1" a="1"/>
  <c r="B317" i="1" s="1"/>
  <c r="F301" i="1" a="1"/>
  <c r="F301" i="1" s="1"/>
  <c r="D301" i="1" s="1"/>
  <c r="B301" i="1" s="1" a="1"/>
  <c r="B301" i="1" s="1"/>
  <c r="E301" i="1" a="1"/>
  <c r="E301" i="1" s="1"/>
  <c r="E285" i="1" a="1"/>
  <c r="E285" i="1" s="1"/>
  <c r="F285" i="1" a="1"/>
  <c r="F285" i="1" s="1"/>
  <c r="D285" i="1" s="1"/>
  <c r="B285" i="1" s="1" a="1"/>
  <c r="B285" i="1" s="1"/>
  <c r="E269" i="1" a="1"/>
  <c r="E269" i="1" s="1"/>
  <c r="F269" i="1" a="1"/>
  <c r="F269" i="1" s="1"/>
  <c r="D269" i="1" s="1"/>
  <c r="B269" i="1" s="1" a="1"/>
  <c r="B269" i="1" s="1"/>
  <c r="E253" i="1" a="1"/>
  <c r="E253" i="1" s="1"/>
  <c r="F253" i="1" a="1"/>
  <c r="F253" i="1" s="1"/>
  <c r="D253" i="1" s="1"/>
  <c r="B253" i="1" s="1" a="1"/>
  <c r="B253" i="1" s="1"/>
  <c r="F237" i="1" a="1"/>
  <c r="F237" i="1" s="1"/>
  <c r="E237" i="1" a="1"/>
  <c r="E237" i="1" s="1"/>
  <c r="E221" i="1" a="1"/>
  <c r="E221" i="1" s="1"/>
  <c r="F221" i="1" a="1"/>
  <c r="F221" i="1" s="1"/>
  <c r="D221" i="1" s="1"/>
  <c r="B221" i="1" s="1" a="1"/>
  <c r="B221" i="1" s="1"/>
  <c r="E205" i="1" a="1"/>
  <c r="E205" i="1" s="1"/>
  <c r="F205" i="1" a="1"/>
  <c r="F205" i="1" s="1"/>
  <c r="D205" i="1" s="1"/>
  <c r="B205" i="1" s="1" a="1"/>
  <c r="B205" i="1" s="1"/>
  <c r="E189" i="1" a="1"/>
  <c r="E189" i="1" s="1"/>
  <c r="F189" i="1" a="1"/>
  <c r="F189" i="1" s="1"/>
  <c r="D189" i="1" s="1"/>
  <c r="B189" i="1" s="1" a="1"/>
  <c r="B189" i="1" s="1"/>
  <c r="F173" i="1" a="1"/>
  <c r="F173" i="1" s="1"/>
  <c r="D173" i="1" s="1"/>
  <c r="B173" i="1" s="1" a="1"/>
  <c r="B173" i="1" s="1"/>
  <c r="E173" i="1" a="1"/>
  <c r="E173" i="1" s="1"/>
  <c r="E157" i="1" a="1"/>
  <c r="E157" i="1" s="1"/>
  <c r="F157" i="1" a="1"/>
  <c r="F157" i="1" s="1"/>
  <c r="D157" i="1" s="1"/>
  <c r="B157" i="1" s="1" a="1"/>
  <c r="B157" i="1" s="1"/>
  <c r="E141" i="1" a="1"/>
  <c r="E141" i="1" s="1"/>
  <c r="F141" i="1" a="1"/>
  <c r="F141" i="1" s="1"/>
  <c r="D141" i="1" s="1"/>
  <c r="B141" i="1" s="1" a="1"/>
  <c r="B141" i="1" s="1"/>
  <c r="E125" i="1" a="1"/>
  <c r="E125" i="1" s="1"/>
  <c r="C125" i="1" s="1"/>
  <c r="A125" i="1" s="1" a="1"/>
  <c r="A125" i="1" s="1"/>
  <c r="F125" i="1" a="1"/>
  <c r="F125" i="1" s="1"/>
  <c r="E109" i="1" a="1"/>
  <c r="E109" i="1" s="1"/>
  <c r="F109" i="1" a="1"/>
  <c r="F109" i="1" s="1"/>
  <c r="D109" i="1" s="1"/>
  <c r="B109" i="1" s="1" a="1"/>
  <c r="B109" i="1" s="1"/>
  <c r="E93" i="1" a="1"/>
  <c r="E93" i="1" s="1"/>
  <c r="C93" i="1" s="1"/>
  <c r="A93" i="1" s="1" a="1"/>
  <c r="A93" i="1" s="1"/>
  <c r="F93" i="1" a="1"/>
  <c r="F93" i="1" s="1"/>
  <c r="E77" i="1" a="1"/>
  <c r="E77" i="1" s="1"/>
  <c r="F77" i="1" a="1"/>
  <c r="F77" i="1" s="1"/>
  <c r="D77" i="1" s="1"/>
  <c r="B77" i="1" s="1" a="1"/>
  <c r="B77" i="1" s="1"/>
  <c r="E61" i="1" a="1"/>
  <c r="E61" i="1" s="1"/>
  <c r="C61" i="1" s="1"/>
  <c r="A61" i="1" s="1" a="1"/>
  <c r="A61" i="1" s="1"/>
  <c r="F61" i="1" a="1"/>
  <c r="F61" i="1" s="1"/>
  <c r="D61" i="1" s="1"/>
  <c r="B61" i="1" s="1" a="1"/>
  <c r="B61" i="1" s="1"/>
  <c r="E45" i="1" a="1"/>
  <c r="E45" i="1" s="1"/>
  <c r="C45" i="1" s="1"/>
  <c r="A45" i="1" s="1" a="1"/>
  <c r="A45" i="1" s="1"/>
  <c r="F45" i="1" a="1"/>
  <c r="F45" i="1" s="1"/>
  <c r="D45" i="1" s="1"/>
  <c r="B45" i="1" s="1" a="1"/>
  <c r="B45" i="1" s="1"/>
  <c r="E29" i="1" a="1"/>
  <c r="E29" i="1" s="1"/>
  <c r="C29" i="1" s="1"/>
  <c r="A29" i="1" s="1" a="1"/>
  <c r="A29" i="1" s="1"/>
  <c r="F29" i="1" a="1"/>
  <c r="F29" i="1" s="1"/>
  <c r="D29" i="1" s="1"/>
  <c r="B29" i="1" s="1" a="1"/>
  <c r="B29" i="1" s="1"/>
  <c r="E13" i="1" a="1"/>
  <c r="E13" i="1" s="1"/>
  <c r="C13" i="1" s="1"/>
  <c r="F13" i="1" a="1"/>
  <c r="F13" i="1" s="1"/>
  <c r="D13" i="1" s="1"/>
  <c r="E353" i="1" a="1"/>
  <c r="E353" i="1" s="1"/>
  <c r="C353" i="1" s="1"/>
  <c r="F353" i="1" a="1"/>
  <c r="F353" i="1" s="1"/>
  <c r="E177" i="1" a="1"/>
  <c r="E177" i="1" s="1"/>
  <c r="F177" i="1" a="1"/>
  <c r="F177" i="1" s="1"/>
  <c r="D177" i="1" s="1"/>
  <c r="B177" i="1" s="1" a="1"/>
  <c r="B177" i="1" s="1"/>
  <c r="F336" i="1" a="1"/>
  <c r="F336" i="1" s="1"/>
  <c r="E336" i="1" a="1"/>
  <c r="E336" i="1" s="1"/>
  <c r="F208" i="1" a="1"/>
  <c r="F208" i="1" s="1"/>
  <c r="D208" i="1" s="1"/>
  <c r="B208" i="1" s="1" a="1"/>
  <c r="B208" i="1" s="1"/>
  <c r="E208" i="1" a="1"/>
  <c r="E208" i="1" s="1"/>
  <c r="E80" i="1" a="1"/>
  <c r="E80" i="1" s="1"/>
  <c r="F80" i="1" a="1"/>
  <c r="F80" i="1" s="1"/>
  <c r="D80" i="1" s="1"/>
  <c r="B80" i="1" s="1" a="1"/>
  <c r="B80" i="1" s="1"/>
  <c r="E399" i="1" a="1"/>
  <c r="E399" i="1" s="1"/>
  <c r="C399" i="1" s="1"/>
  <c r="F399" i="1" a="1"/>
  <c r="F399" i="1" s="1"/>
  <c r="D399" i="1" s="1"/>
  <c r="E303" i="1" a="1"/>
  <c r="E303" i="1" s="1"/>
  <c r="F303" i="1" a="1"/>
  <c r="F303" i="1" s="1"/>
  <c r="D303" i="1" s="1"/>
  <c r="B303" i="1" s="1" a="1"/>
  <c r="B303" i="1" s="1"/>
  <c r="E255" i="1" a="1"/>
  <c r="E255" i="1" s="1"/>
  <c r="F255" i="1" a="1"/>
  <c r="F255" i="1" s="1"/>
  <c r="D255" i="1" s="1"/>
  <c r="B255" i="1" s="1" a="1"/>
  <c r="B255" i="1" s="1"/>
  <c r="E239" i="1" a="1"/>
  <c r="E239" i="1" s="1"/>
  <c r="F239" i="1" a="1"/>
  <c r="F239" i="1" s="1"/>
  <c r="D239" i="1" s="1"/>
  <c r="B239" i="1" s="1" a="1"/>
  <c r="B239" i="1" s="1"/>
  <c r="E207" i="1" a="1"/>
  <c r="E207" i="1" s="1"/>
  <c r="F207" i="1" a="1"/>
  <c r="F207" i="1" s="1"/>
  <c r="D207" i="1" s="1"/>
  <c r="B207" i="1" s="1" a="1"/>
  <c r="B207" i="1" s="1"/>
  <c r="E175" i="1" a="1"/>
  <c r="E175" i="1" s="1"/>
  <c r="F175" i="1" a="1"/>
  <c r="F175" i="1" s="1"/>
  <c r="D175" i="1" s="1"/>
  <c r="B175" i="1" s="1" a="1"/>
  <c r="B175" i="1" s="1"/>
  <c r="E143" i="1" a="1"/>
  <c r="E143" i="1" s="1"/>
  <c r="F143" i="1" a="1"/>
  <c r="F143" i="1" s="1"/>
  <c r="D143" i="1" s="1"/>
  <c r="B143" i="1" s="1" a="1"/>
  <c r="B143" i="1" s="1"/>
  <c r="E111" i="1" a="1"/>
  <c r="E111" i="1" s="1"/>
  <c r="F111" i="1" a="1"/>
  <c r="F111" i="1" s="1"/>
  <c r="D111" i="1" s="1"/>
  <c r="B111" i="1" s="1" a="1"/>
  <c r="B111" i="1" s="1"/>
  <c r="E95" i="1" a="1"/>
  <c r="E95" i="1" s="1"/>
  <c r="F95" i="1" a="1"/>
  <c r="F95" i="1" s="1"/>
  <c r="D95" i="1" s="1"/>
  <c r="B95" i="1" s="1" a="1"/>
  <c r="B95" i="1" s="1"/>
  <c r="E63" i="1" a="1"/>
  <c r="E63" i="1" s="1"/>
  <c r="F63" i="1" a="1"/>
  <c r="F63" i="1" s="1"/>
  <c r="D63" i="1" s="1"/>
  <c r="B63" i="1" s="1" a="1"/>
  <c r="B63" i="1" s="1"/>
  <c r="E31" i="1" a="1"/>
  <c r="E31" i="1" s="1"/>
  <c r="C31" i="1" s="1"/>
  <c r="A31" i="1" s="1" a="1"/>
  <c r="A31" i="1" s="1"/>
  <c r="F31" i="1" a="1"/>
  <c r="F31" i="1" s="1"/>
  <c r="D31" i="1" s="1"/>
  <c r="B31" i="1" s="1" a="1"/>
  <c r="B31" i="1" s="1"/>
  <c r="E414" i="1" a="1"/>
  <c r="E414" i="1" s="1"/>
  <c r="F414" i="1" a="1"/>
  <c r="F414" i="1" s="1"/>
  <c r="D414" i="1" s="1"/>
  <c r="E382" i="1" a="1"/>
  <c r="E382" i="1" s="1"/>
  <c r="C382" i="1" s="1"/>
  <c r="F382" i="1" a="1"/>
  <c r="F382" i="1" s="1"/>
  <c r="E334" i="1" a="1"/>
  <c r="E334" i="1" s="1"/>
  <c r="F334" i="1" a="1"/>
  <c r="F334" i="1" s="1"/>
  <c r="D334" i="1" s="1"/>
  <c r="B334" i="1" s="1" a="1"/>
  <c r="B334" i="1" s="1"/>
  <c r="E302" i="1" a="1"/>
  <c r="E302" i="1" s="1"/>
  <c r="F302" i="1" a="1"/>
  <c r="F302" i="1" s="1"/>
  <c r="D302" i="1" s="1"/>
  <c r="B302" i="1" s="1" a="1"/>
  <c r="B302" i="1" s="1"/>
  <c r="E428" i="1" a="1"/>
  <c r="E428" i="1" s="1"/>
  <c r="C428" i="1" s="1"/>
  <c r="F428" i="1" a="1"/>
  <c r="F428" i="1" s="1"/>
  <c r="D428" i="1" s="1"/>
  <c r="E412" i="1" a="1"/>
  <c r="E412" i="1" s="1"/>
  <c r="C412" i="1" s="1"/>
  <c r="F412" i="1" a="1"/>
  <c r="F412" i="1" s="1"/>
  <c r="D412" i="1" s="1"/>
  <c r="F396" i="1" a="1"/>
  <c r="F396" i="1" s="1"/>
  <c r="E396" i="1" a="1"/>
  <c r="E396" i="1" s="1"/>
  <c r="E380" i="1" a="1"/>
  <c r="E380" i="1" s="1"/>
  <c r="C380" i="1" s="1"/>
  <c r="F380" i="1" a="1"/>
  <c r="F380" i="1" s="1"/>
  <c r="D380" i="1" s="1"/>
  <c r="E364" i="1" a="1"/>
  <c r="E364" i="1" s="1"/>
  <c r="C364" i="1" s="1"/>
  <c r="F364" i="1" a="1"/>
  <c r="F364" i="1" s="1"/>
  <c r="D364" i="1" s="1"/>
  <c r="E348" i="1" a="1"/>
  <c r="E348" i="1" s="1"/>
  <c r="C348" i="1" s="1"/>
  <c r="F348" i="1" a="1"/>
  <c r="F348" i="1" s="1"/>
  <c r="D348" i="1" s="1"/>
  <c r="E332" i="1" a="1"/>
  <c r="E332" i="1" s="1"/>
  <c r="F332" i="1" a="1"/>
  <c r="F332" i="1" s="1"/>
  <c r="D332" i="1" s="1"/>
  <c r="B332" i="1" s="1" a="1"/>
  <c r="B332" i="1" s="1"/>
  <c r="E316" i="1" a="1"/>
  <c r="E316" i="1" s="1"/>
  <c r="F316" i="1" a="1"/>
  <c r="F316" i="1" s="1"/>
  <c r="D316" i="1" s="1"/>
  <c r="B316" i="1" s="1" a="1"/>
  <c r="B316" i="1" s="1"/>
  <c r="E300" i="1" a="1"/>
  <c r="E300" i="1" s="1"/>
  <c r="F300" i="1" a="1"/>
  <c r="F300" i="1" s="1"/>
  <c r="D300" i="1" s="1"/>
  <c r="B300" i="1" s="1" a="1"/>
  <c r="B300" i="1" s="1"/>
  <c r="E284" i="1" a="1"/>
  <c r="E284" i="1" s="1"/>
  <c r="F284" i="1" a="1"/>
  <c r="F284" i="1" s="1"/>
  <c r="D284" i="1" s="1"/>
  <c r="B284" i="1" s="1" a="1"/>
  <c r="B284" i="1" s="1"/>
  <c r="E268" i="1" a="1"/>
  <c r="E268" i="1" s="1"/>
  <c r="F268" i="1" a="1"/>
  <c r="F268" i="1" s="1"/>
  <c r="D268" i="1" s="1"/>
  <c r="B268" i="1" s="1" a="1"/>
  <c r="B268" i="1" s="1"/>
  <c r="E252" i="1" a="1"/>
  <c r="E252" i="1" s="1"/>
  <c r="F252" i="1" a="1"/>
  <c r="F252" i="1" s="1"/>
  <c r="D252" i="1" s="1"/>
  <c r="B252" i="1" s="1" a="1"/>
  <c r="B252" i="1" s="1"/>
  <c r="E236" i="1" a="1"/>
  <c r="E236" i="1" s="1"/>
  <c r="F236" i="1" a="1"/>
  <c r="F236" i="1" s="1"/>
  <c r="D236" i="1" s="1"/>
  <c r="B236" i="1" s="1" a="1"/>
  <c r="B236" i="1" s="1"/>
  <c r="E220" i="1" a="1"/>
  <c r="E220" i="1" s="1"/>
  <c r="F220" i="1" a="1"/>
  <c r="F220" i="1" s="1"/>
  <c r="D220" i="1" s="1"/>
  <c r="B220" i="1" s="1" a="1"/>
  <c r="B220" i="1" s="1"/>
  <c r="E204" i="1" a="1"/>
  <c r="E204" i="1" s="1"/>
  <c r="F204" i="1" a="1"/>
  <c r="F204" i="1" s="1"/>
  <c r="D204" i="1" s="1"/>
  <c r="B204" i="1" s="1" a="1"/>
  <c r="B204" i="1" s="1"/>
  <c r="E188" i="1" a="1"/>
  <c r="E188" i="1" s="1"/>
  <c r="F188" i="1" a="1"/>
  <c r="F188" i="1" s="1"/>
  <c r="D188" i="1" s="1"/>
  <c r="B188" i="1" s="1" a="1"/>
  <c r="B188" i="1" s="1"/>
  <c r="E172" i="1" a="1"/>
  <c r="E172" i="1" s="1"/>
  <c r="F172" i="1" a="1"/>
  <c r="F172" i="1" s="1"/>
  <c r="D172" i="1" s="1"/>
  <c r="B172" i="1" s="1" a="1"/>
  <c r="B172" i="1" s="1"/>
  <c r="E156" i="1" a="1"/>
  <c r="E156" i="1" s="1"/>
  <c r="F156" i="1" a="1"/>
  <c r="F156" i="1" s="1"/>
  <c r="E140" i="1" a="1"/>
  <c r="E140" i="1" s="1"/>
  <c r="F140" i="1" a="1"/>
  <c r="F140" i="1" s="1"/>
  <c r="D140" i="1" s="1"/>
  <c r="B140" i="1" s="1" a="1"/>
  <c r="B140" i="1" s="1"/>
  <c r="E124" i="1" a="1"/>
  <c r="E124" i="1" s="1"/>
  <c r="F124" i="1" a="1"/>
  <c r="F124" i="1" s="1"/>
  <c r="D124" i="1" s="1"/>
  <c r="B124" i="1" s="1" a="1"/>
  <c r="B124" i="1" s="1"/>
  <c r="E108" i="1" a="1"/>
  <c r="E108" i="1" s="1"/>
  <c r="F108" i="1" a="1"/>
  <c r="F108" i="1" s="1"/>
  <c r="D108" i="1" s="1"/>
  <c r="B108" i="1" s="1" a="1"/>
  <c r="B108" i="1" s="1"/>
  <c r="E92" i="1" a="1"/>
  <c r="E92" i="1" s="1"/>
  <c r="C92" i="1" s="1"/>
  <c r="A92" i="1" s="1" a="1"/>
  <c r="A92" i="1" s="1"/>
  <c r="F92" i="1" a="1"/>
  <c r="F92" i="1" s="1"/>
  <c r="E76" i="1" a="1"/>
  <c r="E76" i="1" s="1"/>
  <c r="F76" i="1" a="1"/>
  <c r="F76" i="1" s="1"/>
  <c r="D76" i="1" s="1"/>
  <c r="B76" i="1" s="1" a="1"/>
  <c r="B76" i="1" s="1"/>
  <c r="E60" i="1" a="1"/>
  <c r="E60" i="1" s="1"/>
  <c r="C60" i="1" s="1"/>
  <c r="A60" i="1" s="1" a="1"/>
  <c r="A60" i="1" s="1"/>
  <c r="F60" i="1" a="1"/>
  <c r="F60" i="1" s="1"/>
  <c r="D60" i="1" s="1"/>
  <c r="B60" i="1" s="1" a="1"/>
  <c r="B60" i="1" s="1"/>
  <c r="E44" i="1" a="1"/>
  <c r="E44" i="1" s="1"/>
  <c r="C44" i="1" s="1"/>
  <c r="A44" i="1" s="1" a="1"/>
  <c r="A44" i="1" s="1"/>
  <c r="F44" i="1" a="1"/>
  <c r="F44" i="1" s="1"/>
  <c r="D44" i="1" s="1"/>
  <c r="B44" i="1" s="1" a="1"/>
  <c r="B44" i="1" s="1"/>
  <c r="E28" i="1" a="1"/>
  <c r="E28" i="1" s="1"/>
  <c r="C28" i="1" s="1"/>
  <c r="A28" i="1" s="1" a="1"/>
  <c r="A28" i="1" s="1"/>
  <c r="F28" i="1" a="1"/>
  <c r="F28" i="1" s="1"/>
  <c r="D28" i="1" s="1"/>
  <c r="B28" i="1" s="1" a="1"/>
  <c r="B28" i="1" s="1"/>
  <c r="E12" i="1" a="1"/>
  <c r="E12" i="1" s="1"/>
  <c r="C12" i="1" s="1"/>
  <c r="F12" i="1" a="1"/>
  <c r="F12" i="1" s="1"/>
  <c r="D12" i="1" s="1"/>
  <c r="E273" i="1" a="1"/>
  <c r="E273" i="1" s="1"/>
  <c r="F273" i="1" a="1"/>
  <c r="F273" i="1" s="1"/>
  <c r="D273" i="1" s="1"/>
  <c r="B273" i="1" s="1" a="1"/>
  <c r="B273" i="1" s="1"/>
  <c r="E288" i="1" a="1"/>
  <c r="E288" i="1" s="1"/>
  <c r="F288" i="1" a="1"/>
  <c r="F288" i="1" s="1"/>
  <c r="D288" i="1" s="1"/>
  <c r="B288" i="1" s="1" a="1"/>
  <c r="B288" i="1" s="1"/>
  <c r="E112" i="1" a="1"/>
  <c r="E112" i="1" s="1"/>
  <c r="F112" i="1" a="1"/>
  <c r="F112" i="1" s="1"/>
  <c r="D112" i="1" s="1"/>
  <c r="B112" i="1" s="1" a="1"/>
  <c r="B112" i="1" s="1"/>
  <c r="F2" i="1" a="1"/>
  <c r="F2" i="1" s="1"/>
  <c r="D2" i="1" s="1"/>
  <c r="E2" i="1" a="1"/>
  <c r="E2" i="1" s="1"/>
  <c r="C2" i="1" s="1"/>
  <c r="E351" i="1" a="1"/>
  <c r="E351" i="1" s="1"/>
  <c r="C351" i="1" s="1"/>
  <c r="F351" i="1" a="1"/>
  <c r="F351" i="1" s="1"/>
  <c r="D351" i="1" s="1"/>
  <c r="E411" i="1" a="1"/>
  <c r="E411" i="1" s="1"/>
  <c r="C411" i="1" s="1"/>
  <c r="F411" i="1" a="1"/>
  <c r="F411" i="1" s="1"/>
  <c r="D411" i="1" s="1"/>
  <c r="E347" i="1" a="1"/>
  <c r="E347" i="1" s="1"/>
  <c r="C347" i="1" s="1"/>
  <c r="F347" i="1" a="1"/>
  <c r="F347" i="1" s="1"/>
  <c r="D347" i="1" s="1"/>
  <c r="E283" i="1" a="1"/>
  <c r="E283" i="1" s="1"/>
  <c r="F283" i="1" a="1"/>
  <c r="F283" i="1" s="1"/>
  <c r="D283" i="1" s="1"/>
  <c r="B283" i="1" s="1" a="1"/>
  <c r="B283" i="1" s="1"/>
  <c r="E235" i="1" a="1"/>
  <c r="E235" i="1" s="1"/>
  <c r="C235" i="1" s="1"/>
  <c r="A235" i="1" s="1" a="1"/>
  <c r="A235" i="1" s="1"/>
  <c r="F235" i="1" a="1"/>
  <c r="F235" i="1" s="1"/>
  <c r="E155" i="1" a="1"/>
  <c r="E155" i="1" s="1"/>
  <c r="F155" i="1" a="1"/>
  <c r="F155" i="1" s="1"/>
  <c r="D155" i="1" s="1"/>
  <c r="B155" i="1" s="1" a="1"/>
  <c r="B155" i="1" s="1"/>
  <c r="F91" i="1" a="1"/>
  <c r="F91" i="1" s="1"/>
  <c r="E91" i="1" a="1"/>
  <c r="E91" i="1" s="1"/>
  <c r="E11" i="1" a="1"/>
  <c r="E11" i="1" s="1"/>
  <c r="C11" i="1" s="1"/>
  <c r="F11" i="1" a="1"/>
  <c r="F11" i="1" s="1"/>
  <c r="D11" i="1" s="1"/>
  <c r="E401" i="1" a="1"/>
  <c r="E401" i="1" s="1"/>
  <c r="C401" i="1" s="1"/>
  <c r="F401" i="1" a="1"/>
  <c r="F401" i="1" s="1"/>
  <c r="D401" i="1" s="1"/>
  <c r="E257" i="1" a="1"/>
  <c r="E257" i="1" s="1"/>
  <c r="F257" i="1" a="1"/>
  <c r="F257" i="1" s="1"/>
  <c r="D257" i="1" s="1"/>
  <c r="B257" i="1" s="1" a="1"/>
  <c r="B257" i="1" s="1"/>
  <c r="E400" i="1" a="1"/>
  <c r="E400" i="1" s="1"/>
  <c r="C400" i="1" s="1"/>
  <c r="F400" i="1" a="1"/>
  <c r="F400" i="1" s="1"/>
  <c r="D400" i="1" s="1"/>
  <c r="E304" i="1" a="1"/>
  <c r="E304" i="1" s="1"/>
  <c r="F304" i="1" a="1"/>
  <c r="F304" i="1" s="1"/>
  <c r="D304" i="1" s="1"/>
  <c r="B304" i="1" s="1" a="1"/>
  <c r="B304" i="1" s="1"/>
  <c r="E160" i="1" a="1"/>
  <c r="E160" i="1" s="1"/>
  <c r="F160" i="1" a="1"/>
  <c r="F160" i="1" s="1"/>
  <c r="D160" i="1" s="1"/>
  <c r="B160" i="1" s="1" a="1"/>
  <c r="B160" i="1" s="1"/>
  <c r="E32" i="1" a="1"/>
  <c r="E32" i="1" s="1"/>
  <c r="C32" i="1" s="1"/>
  <c r="A32" i="1" s="1" a="1"/>
  <c r="A32" i="1" s="1"/>
  <c r="F32" i="1" a="1"/>
  <c r="F32" i="1" s="1"/>
  <c r="D32" i="1" s="1"/>
  <c r="B32" i="1" s="1" a="1"/>
  <c r="B32" i="1" s="1"/>
  <c r="E367" i="1" a="1"/>
  <c r="E367" i="1" s="1"/>
  <c r="C367" i="1" s="1"/>
  <c r="F367" i="1" a="1"/>
  <c r="F367" i="1" s="1"/>
  <c r="D367" i="1" s="1"/>
  <c r="E335" i="1" a="1"/>
  <c r="E335" i="1" s="1"/>
  <c r="C335" i="1" s="1"/>
  <c r="F335" i="1" a="1"/>
  <c r="F335" i="1" s="1"/>
  <c r="D335" i="1" s="1"/>
  <c r="F427" i="1" a="1"/>
  <c r="F427" i="1" s="1"/>
  <c r="D427" i="1" s="1"/>
  <c r="E427" i="1" a="1"/>
  <c r="E427" i="1" s="1"/>
  <c r="C427" i="1" s="1"/>
  <c r="E379" i="1" a="1"/>
  <c r="E379" i="1" s="1"/>
  <c r="C379" i="1" s="1"/>
  <c r="F379" i="1" a="1"/>
  <c r="F379" i="1" s="1"/>
  <c r="D379" i="1" s="1"/>
  <c r="E331" i="1" a="1"/>
  <c r="E331" i="1" s="1"/>
  <c r="F331" i="1" a="1"/>
  <c r="F331" i="1" s="1"/>
  <c r="D331" i="1" s="1"/>
  <c r="B331" i="1" s="1" a="1"/>
  <c r="B331" i="1" s="1"/>
  <c r="E315" i="1" a="1"/>
  <c r="E315" i="1" s="1"/>
  <c r="F315" i="1" a="1"/>
  <c r="F315" i="1" s="1"/>
  <c r="D315" i="1" s="1"/>
  <c r="B315" i="1" s="1" a="1"/>
  <c r="B315" i="1" s="1"/>
  <c r="E267" i="1" a="1"/>
  <c r="E267" i="1" s="1"/>
  <c r="F267" i="1" a="1"/>
  <c r="F267" i="1" s="1"/>
  <c r="D267" i="1" s="1"/>
  <c r="B267" i="1" s="1" a="1"/>
  <c r="B267" i="1" s="1"/>
  <c r="E219" i="1" a="1"/>
  <c r="E219" i="1" s="1"/>
  <c r="F219" i="1" a="1"/>
  <c r="F219" i="1" s="1"/>
  <c r="D219" i="1" s="1"/>
  <c r="B219" i="1" s="1" a="1"/>
  <c r="B219" i="1" s="1"/>
  <c r="E187" i="1" a="1"/>
  <c r="E187" i="1" s="1"/>
  <c r="F187" i="1" a="1"/>
  <c r="F187" i="1" s="1"/>
  <c r="D187" i="1" s="1"/>
  <c r="B187" i="1" s="1" a="1"/>
  <c r="B187" i="1" s="1"/>
  <c r="E123" i="1" a="1"/>
  <c r="E123" i="1" s="1"/>
  <c r="F123" i="1" a="1"/>
  <c r="F123" i="1" s="1"/>
  <c r="D123" i="1" s="1"/>
  <c r="B123" i="1" s="1" a="1"/>
  <c r="B123" i="1" s="1"/>
  <c r="E107" i="1" a="1"/>
  <c r="E107" i="1" s="1"/>
  <c r="F107" i="1" a="1"/>
  <c r="F107" i="1" s="1"/>
  <c r="D107" i="1" s="1"/>
  <c r="B107" i="1" s="1" a="1"/>
  <c r="B107" i="1" s="1"/>
  <c r="E75" i="1" a="1"/>
  <c r="E75" i="1" s="1"/>
  <c r="F75" i="1" a="1"/>
  <c r="F75" i="1" s="1"/>
  <c r="D75" i="1" s="1"/>
  <c r="B75" i="1" s="1" a="1"/>
  <c r="B75" i="1" s="1"/>
  <c r="E43" i="1" a="1"/>
  <c r="E43" i="1" s="1"/>
  <c r="C43" i="1" s="1"/>
  <c r="A43" i="1" s="1" a="1"/>
  <c r="A43" i="1" s="1"/>
  <c r="F43" i="1" a="1"/>
  <c r="F43" i="1" s="1"/>
  <c r="D43" i="1" s="1"/>
  <c r="B43" i="1" s="1" a="1"/>
  <c r="B43" i="1" s="1"/>
  <c r="F27" i="1" a="1"/>
  <c r="F27" i="1" s="1"/>
  <c r="D27" i="1" s="1"/>
  <c r="B27" i="1" s="1" a="1"/>
  <c r="B27" i="1" s="1"/>
  <c r="E27" i="1" a="1"/>
  <c r="E27" i="1" s="1"/>
  <c r="C27" i="1" s="1"/>
  <c r="A27" i="1" s="1" a="1"/>
  <c r="A27" i="1" s="1"/>
  <c r="E426" i="1" a="1"/>
  <c r="E426" i="1" s="1"/>
  <c r="C426" i="1" s="1"/>
  <c r="F426" i="1" a="1"/>
  <c r="F426" i="1" s="1"/>
  <c r="D426" i="1" s="1"/>
  <c r="F410" i="1" a="1"/>
  <c r="F410" i="1" s="1"/>
  <c r="D410" i="1" s="1"/>
  <c r="E410" i="1" a="1"/>
  <c r="E410" i="1" s="1"/>
  <c r="C410" i="1" s="1"/>
  <c r="E394" i="1" a="1"/>
  <c r="E394" i="1" s="1"/>
  <c r="C394" i="1" s="1"/>
  <c r="F394" i="1" a="1"/>
  <c r="F394" i="1" s="1"/>
  <c r="D394" i="1" s="1"/>
  <c r="E378" i="1" a="1"/>
  <c r="E378" i="1" s="1"/>
  <c r="C378" i="1" s="1"/>
  <c r="F378" i="1" a="1"/>
  <c r="F378" i="1" s="1"/>
  <c r="D378" i="1" s="1"/>
  <c r="E362" i="1" a="1"/>
  <c r="E362" i="1" s="1"/>
  <c r="C362" i="1" s="1"/>
  <c r="F362" i="1" a="1"/>
  <c r="F362" i="1" s="1"/>
  <c r="D362" i="1" s="1"/>
  <c r="F346" i="1" a="1"/>
  <c r="F346" i="1" s="1"/>
  <c r="E346" i="1" a="1"/>
  <c r="E346" i="1" s="1"/>
  <c r="F330" i="1" a="1"/>
  <c r="F330" i="1" s="1"/>
  <c r="D330" i="1" s="1"/>
  <c r="B330" i="1" s="1" a="1"/>
  <c r="B330" i="1" s="1"/>
  <c r="E330" i="1" a="1"/>
  <c r="E330" i="1" s="1"/>
  <c r="E314" i="1" a="1"/>
  <c r="E314" i="1" s="1"/>
  <c r="F314" i="1" a="1"/>
  <c r="F314" i="1" s="1"/>
  <c r="D314" i="1" s="1"/>
  <c r="B314" i="1" s="1" a="1"/>
  <c r="B314" i="1" s="1"/>
  <c r="E298" i="1" a="1"/>
  <c r="E298" i="1" s="1"/>
  <c r="F298" i="1" a="1"/>
  <c r="F298" i="1" s="1"/>
  <c r="D298" i="1" s="1"/>
  <c r="B298" i="1" s="1" a="1"/>
  <c r="B298" i="1" s="1"/>
  <c r="E282" i="1" a="1"/>
  <c r="E282" i="1" s="1"/>
  <c r="F282" i="1" a="1"/>
  <c r="F282" i="1" s="1"/>
  <c r="D282" i="1" s="1"/>
  <c r="B282" i="1" s="1" a="1"/>
  <c r="B282" i="1" s="1"/>
  <c r="F266" i="1" a="1"/>
  <c r="F266" i="1" s="1"/>
  <c r="E266" i="1" a="1"/>
  <c r="E266" i="1" s="1"/>
  <c r="E250" i="1" a="1"/>
  <c r="E250" i="1" s="1"/>
  <c r="C250" i="1" s="1"/>
  <c r="A250" i="1" s="1" a="1"/>
  <c r="A250" i="1" s="1"/>
  <c r="F250" i="1" a="1"/>
  <c r="F250" i="1" s="1"/>
  <c r="E234" i="1" a="1"/>
  <c r="E234" i="1" s="1"/>
  <c r="F234" i="1" a="1"/>
  <c r="F234" i="1" s="1"/>
  <c r="D234" i="1" s="1"/>
  <c r="B234" i="1" s="1" a="1"/>
  <c r="B234" i="1" s="1"/>
  <c r="E218" i="1" a="1"/>
  <c r="E218" i="1" s="1"/>
  <c r="F218" i="1" a="1"/>
  <c r="F218" i="1" s="1"/>
  <c r="D218" i="1" s="1"/>
  <c r="B218" i="1" s="1" a="1"/>
  <c r="B218" i="1" s="1"/>
  <c r="F202" i="1" a="1"/>
  <c r="F202" i="1" s="1"/>
  <c r="D202" i="1" s="1"/>
  <c r="B202" i="1" s="1" a="1"/>
  <c r="B202" i="1" s="1"/>
  <c r="E202" i="1" a="1"/>
  <c r="E202" i="1" s="1"/>
  <c r="E186" i="1" a="1"/>
  <c r="E186" i="1" s="1"/>
  <c r="F186" i="1" a="1"/>
  <c r="F186" i="1" s="1"/>
  <c r="D186" i="1" s="1"/>
  <c r="B186" i="1" s="1" a="1"/>
  <c r="B186" i="1" s="1"/>
  <c r="E170" i="1" a="1"/>
  <c r="E170" i="1" s="1"/>
  <c r="F170" i="1" a="1"/>
  <c r="F170" i="1" s="1"/>
  <c r="D170" i="1" s="1"/>
  <c r="B170" i="1" s="1" a="1"/>
  <c r="B170" i="1" s="1"/>
  <c r="E154" i="1" a="1"/>
  <c r="E154" i="1" s="1"/>
  <c r="C154" i="1" s="1"/>
  <c r="A154" i="1" s="1" a="1"/>
  <c r="A154" i="1" s="1"/>
  <c r="F154" i="1" a="1"/>
  <c r="F154" i="1" s="1"/>
  <c r="F138" i="1" a="1"/>
  <c r="F138" i="1" s="1"/>
  <c r="E138" i="1" a="1"/>
  <c r="E138" i="1" s="1"/>
  <c r="E122" i="1" a="1"/>
  <c r="E122" i="1" s="1"/>
  <c r="C122" i="1" s="1"/>
  <c r="A122" i="1" s="1" a="1"/>
  <c r="A122" i="1" s="1"/>
  <c r="F122" i="1" a="1"/>
  <c r="F122" i="1" s="1"/>
  <c r="E106" i="1" a="1"/>
  <c r="E106" i="1" s="1"/>
  <c r="F106" i="1" a="1"/>
  <c r="F106" i="1" s="1"/>
  <c r="D106" i="1" s="1"/>
  <c r="B106" i="1" s="1" a="1"/>
  <c r="B106" i="1" s="1"/>
  <c r="E90" i="1" a="1"/>
  <c r="E90" i="1" s="1"/>
  <c r="F90" i="1" a="1"/>
  <c r="F90" i="1" s="1"/>
  <c r="D90" i="1" s="1"/>
  <c r="B90" i="1" s="1" a="1"/>
  <c r="B90" i="1" s="1"/>
  <c r="F74" i="1" a="1"/>
  <c r="F74" i="1" s="1"/>
  <c r="D74" i="1" s="1"/>
  <c r="B74" i="1" s="1" a="1"/>
  <c r="B74" i="1" s="1"/>
  <c r="E74" i="1" a="1"/>
  <c r="E74" i="1" s="1"/>
  <c r="E58" i="1" a="1"/>
  <c r="E58" i="1" s="1"/>
  <c r="C58" i="1" s="1"/>
  <c r="A58" i="1" s="1" a="1"/>
  <c r="A58" i="1" s="1"/>
  <c r="F58" i="1" a="1"/>
  <c r="F58" i="1" s="1"/>
  <c r="E42" i="1" a="1"/>
  <c r="E42" i="1" s="1"/>
  <c r="C42" i="1" s="1"/>
  <c r="A42" i="1" s="1" a="1"/>
  <c r="A42" i="1" s="1"/>
  <c r="F42" i="1" a="1"/>
  <c r="F42" i="1" s="1"/>
  <c r="D42" i="1" s="1"/>
  <c r="B42" i="1" s="1" a="1"/>
  <c r="B42" i="1" s="1"/>
  <c r="E26" i="1" a="1"/>
  <c r="E26" i="1" s="1"/>
  <c r="C26" i="1" s="1"/>
  <c r="A26" i="1" s="1" a="1"/>
  <c r="A26" i="1" s="1"/>
  <c r="F26" i="1" a="1"/>
  <c r="F26" i="1" s="1"/>
  <c r="D26" i="1" s="1"/>
  <c r="B26" i="1" s="1" a="1"/>
  <c r="B26" i="1" s="1"/>
  <c r="F10" i="1" a="1"/>
  <c r="F10" i="1" s="1"/>
  <c r="D10" i="1" s="1"/>
  <c r="E10" i="1" a="1"/>
  <c r="E10" i="1" s="1"/>
  <c r="C10" i="1" s="1"/>
  <c r="E385" i="1" a="1"/>
  <c r="E385" i="1" s="1"/>
  <c r="C385" i="1" s="1"/>
  <c r="F385" i="1" a="1"/>
  <c r="F385" i="1" s="1"/>
  <c r="D385" i="1" s="1"/>
  <c r="E241" i="1" a="1"/>
  <c r="E241" i="1" s="1"/>
  <c r="F241" i="1" a="1"/>
  <c r="F241" i="1" s="1"/>
  <c r="D241" i="1" s="1"/>
  <c r="B241" i="1" s="1" a="1"/>
  <c r="B241" i="1" s="1"/>
  <c r="E256" i="1" a="1"/>
  <c r="E256" i="1" s="1"/>
  <c r="F256" i="1" a="1"/>
  <c r="F256" i="1" s="1"/>
  <c r="D256" i="1" s="1"/>
  <c r="B256" i="1" s="1" a="1"/>
  <c r="B256" i="1" s="1"/>
  <c r="E128" i="1" a="1"/>
  <c r="E128" i="1" s="1"/>
  <c r="F128" i="1" a="1"/>
  <c r="F128" i="1" s="1"/>
  <c r="E9" i="1" a="1"/>
  <c r="E9" i="1" s="1"/>
  <c r="F9" i="1" a="1"/>
  <c r="F9" i="1" s="1"/>
  <c r="D9" i="1" s="1"/>
  <c r="B9" i="1" s="1" a="1"/>
  <c r="B9" i="1" s="1"/>
  <c r="E321" i="1" a="1"/>
  <c r="E321" i="1" s="1"/>
  <c r="C321" i="1" s="1"/>
  <c r="A321" i="1" s="1" a="1"/>
  <c r="A321" i="1" s="1"/>
  <c r="F321" i="1" a="1"/>
  <c r="F321" i="1" s="1"/>
  <c r="E416" i="1" a="1"/>
  <c r="E416" i="1" s="1"/>
  <c r="C416" i="1" s="1"/>
  <c r="F416" i="1" a="1"/>
  <c r="F416" i="1" s="1"/>
  <c r="D416" i="1" s="1"/>
  <c r="F272" i="1" a="1"/>
  <c r="F272" i="1" s="1"/>
  <c r="D272" i="1" s="1"/>
  <c r="B272" i="1" s="1" a="1"/>
  <c r="B272" i="1" s="1"/>
  <c r="E272" i="1" a="1"/>
  <c r="E272" i="1" s="1"/>
  <c r="E96" i="1" a="1"/>
  <c r="E96" i="1" s="1"/>
  <c r="F96" i="1" a="1"/>
  <c r="F96" i="1" s="1"/>
  <c r="D96" i="1" s="1"/>
  <c r="B96" i="1" s="1" a="1"/>
  <c r="B96" i="1" s="1"/>
  <c r="F415" i="1" a="1"/>
  <c r="F415" i="1" s="1"/>
  <c r="D415" i="1" s="1"/>
  <c r="E415" i="1" a="1"/>
  <c r="E415" i="1" s="1"/>
  <c r="C415" i="1" s="1"/>
  <c r="E287" i="1" a="1"/>
  <c r="E287" i="1" s="1"/>
  <c r="F287" i="1" a="1"/>
  <c r="F287" i="1" s="1"/>
  <c r="D287" i="1" s="1"/>
  <c r="B287" i="1" s="1" a="1"/>
  <c r="B287" i="1" s="1"/>
  <c r="E395" i="1" a="1"/>
  <c r="E395" i="1" s="1"/>
  <c r="C395" i="1" s="1"/>
  <c r="F395" i="1" a="1"/>
  <c r="F395" i="1" s="1"/>
  <c r="D395" i="1" s="1"/>
  <c r="F363" i="1" a="1"/>
  <c r="F363" i="1" s="1"/>
  <c r="D363" i="1" s="1"/>
  <c r="E363" i="1" a="1"/>
  <c r="E363" i="1" s="1"/>
  <c r="C363" i="1" s="1"/>
  <c r="E299" i="1" a="1"/>
  <c r="E299" i="1" s="1"/>
  <c r="F299" i="1" a="1"/>
  <c r="F299" i="1" s="1"/>
  <c r="D299" i="1" s="1"/>
  <c r="B299" i="1" s="1" a="1"/>
  <c r="B299" i="1" s="1"/>
  <c r="E251" i="1" a="1"/>
  <c r="E251" i="1" s="1"/>
  <c r="F251" i="1" a="1"/>
  <c r="F251" i="1" s="1"/>
  <c r="D251" i="1" s="1"/>
  <c r="B251" i="1" s="1" a="1"/>
  <c r="B251" i="1" s="1"/>
  <c r="E203" i="1" a="1"/>
  <c r="E203" i="1" s="1"/>
  <c r="F203" i="1" a="1"/>
  <c r="F203" i="1" s="1"/>
  <c r="D203" i="1" s="1"/>
  <c r="B203" i="1" s="1" a="1"/>
  <c r="B203" i="1" s="1"/>
  <c r="E171" i="1" a="1"/>
  <c r="E171" i="1" s="1"/>
  <c r="F171" i="1" a="1"/>
  <c r="F171" i="1" s="1"/>
  <c r="D171" i="1" s="1"/>
  <c r="B171" i="1" s="1" a="1"/>
  <c r="B171" i="1" s="1"/>
  <c r="E139" i="1" a="1"/>
  <c r="E139" i="1" s="1"/>
  <c r="C139" i="1" s="1"/>
  <c r="A139" i="1" s="1" a="1"/>
  <c r="A139" i="1" s="1"/>
  <c r="F139" i="1" a="1"/>
  <c r="F139" i="1" s="1"/>
  <c r="E59" i="1" a="1"/>
  <c r="E59" i="1" s="1"/>
  <c r="C59" i="1" s="1"/>
  <c r="A59" i="1" s="1" a="1"/>
  <c r="A59" i="1" s="1"/>
  <c r="F59" i="1" a="1"/>
  <c r="F59" i="1" s="1"/>
  <c r="D59" i="1" s="1"/>
  <c r="B59" i="1" s="1" a="1"/>
  <c r="B59" i="1" s="1"/>
  <c r="E425" i="1" a="1"/>
  <c r="E425" i="1" s="1"/>
  <c r="F425" i="1" a="1"/>
  <c r="F425" i="1" s="1"/>
  <c r="D425" i="1" s="1"/>
  <c r="E409" i="1" a="1"/>
  <c r="E409" i="1" s="1"/>
  <c r="C409" i="1" s="1"/>
  <c r="F409" i="1" a="1"/>
  <c r="F409" i="1" s="1"/>
  <c r="F393" i="1" a="1"/>
  <c r="F393" i="1" s="1"/>
  <c r="E393" i="1" a="1"/>
  <c r="E393" i="1" s="1"/>
  <c r="C393" i="1" s="1"/>
  <c r="E377" i="1" a="1"/>
  <c r="E377" i="1" s="1"/>
  <c r="F377" i="1" a="1"/>
  <c r="F377" i="1" s="1"/>
  <c r="D377" i="1" s="1"/>
  <c r="E361" i="1" a="1"/>
  <c r="E361" i="1" s="1"/>
  <c r="C361" i="1" s="1"/>
  <c r="F361" i="1" a="1"/>
  <c r="F361" i="1" s="1"/>
  <c r="E345" i="1" a="1"/>
  <c r="E345" i="1" s="1"/>
  <c r="C345" i="1" s="1"/>
  <c r="F345" i="1" a="1"/>
  <c r="F345" i="1" s="1"/>
  <c r="E329" i="1" a="1"/>
  <c r="E329" i="1" s="1"/>
  <c r="F329" i="1" a="1"/>
  <c r="F329" i="1" s="1"/>
  <c r="D329" i="1" s="1"/>
  <c r="B329" i="1" s="1" a="1"/>
  <c r="B329" i="1" s="1"/>
  <c r="E313" i="1" a="1"/>
  <c r="E313" i="1" s="1"/>
  <c r="F313" i="1" a="1"/>
  <c r="F313" i="1" s="1"/>
  <c r="D313" i="1" s="1"/>
  <c r="B313" i="1" s="1" a="1"/>
  <c r="B313" i="1" s="1"/>
  <c r="E297" i="1" a="1"/>
  <c r="E297" i="1" s="1"/>
  <c r="F297" i="1" a="1"/>
  <c r="F297" i="1" s="1"/>
  <c r="D297" i="1" s="1"/>
  <c r="B297" i="1" s="1" a="1"/>
  <c r="B297" i="1" s="1"/>
  <c r="E281" i="1" a="1"/>
  <c r="E281" i="1" s="1"/>
  <c r="F281" i="1" a="1"/>
  <c r="F281" i="1" s="1"/>
  <c r="D281" i="1" s="1"/>
  <c r="B281" i="1" s="1" a="1"/>
  <c r="B281" i="1" s="1"/>
  <c r="E265" i="1" a="1"/>
  <c r="E265" i="1" s="1"/>
  <c r="F265" i="1" a="1"/>
  <c r="F265" i="1" s="1"/>
  <c r="D265" i="1" s="1"/>
  <c r="B265" i="1" s="1" a="1"/>
  <c r="B265" i="1" s="1"/>
  <c r="E249" i="1" a="1"/>
  <c r="E249" i="1" s="1"/>
  <c r="C249" i="1" s="1"/>
  <c r="A249" i="1" s="1" a="1"/>
  <c r="A249" i="1" s="1"/>
  <c r="F249" i="1" a="1"/>
  <c r="F249" i="1" s="1"/>
  <c r="E233" i="1" a="1"/>
  <c r="E233" i="1" s="1"/>
  <c r="F233" i="1" a="1"/>
  <c r="F233" i="1" s="1"/>
  <c r="D233" i="1" s="1"/>
  <c r="B233" i="1" s="1" a="1"/>
  <c r="B233" i="1" s="1"/>
  <c r="E217" i="1" a="1"/>
  <c r="E217" i="1" s="1"/>
  <c r="F217" i="1" a="1"/>
  <c r="F217" i="1" s="1"/>
  <c r="D217" i="1" s="1"/>
  <c r="B217" i="1" s="1" a="1"/>
  <c r="B217" i="1" s="1"/>
  <c r="E201" i="1" a="1"/>
  <c r="E201" i="1" s="1"/>
  <c r="F201" i="1" a="1"/>
  <c r="F201" i="1" s="1"/>
  <c r="D201" i="1" s="1"/>
  <c r="B201" i="1" s="1" a="1"/>
  <c r="B201" i="1" s="1"/>
  <c r="E185" i="1" a="1"/>
  <c r="E185" i="1" s="1"/>
  <c r="F185" i="1" a="1"/>
  <c r="F185" i="1" s="1"/>
  <c r="E169" i="1" a="1"/>
  <c r="E169" i="1" s="1"/>
  <c r="F169" i="1" a="1"/>
  <c r="F169" i="1" s="1"/>
  <c r="D169" i="1" s="1"/>
  <c r="B169" i="1" s="1" a="1"/>
  <c r="B169" i="1" s="1"/>
  <c r="E153" i="1" a="1"/>
  <c r="E153" i="1" s="1"/>
  <c r="F153" i="1" a="1"/>
  <c r="F153" i="1" s="1"/>
  <c r="D153" i="1" s="1"/>
  <c r="B153" i="1" s="1" a="1"/>
  <c r="B153" i="1" s="1"/>
  <c r="E137" i="1" a="1"/>
  <c r="E137" i="1" s="1"/>
  <c r="F137" i="1" a="1"/>
  <c r="F137" i="1" s="1"/>
  <c r="D137" i="1" s="1"/>
  <c r="B137" i="1" s="1" a="1"/>
  <c r="B137" i="1" s="1"/>
  <c r="E121" i="1" a="1"/>
  <c r="E121" i="1" s="1"/>
  <c r="F121" i="1" a="1"/>
  <c r="F121" i="1" s="1"/>
  <c r="D121" i="1" s="1"/>
  <c r="B121" i="1" s="1" a="1"/>
  <c r="B121" i="1" s="1"/>
  <c r="E105" i="1" a="1"/>
  <c r="E105" i="1" s="1"/>
  <c r="F105" i="1" a="1"/>
  <c r="F105" i="1" s="1"/>
  <c r="D105" i="1" s="1"/>
  <c r="B105" i="1" s="1" a="1"/>
  <c r="B105" i="1" s="1"/>
  <c r="E89" i="1" a="1"/>
  <c r="E89" i="1" s="1"/>
  <c r="F89" i="1" a="1"/>
  <c r="F89" i="1" s="1"/>
  <c r="D89" i="1" s="1"/>
  <c r="B89" i="1" s="1" a="1"/>
  <c r="B89" i="1" s="1"/>
  <c r="E73" i="1" a="1"/>
  <c r="E73" i="1" s="1"/>
  <c r="F73" i="1" a="1"/>
  <c r="F73" i="1" s="1"/>
  <c r="D73" i="1" s="1"/>
  <c r="B73" i="1" s="1" a="1"/>
  <c r="B73" i="1" s="1"/>
  <c r="E57" i="1" a="1"/>
  <c r="E57" i="1" s="1"/>
  <c r="F57" i="1" a="1"/>
  <c r="F57" i="1" s="1"/>
  <c r="D57" i="1" s="1"/>
  <c r="B57" i="1" s="1" a="1"/>
  <c r="B57" i="1" s="1"/>
  <c r="E41" i="1" a="1"/>
  <c r="E41" i="1" s="1"/>
  <c r="F41" i="1" a="1"/>
  <c r="F41" i="1" s="1"/>
  <c r="D41" i="1" s="1"/>
  <c r="B41" i="1" s="1" a="1"/>
  <c r="B41" i="1" s="1"/>
  <c r="E25" i="1" a="1"/>
  <c r="E25" i="1" s="1"/>
  <c r="C25" i="1" s="1"/>
  <c r="A25" i="1" s="1" a="1"/>
  <c r="A25" i="1" s="1"/>
  <c r="F25" i="1" a="1"/>
  <c r="F25" i="1" s="1"/>
  <c r="E424" i="1" a="1"/>
  <c r="E424" i="1" s="1"/>
  <c r="C424" i="1" s="1"/>
  <c r="F424" i="1" a="1"/>
  <c r="F424" i="1" s="1"/>
  <c r="E408" i="1" a="1"/>
  <c r="E408" i="1" s="1"/>
  <c r="C408" i="1" s="1"/>
  <c r="F408" i="1" a="1"/>
  <c r="F408" i="1" s="1"/>
  <c r="E392" i="1" a="1"/>
  <c r="E392" i="1" s="1"/>
  <c r="C392" i="1" s="1"/>
  <c r="F392" i="1" a="1"/>
  <c r="F392" i="1" s="1"/>
  <c r="F376" i="1" a="1"/>
  <c r="F376" i="1" s="1"/>
  <c r="E376" i="1" a="1"/>
  <c r="E376" i="1" s="1"/>
  <c r="C376" i="1" s="1"/>
  <c r="E360" i="1" a="1"/>
  <c r="E360" i="1" s="1"/>
  <c r="F360" i="1" a="1"/>
  <c r="F360" i="1" s="1"/>
  <c r="D360" i="1" s="1"/>
  <c r="E344" i="1" a="1"/>
  <c r="E344" i="1" s="1"/>
  <c r="F344" i="1" a="1"/>
  <c r="F344" i="1" s="1"/>
  <c r="D344" i="1" s="1"/>
  <c r="E328" i="1" a="1"/>
  <c r="E328" i="1" s="1"/>
  <c r="F328" i="1" a="1"/>
  <c r="F328" i="1" s="1"/>
  <c r="D328" i="1" s="1"/>
  <c r="B328" i="1" s="1" a="1"/>
  <c r="B328" i="1" s="1"/>
  <c r="E312" i="1" a="1"/>
  <c r="E312" i="1" s="1"/>
  <c r="F312" i="1" a="1"/>
  <c r="F312" i="1" s="1"/>
  <c r="D312" i="1" s="1"/>
  <c r="B312" i="1" s="1" a="1"/>
  <c r="B312" i="1" s="1"/>
  <c r="E296" i="1" a="1"/>
  <c r="E296" i="1" s="1"/>
  <c r="F296" i="1" a="1"/>
  <c r="F296" i="1" s="1"/>
  <c r="D296" i="1" s="1"/>
  <c r="B296" i="1" s="1" a="1"/>
  <c r="B296" i="1" s="1"/>
  <c r="E280" i="1" a="1"/>
  <c r="E280" i="1" s="1"/>
  <c r="F280" i="1" a="1"/>
  <c r="F280" i="1" s="1"/>
  <c r="D280" i="1" s="1"/>
  <c r="B280" i="1" s="1" a="1"/>
  <c r="B280" i="1" s="1"/>
  <c r="E264" i="1" a="1"/>
  <c r="E264" i="1" s="1"/>
  <c r="F264" i="1" a="1"/>
  <c r="F264" i="1" s="1"/>
  <c r="D264" i="1" s="1"/>
  <c r="B264" i="1" s="1" a="1"/>
  <c r="B264" i="1" s="1"/>
  <c r="E248" i="1" a="1"/>
  <c r="E248" i="1" s="1"/>
  <c r="F248" i="1" a="1"/>
  <c r="F248" i="1" s="1"/>
  <c r="D248" i="1" s="1"/>
  <c r="B248" i="1" s="1" a="1"/>
  <c r="B248" i="1" s="1"/>
  <c r="E232" i="1" a="1"/>
  <c r="E232" i="1" s="1"/>
  <c r="F232" i="1" a="1"/>
  <c r="F232" i="1" s="1"/>
  <c r="D232" i="1" s="1"/>
  <c r="B232" i="1" s="1" a="1"/>
  <c r="B232" i="1" s="1"/>
  <c r="E216" i="1" a="1"/>
  <c r="E216" i="1" s="1"/>
  <c r="F216" i="1" a="1"/>
  <c r="F216" i="1" s="1"/>
  <c r="D216" i="1" s="1"/>
  <c r="B216" i="1" s="1" a="1"/>
  <c r="B216" i="1" s="1"/>
  <c r="E200" i="1" a="1"/>
  <c r="E200" i="1" s="1"/>
  <c r="F200" i="1" a="1"/>
  <c r="F200" i="1" s="1"/>
  <c r="D200" i="1" s="1"/>
  <c r="B200" i="1" s="1" a="1"/>
  <c r="B200" i="1" s="1"/>
  <c r="E184" i="1" a="1"/>
  <c r="E184" i="1" s="1"/>
  <c r="F184" i="1" a="1"/>
  <c r="F184" i="1" s="1"/>
  <c r="D184" i="1" s="1"/>
  <c r="B184" i="1" s="1" a="1"/>
  <c r="B184" i="1" s="1"/>
  <c r="E168" i="1" a="1"/>
  <c r="E168" i="1" s="1"/>
  <c r="C168" i="1" s="1"/>
  <c r="A168" i="1" s="1" a="1"/>
  <c r="A168" i="1" s="1"/>
  <c r="F168" i="1" a="1"/>
  <c r="F168" i="1" s="1"/>
  <c r="E152" i="1" a="1"/>
  <c r="E152" i="1" s="1"/>
  <c r="F152" i="1" a="1"/>
  <c r="F152" i="1" s="1"/>
  <c r="D152" i="1" s="1"/>
  <c r="B152" i="1" s="1" a="1"/>
  <c r="B152" i="1" s="1"/>
  <c r="E136" i="1" a="1"/>
  <c r="E136" i="1" s="1"/>
  <c r="F136" i="1" a="1"/>
  <c r="F136" i="1" s="1"/>
  <c r="D136" i="1" s="1"/>
  <c r="B136" i="1" s="1" a="1"/>
  <c r="B136" i="1" s="1"/>
  <c r="E120" i="1" a="1"/>
  <c r="E120" i="1" s="1"/>
  <c r="F120" i="1" a="1"/>
  <c r="F120" i="1" s="1"/>
  <c r="D120" i="1" s="1"/>
  <c r="B120" i="1" s="1" a="1"/>
  <c r="B120" i="1" s="1"/>
  <c r="E104" i="1" a="1"/>
  <c r="E104" i="1" s="1"/>
  <c r="F104" i="1" a="1"/>
  <c r="F104" i="1" s="1"/>
  <c r="D104" i="1" s="1"/>
  <c r="B104" i="1" s="1" a="1"/>
  <c r="B104" i="1" s="1"/>
  <c r="E88" i="1" a="1"/>
  <c r="E88" i="1" s="1"/>
  <c r="F88" i="1" a="1"/>
  <c r="F88" i="1" s="1"/>
  <c r="D88" i="1" s="1"/>
  <c r="B88" i="1" s="1" a="1"/>
  <c r="B88" i="1" s="1"/>
  <c r="E72" i="1" a="1"/>
  <c r="E72" i="1" s="1"/>
  <c r="F72" i="1" a="1"/>
  <c r="F72" i="1" s="1"/>
  <c r="E56" i="1" a="1"/>
  <c r="E56" i="1" s="1"/>
  <c r="F56" i="1" a="1"/>
  <c r="F56" i="1" s="1"/>
  <c r="D56" i="1" s="1"/>
  <c r="B56" i="1" s="1" a="1"/>
  <c r="B56" i="1" s="1"/>
  <c r="E40" i="1" a="1"/>
  <c r="E40" i="1" s="1"/>
  <c r="C40" i="1" s="1"/>
  <c r="A40" i="1" s="1" a="1"/>
  <c r="A40" i="1" s="1"/>
  <c r="F40" i="1" a="1"/>
  <c r="F40" i="1" s="1"/>
  <c r="E24" i="1" a="1"/>
  <c r="E24" i="1" s="1"/>
  <c r="C24" i="1" s="1"/>
  <c r="A24" i="1" s="1" a="1"/>
  <c r="A24" i="1" s="1"/>
  <c r="F24" i="1" a="1"/>
  <c r="F24" i="1" s="1"/>
  <c r="E8" i="1" a="1"/>
  <c r="E8" i="1" s="1"/>
  <c r="F8" i="1" a="1"/>
  <c r="F8" i="1" s="1"/>
  <c r="D8" i="1" s="1"/>
  <c r="E369" i="1" a="1"/>
  <c r="E369" i="1" s="1"/>
  <c r="C369" i="1" s="1"/>
  <c r="F369" i="1" a="1"/>
  <c r="F369" i="1" s="1"/>
  <c r="D369" i="1" s="1"/>
  <c r="F225" i="1" a="1"/>
  <c r="F225" i="1" s="1"/>
  <c r="D225" i="1" s="1"/>
  <c r="B225" i="1" s="1" a="1"/>
  <c r="B225" i="1" s="1"/>
  <c r="E225" i="1" a="1"/>
  <c r="E225" i="1" s="1"/>
  <c r="E368" i="1" a="1"/>
  <c r="E368" i="1" s="1"/>
  <c r="C368" i="1" s="1"/>
  <c r="F368" i="1" a="1"/>
  <c r="F368" i="1" s="1"/>
  <c r="D368" i="1" s="1"/>
  <c r="E224" i="1" a="1"/>
  <c r="E224" i="1" s="1"/>
  <c r="F224" i="1" a="1"/>
  <c r="F224" i="1" s="1"/>
  <c r="D224" i="1" s="1"/>
  <c r="B224" i="1" s="1" a="1"/>
  <c r="B224" i="1" s="1"/>
  <c r="E64" i="1" a="1"/>
  <c r="E64" i="1" s="1"/>
  <c r="F64" i="1" a="1"/>
  <c r="F64" i="1" s="1"/>
  <c r="D64" i="1" s="1"/>
  <c r="B64" i="1" s="1" a="1"/>
  <c r="B64" i="1" s="1"/>
  <c r="F423" i="1" a="1"/>
  <c r="F423" i="1" s="1"/>
  <c r="D423" i="1" s="1"/>
  <c r="E423" i="1" a="1"/>
  <c r="E423" i="1" s="1"/>
  <c r="E407" i="1" a="1"/>
  <c r="E407" i="1" s="1"/>
  <c r="F407" i="1" a="1"/>
  <c r="F407" i="1" s="1"/>
  <c r="D407" i="1" s="1"/>
  <c r="E391" i="1" a="1"/>
  <c r="E391" i="1" s="1"/>
  <c r="C391" i="1" s="1"/>
  <c r="F391" i="1" a="1"/>
  <c r="F391" i="1" s="1"/>
  <c r="E375" i="1" a="1"/>
  <c r="E375" i="1" s="1"/>
  <c r="F375" i="1" a="1"/>
  <c r="F375" i="1" s="1"/>
  <c r="D375" i="1" s="1"/>
  <c r="F359" i="1" a="1"/>
  <c r="F359" i="1" s="1"/>
  <c r="E359" i="1" a="1"/>
  <c r="E359" i="1" s="1"/>
  <c r="C359" i="1" s="1"/>
  <c r="E343" i="1" a="1"/>
  <c r="E343" i="1" s="1"/>
  <c r="F343" i="1" a="1"/>
  <c r="F343" i="1" s="1"/>
  <c r="D343" i="1" s="1"/>
  <c r="E327" i="1" a="1"/>
  <c r="E327" i="1" s="1"/>
  <c r="F327" i="1" a="1"/>
  <c r="F327" i="1" s="1"/>
  <c r="D327" i="1" s="1"/>
  <c r="B327" i="1" s="1" a="1"/>
  <c r="B327" i="1" s="1"/>
  <c r="E311" i="1" a="1"/>
  <c r="E311" i="1" s="1"/>
  <c r="F311" i="1" a="1"/>
  <c r="F311" i="1" s="1"/>
  <c r="D311" i="1" s="1"/>
  <c r="B311" i="1" s="1" a="1"/>
  <c r="B311" i="1" s="1"/>
  <c r="F295" i="1" a="1"/>
  <c r="F295" i="1" s="1"/>
  <c r="D295" i="1" s="1"/>
  <c r="B295" i="1" s="1" a="1"/>
  <c r="B295" i="1" s="1"/>
  <c r="E295" i="1" a="1"/>
  <c r="E295" i="1" s="1"/>
  <c r="E279" i="1" a="1"/>
  <c r="E279" i="1" s="1"/>
  <c r="F279" i="1" a="1"/>
  <c r="F279" i="1" s="1"/>
  <c r="D279" i="1" s="1"/>
  <c r="B279" i="1" s="1" a="1"/>
  <c r="B279" i="1" s="1"/>
  <c r="E263" i="1" a="1"/>
  <c r="E263" i="1" s="1"/>
  <c r="F263" i="1" a="1"/>
  <c r="F263" i="1" s="1"/>
  <c r="D263" i="1" s="1"/>
  <c r="B263" i="1" s="1" a="1"/>
  <c r="B263" i="1" s="1"/>
  <c r="E247" i="1" a="1"/>
  <c r="E247" i="1" s="1"/>
  <c r="F247" i="1" a="1"/>
  <c r="F247" i="1" s="1"/>
  <c r="D247" i="1" s="1"/>
  <c r="B247" i="1" s="1" a="1"/>
  <c r="B247" i="1" s="1"/>
  <c r="F231" i="1" a="1"/>
  <c r="F231" i="1" s="1"/>
  <c r="D231" i="1" s="1"/>
  <c r="B231" i="1" s="1" a="1"/>
  <c r="B231" i="1" s="1"/>
  <c r="E231" i="1" a="1"/>
  <c r="E231" i="1" s="1"/>
  <c r="E215" i="1" a="1"/>
  <c r="E215" i="1" s="1"/>
  <c r="F215" i="1" a="1"/>
  <c r="F215" i="1" s="1"/>
  <c r="D215" i="1" s="1"/>
  <c r="B215" i="1" s="1" a="1"/>
  <c r="B215" i="1" s="1"/>
  <c r="E199" i="1" a="1"/>
  <c r="E199" i="1" s="1"/>
  <c r="F199" i="1" a="1"/>
  <c r="F199" i="1" s="1"/>
  <c r="E183" i="1" a="1"/>
  <c r="E183" i="1" s="1"/>
  <c r="F183" i="1" a="1"/>
  <c r="F183" i="1" s="1"/>
  <c r="D183" i="1" s="1"/>
  <c r="B183" i="1" s="1" a="1"/>
  <c r="B183" i="1" s="1"/>
  <c r="F167" i="1" a="1"/>
  <c r="F167" i="1" s="1"/>
  <c r="D167" i="1" s="1"/>
  <c r="B167" i="1" s="1" a="1"/>
  <c r="B167" i="1" s="1"/>
  <c r="E167" i="1" a="1"/>
  <c r="E167" i="1" s="1"/>
  <c r="E151" i="1" a="1"/>
  <c r="E151" i="1" s="1"/>
  <c r="F151" i="1" a="1"/>
  <c r="F151" i="1" s="1"/>
  <c r="D151" i="1" s="1"/>
  <c r="B151" i="1" s="1" a="1"/>
  <c r="B151" i="1" s="1"/>
  <c r="E135" i="1" a="1"/>
  <c r="E135" i="1" s="1"/>
  <c r="F135" i="1" a="1"/>
  <c r="F135" i="1" s="1"/>
  <c r="D135" i="1" s="1"/>
  <c r="B135" i="1" s="1" a="1"/>
  <c r="B135" i="1" s="1"/>
  <c r="E119" i="1" a="1"/>
  <c r="E119" i="1" s="1"/>
  <c r="F119" i="1" a="1"/>
  <c r="F119" i="1" s="1"/>
  <c r="D119" i="1" s="1"/>
  <c r="B119" i="1" s="1" a="1"/>
  <c r="B119" i="1" s="1"/>
  <c r="E103" i="1" a="1"/>
  <c r="E103" i="1" s="1"/>
  <c r="F103" i="1" a="1"/>
  <c r="F103" i="1" s="1"/>
  <c r="D103" i="1" s="1"/>
  <c r="B103" i="1" s="1" a="1"/>
  <c r="B103" i="1" s="1"/>
  <c r="E87" i="1" a="1"/>
  <c r="E87" i="1" s="1"/>
  <c r="F87" i="1" a="1"/>
  <c r="F87" i="1" s="1"/>
  <c r="D87" i="1" s="1"/>
  <c r="B87" i="1" s="1" a="1"/>
  <c r="B87" i="1" s="1"/>
  <c r="E71" i="1" a="1"/>
  <c r="E71" i="1" s="1"/>
  <c r="F71" i="1" a="1"/>
  <c r="F71" i="1" s="1"/>
  <c r="E55" i="1" a="1"/>
  <c r="E55" i="1" s="1"/>
  <c r="C55" i="1" s="1"/>
  <c r="A55" i="1" s="1" a="1"/>
  <c r="A55" i="1" s="1"/>
  <c r="F55" i="1" a="1"/>
  <c r="F55" i="1" s="1"/>
  <c r="E39" i="1" a="1"/>
  <c r="E39" i="1" s="1"/>
  <c r="C39" i="1" s="1"/>
  <c r="A39" i="1" s="1" a="1"/>
  <c r="A39" i="1" s="1"/>
  <c r="F39" i="1" a="1"/>
  <c r="F39" i="1" s="1"/>
  <c r="E23" i="1" a="1"/>
  <c r="E23" i="1" s="1"/>
  <c r="F23" i="1" a="1"/>
  <c r="F23" i="1" s="1"/>
  <c r="D23" i="1" s="1"/>
  <c r="B23" i="1" s="1" a="1"/>
  <c r="B23" i="1" s="1"/>
  <c r="E7" i="1" a="1"/>
  <c r="E7" i="1" s="1"/>
  <c r="C7" i="1" s="1"/>
  <c r="F7" i="1" a="1"/>
  <c r="F7" i="1" s="1"/>
  <c r="D7" i="1" s="1"/>
  <c r="E6" i="1" a="1"/>
  <c r="E6" i="1" s="1"/>
  <c r="F6" i="1" a="1"/>
  <c r="F6" i="1" s="1"/>
  <c r="D6" i="1" s="1"/>
  <c r="E337" i="1" a="1"/>
  <c r="E337" i="1" s="1"/>
  <c r="C337" i="1" s="1"/>
  <c r="F337" i="1" a="1"/>
  <c r="F337" i="1" s="1"/>
  <c r="E193" i="1" a="1"/>
  <c r="E193" i="1" s="1"/>
  <c r="F193" i="1" a="1"/>
  <c r="F193" i="1" s="1"/>
  <c r="D193" i="1" s="1"/>
  <c r="B193" i="1" s="1" a="1"/>
  <c r="B193" i="1" s="1"/>
  <c r="E384" i="1" a="1"/>
  <c r="E384" i="1" s="1"/>
  <c r="C384" i="1" s="1"/>
  <c r="F384" i="1" a="1"/>
  <c r="F384" i="1" s="1"/>
  <c r="D384" i="1" s="1"/>
  <c r="E240" i="1" a="1"/>
  <c r="E240" i="1" s="1"/>
  <c r="F240" i="1" a="1"/>
  <c r="F240" i="1" s="1"/>
  <c r="D240" i="1" s="1"/>
  <c r="B240" i="1" s="1" a="1"/>
  <c r="B240" i="1" s="1"/>
  <c r="F144" i="1" a="1"/>
  <c r="F144" i="1" s="1"/>
  <c r="D144" i="1" s="1"/>
  <c r="B144" i="1" s="1" a="1"/>
  <c r="B144" i="1" s="1"/>
  <c r="E144" i="1" a="1"/>
  <c r="E144" i="1" s="1"/>
  <c r="F406" i="1" a="1"/>
  <c r="F406" i="1" s="1"/>
  <c r="E406" i="1" a="1"/>
  <c r="E406" i="1" s="1"/>
  <c r="C406" i="1" s="1"/>
  <c r="E374" i="1" a="1"/>
  <c r="E374" i="1" s="1"/>
  <c r="F374" i="1" a="1"/>
  <c r="F374" i="1" s="1"/>
  <c r="D374" i="1" s="1"/>
  <c r="F342" i="1" a="1"/>
  <c r="F342" i="1" s="1"/>
  <c r="D342" i="1" s="1"/>
  <c r="E342" i="1" a="1"/>
  <c r="E342" i="1" s="1"/>
  <c r="E326" i="1" a="1"/>
  <c r="E326" i="1" s="1"/>
  <c r="F326" i="1" a="1"/>
  <c r="F326" i="1" s="1"/>
  <c r="D326" i="1" s="1"/>
  <c r="B326" i="1" s="1" a="1"/>
  <c r="B326" i="1" s="1"/>
  <c r="E294" i="1" a="1"/>
  <c r="E294" i="1" s="1"/>
  <c r="F294" i="1" a="1"/>
  <c r="F294" i="1" s="1"/>
  <c r="D294" i="1" s="1"/>
  <c r="B294" i="1" s="1" a="1"/>
  <c r="B294" i="1" s="1"/>
  <c r="E262" i="1" a="1"/>
  <c r="E262" i="1" s="1"/>
  <c r="F262" i="1" a="1"/>
  <c r="F262" i="1" s="1"/>
  <c r="D262" i="1" s="1"/>
  <c r="B262" i="1" s="1" a="1"/>
  <c r="B262" i="1" s="1"/>
  <c r="E230" i="1" a="1"/>
  <c r="E230" i="1" s="1"/>
  <c r="F230" i="1" a="1"/>
  <c r="F230" i="1" s="1"/>
  <c r="D230" i="1" s="1"/>
  <c r="B230" i="1" s="1" a="1"/>
  <c r="B230" i="1" s="1"/>
  <c r="F214" i="1" a="1"/>
  <c r="F214" i="1" s="1"/>
  <c r="D214" i="1" s="1"/>
  <c r="B214" i="1" s="1" a="1"/>
  <c r="B214" i="1" s="1"/>
  <c r="E214" i="1" a="1"/>
  <c r="E214" i="1" s="1"/>
  <c r="E182" i="1" a="1"/>
  <c r="E182" i="1" s="1"/>
  <c r="C182" i="1" s="1"/>
  <c r="A182" i="1" s="1" a="1"/>
  <c r="A182" i="1" s="1"/>
  <c r="F182" i="1" a="1"/>
  <c r="F182" i="1" s="1"/>
  <c r="F150" i="1" a="1"/>
  <c r="F150" i="1" s="1"/>
  <c r="D150" i="1" s="1"/>
  <c r="B150" i="1" s="1" a="1"/>
  <c r="B150" i="1" s="1"/>
  <c r="E150" i="1" a="1"/>
  <c r="E150" i="1" s="1"/>
  <c r="E118" i="1" a="1"/>
  <c r="E118" i="1" s="1"/>
  <c r="F118" i="1" a="1"/>
  <c r="F118" i="1" s="1"/>
  <c r="D118" i="1" s="1"/>
  <c r="B118" i="1" s="1" a="1"/>
  <c r="B118" i="1" s="1"/>
  <c r="E86" i="1" a="1"/>
  <c r="E86" i="1" s="1"/>
  <c r="F86" i="1" a="1"/>
  <c r="F86" i="1" s="1"/>
  <c r="E54" i="1" a="1"/>
  <c r="E54" i="1" s="1"/>
  <c r="C54" i="1" s="1"/>
  <c r="A54" i="1" s="1" a="1"/>
  <c r="A54" i="1" s="1"/>
  <c r="F54" i="1" a="1"/>
  <c r="F54" i="1" s="1"/>
  <c r="E22" i="1" a="1"/>
  <c r="E22" i="1" s="1"/>
  <c r="F22" i="1" a="1"/>
  <c r="F22" i="1" s="1"/>
  <c r="D22" i="1" s="1"/>
  <c r="B22" i="1" s="1" a="1"/>
  <c r="B22" i="1" s="1"/>
  <c r="E405" i="1" a="1"/>
  <c r="E405" i="1" s="1"/>
  <c r="C405" i="1" s="1"/>
  <c r="F405" i="1" a="1"/>
  <c r="F405" i="1" s="1"/>
  <c r="E373" i="1" a="1"/>
  <c r="E373" i="1" s="1"/>
  <c r="F373" i="1" a="1"/>
  <c r="F373" i="1" s="1"/>
  <c r="D373" i="1" s="1"/>
  <c r="E357" i="1" a="1"/>
  <c r="E357" i="1" s="1"/>
  <c r="F357" i="1" a="1"/>
  <c r="F357" i="1" s="1"/>
  <c r="D357" i="1" s="1"/>
  <c r="E325" i="1" a="1"/>
  <c r="E325" i="1" s="1"/>
  <c r="F325" i="1" a="1"/>
  <c r="F325" i="1" s="1"/>
  <c r="D325" i="1" s="1"/>
  <c r="B325" i="1" s="1" a="1"/>
  <c r="B325" i="1" s="1"/>
  <c r="E293" i="1" a="1"/>
  <c r="E293" i="1" s="1"/>
  <c r="F293" i="1" a="1"/>
  <c r="F293" i="1" s="1"/>
  <c r="D293" i="1" s="1"/>
  <c r="B293" i="1" s="1" a="1"/>
  <c r="B293" i="1" s="1"/>
  <c r="E277" i="1" a="1"/>
  <c r="E277" i="1" s="1"/>
  <c r="F277" i="1" a="1"/>
  <c r="F277" i="1" s="1"/>
  <c r="D277" i="1" s="1"/>
  <c r="B277" i="1" s="1" a="1"/>
  <c r="B277" i="1" s="1"/>
  <c r="E245" i="1" a="1"/>
  <c r="E245" i="1" s="1"/>
  <c r="F245" i="1" a="1"/>
  <c r="F245" i="1" s="1"/>
  <c r="D245" i="1" s="1"/>
  <c r="B245" i="1" s="1" a="1"/>
  <c r="B245" i="1" s="1"/>
  <c r="E229" i="1" a="1"/>
  <c r="E229" i="1" s="1"/>
  <c r="F229" i="1" a="1"/>
  <c r="F229" i="1" s="1"/>
  <c r="D229" i="1" s="1"/>
  <c r="B229" i="1" s="1" a="1"/>
  <c r="B229" i="1" s="1"/>
  <c r="E213" i="1" a="1"/>
  <c r="E213" i="1" s="1"/>
  <c r="F213" i="1" a="1"/>
  <c r="F213" i="1" s="1"/>
  <c r="D213" i="1" s="1"/>
  <c r="B213" i="1" s="1" a="1"/>
  <c r="B213" i="1" s="1"/>
  <c r="E197" i="1" a="1"/>
  <c r="E197" i="1" s="1"/>
  <c r="F197" i="1" a="1"/>
  <c r="F197" i="1" s="1"/>
  <c r="D197" i="1" s="1"/>
  <c r="B197" i="1" s="1" a="1"/>
  <c r="B197" i="1" s="1"/>
  <c r="E181" i="1" a="1"/>
  <c r="E181" i="1" s="1"/>
  <c r="F181" i="1" a="1"/>
  <c r="F181" i="1" s="1"/>
  <c r="D181" i="1" s="1"/>
  <c r="B181" i="1" s="1" a="1"/>
  <c r="B181" i="1" s="1"/>
  <c r="E165" i="1" a="1"/>
  <c r="E165" i="1" s="1"/>
  <c r="F165" i="1" a="1"/>
  <c r="F165" i="1" s="1"/>
  <c r="D165" i="1" s="1"/>
  <c r="B165" i="1" s="1" a="1"/>
  <c r="B165" i="1" s="1"/>
  <c r="E149" i="1" a="1"/>
  <c r="E149" i="1" s="1"/>
  <c r="F149" i="1" a="1"/>
  <c r="F149" i="1" s="1"/>
  <c r="D149" i="1" s="1"/>
  <c r="B149" i="1" s="1" a="1"/>
  <c r="B149" i="1" s="1"/>
  <c r="E133" i="1" a="1"/>
  <c r="E133" i="1" s="1"/>
  <c r="F133" i="1" a="1"/>
  <c r="F133" i="1" s="1"/>
  <c r="D133" i="1" s="1"/>
  <c r="B133" i="1" s="1" a="1"/>
  <c r="B133" i="1" s="1"/>
  <c r="E117" i="1" a="1"/>
  <c r="E117" i="1" s="1"/>
  <c r="F117" i="1" a="1"/>
  <c r="F117" i="1" s="1"/>
  <c r="D117" i="1" s="1"/>
  <c r="B117" i="1" s="1" a="1"/>
  <c r="B117" i="1" s="1"/>
  <c r="E101" i="1" a="1"/>
  <c r="E101" i="1" s="1"/>
  <c r="F101" i="1" a="1"/>
  <c r="F101" i="1" s="1"/>
  <c r="D101" i="1" s="1"/>
  <c r="B101" i="1" s="1" a="1"/>
  <c r="B101" i="1" s="1"/>
  <c r="E85" i="1" a="1"/>
  <c r="E85" i="1" s="1"/>
  <c r="F85" i="1" a="1"/>
  <c r="F85" i="1" s="1"/>
  <c r="E69" i="1" a="1"/>
  <c r="E69" i="1" s="1"/>
  <c r="F69" i="1" a="1"/>
  <c r="F69" i="1" s="1"/>
  <c r="D69" i="1" s="1"/>
  <c r="B69" i="1" s="1" a="1"/>
  <c r="B69" i="1" s="1"/>
  <c r="E53" i="1" a="1"/>
  <c r="E53" i="1" s="1"/>
  <c r="C53" i="1" s="1"/>
  <c r="A53" i="1" s="1" a="1"/>
  <c r="A53" i="1" s="1"/>
  <c r="F53" i="1" a="1"/>
  <c r="F53" i="1" s="1"/>
  <c r="E37" i="1" a="1"/>
  <c r="E37" i="1" s="1"/>
  <c r="F37" i="1" a="1"/>
  <c r="F37" i="1" s="1"/>
  <c r="D37" i="1" s="1"/>
  <c r="B37" i="1" s="1" a="1"/>
  <c r="B37" i="1" s="1"/>
  <c r="E21" i="1" a="1"/>
  <c r="E21" i="1" s="1"/>
  <c r="F21" i="1" a="1"/>
  <c r="F21" i="1" s="1"/>
  <c r="D21" i="1" s="1"/>
  <c r="B21" i="1" s="1" a="1"/>
  <c r="B21" i="1" s="1"/>
  <c r="E5" i="1" a="1"/>
  <c r="E5" i="1" s="1"/>
  <c r="C5" i="1" s="1"/>
  <c r="F5" i="1" a="1"/>
  <c r="F5" i="1" s="1"/>
  <c r="E4" i="1" a="1"/>
  <c r="E4" i="1" s="1"/>
  <c r="C4" i="1" s="1"/>
  <c r="F4" i="1" a="1"/>
  <c r="F4" i="1" s="1"/>
  <c r="D4" i="1" s="1"/>
  <c r="E3" i="1" a="1"/>
  <c r="E3" i="1" s="1"/>
  <c r="C3" i="1" s="1"/>
  <c r="F3" i="1" a="1"/>
  <c r="F3" i="1" s="1"/>
  <c r="D3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2" i="1" a="1"/>
  <c r="B2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2" i="1" a="1"/>
  <c r="A2" i="1" s="1"/>
  <c r="A3" i="4" a="1"/>
  <c r="A3" i="4" s="1"/>
  <c r="B3" i="4" a="1"/>
  <c r="B3" i="4" s="1"/>
  <c r="A4" i="4" a="1"/>
  <c r="A4" i="4" s="1"/>
  <c r="B4" i="4" a="1"/>
  <c r="B4" i="4" s="1"/>
  <c r="A5" i="4" a="1"/>
  <c r="A5" i="4" s="1"/>
  <c r="B5" i="4" a="1"/>
  <c r="B5" i="4" s="1"/>
  <c r="A6" i="4" a="1"/>
  <c r="A6" i="4" s="1"/>
  <c r="B6" i="4" a="1"/>
  <c r="B6" i="4" s="1"/>
  <c r="A7" i="4" a="1"/>
  <c r="A7" i="4" s="1"/>
  <c r="B7" i="4" a="1"/>
  <c r="B7" i="4" s="1"/>
  <c r="A8" i="4" a="1"/>
  <c r="A8" i="4" s="1"/>
  <c r="B8" i="4" a="1"/>
  <c r="B8" i="4" s="1"/>
  <c r="A9" i="4" a="1"/>
  <c r="A9" i="4" s="1"/>
  <c r="B9" i="4" a="1"/>
  <c r="B9" i="4" s="1"/>
  <c r="A10" i="4" a="1"/>
  <c r="A10" i="4" s="1"/>
  <c r="B10" i="4" a="1"/>
  <c r="B10" i="4" s="1"/>
  <c r="A11" i="4" a="1"/>
  <c r="A11" i="4" s="1"/>
  <c r="B11" i="4" a="1"/>
  <c r="B11" i="4" s="1"/>
  <c r="A12" i="4" a="1"/>
  <c r="A12" i="4" s="1"/>
  <c r="B12" i="4" a="1"/>
  <c r="B12" i="4" s="1"/>
  <c r="A13" i="4" a="1"/>
  <c r="A13" i="4" s="1"/>
  <c r="B13" i="4" a="1"/>
  <c r="B13" i="4" s="1"/>
  <c r="A14" i="4" a="1"/>
  <c r="A14" i="4" s="1"/>
  <c r="B14" i="4" a="1"/>
  <c r="B14" i="4" s="1"/>
  <c r="A15" i="4" a="1"/>
  <c r="A15" i="4" s="1"/>
  <c r="B15" i="4" a="1"/>
  <c r="B15" i="4" s="1"/>
  <c r="A16" i="4" a="1"/>
  <c r="A16" i="4" s="1"/>
  <c r="B16" i="4" a="1"/>
  <c r="B16" i="4" s="1"/>
  <c r="A17" i="4" a="1"/>
  <c r="A17" i="4" s="1"/>
  <c r="B17" i="4" a="1"/>
  <c r="B17" i="4" s="1"/>
  <c r="A18" i="4" a="1"/>
  <c r="A18" i="4" s="1"/>
  <c r="B18" i="4" a="1"/>
  <c r="B18" i="4" s="1"/>
  <c r="A19" i="4" a="1"/>
  <c r="A19" i="4" s="1"/>
  <c r="B19" i="4" a="1"/>
  <c r="B19" i="4" s="1"/>
  <c r="A20" i="4" a="1"/>
  <c r="A20" i="4" s="1"/>
  <c r="B20" i="4" a="1"/>
  <c r="B20" i="4" s="1"/>
  <c r="A21" i="4" a="1"/>
  <c r="A21" i="4" s="1"/>
  <c r="B21" i="4" a="1"/>
  <c r="B21" i="4" s="1"/>
  <c r="A22" i="4" a="1"/>
  <c r="A22" i="4" s="1"/>
  <c r="B22" i="4" a="1"/>
  <c r="B22" i="4" s="1"/>
  <c r="A23" i="4" a="1"/>
  <c r="A23" i="4" s="1"/>
  <c r="B23" i="4" a="1"/>
  <c r="B23" i="4" s="1"/>
  <c r="A24" i="4" a="1"/>
  <c r="A24" i="4" s="1"/>
  <c r="B24" i="4" a="1"/>
  <c r="B24" i="4" s="1"/>
  <c r="A25" i="4" a="1"/>
  <c r="A25" i="4" s="1"/>
  <c r="B25" i="4" a="1"/>
  <c r="B25" i="4" s="1"/>
  <c r="A26" i="4" a="1"/>
  <c r="A26" i="4" s="1"/>
  <c r="B26" i="4" a="1"/>
  <c r="B26" i="4" s="1"/>
  <c r="A27" i="4" a="1"/>
  <c r="A27" i="4" s="1"/>
  <c r="B27" i="4" a="1"/>
  <c r="B27" i="4" s="1"/>
  <c r="A28" i="4" a="1"/>
  <c r="A28" i="4" s="1"/>
  <c r="B28" i="4" a="1"/>
  <c r="B28" i="4" s="1"/>
  <c r="A29" i="4" a="1"/>
  <c r="A29" i="4" s="1"/>
  <c r="B29" i="4" a="1"/>
  <c r="B29" i="4" s="1"/>
  <c r="A30" i="4" a="1"/>
  <c r="A30" i="4" s="1"/>
  <c r="B30" i="4" a="1"/>
  <c r="B30" i="4" s="1"/>
  <c r="A31" i="4" a="1"/>
  <c r="A31" i="4" s="1"/>
  <c r="B31" i="4" a="1"/>
  <c r="B31" i="4" s="1"/>
  <c r="A32" i="4" a="1"/>
  <c r="A32" i="4" s="1"/>
  <c r="B32" i="4" a="1"/>
  <c r="B32" i="4" s="1"/>
  <c r="A33" i="4" a="1"/>
  <c r="A33" i="4" s="1"/>
  <c r="B33" i="4" a="1"/>
  <c r="B33" i="4" s="1"/>
  <c r="A34" i="4" a="1"/>
  <c r="A34" i="4" s="1"/>
  <c r="B34" i="4" a="1"/>
  <c r="B34" i="4" s="1"/>
  <c r="A35" i="4" a="1"/>
  <c r="A35" i="4" s="1"/>
  <c r="B35" i="4" a="1"/>
  <c r="B35" i="4" s="1"/>
  <c r="A36" i="4" a="1"/>
  <c r="A36" i="4" s="1"/>
  <c r="B36" i="4" a="1"/>
  <c r="B36" i="4" s="1"/>
  <c r="A37" i="4" a="1"/>
  <c r="A37" i="4" s="1"/>
  <c r="B37" i="4" a="1"/>
  <c r="B37" i="4" s="1"/>
  <c r="A38" i="4" a="1"/>
  <c r="A38" i="4" s="1"/>
  <c r="B38" i="4" a="1"/>
  <c r="B38" i="4" s="1"/>
  <c r="A39" i="4" a="1"/>
  <c r="A39" i="4" s="1"/>
  <c r="B39" i="4" a="1"/>
  <c r="B39" i="4" s="1"/>
  <c r="A40" i="4" a="1"/>
  <c r="A40" i="4" s="1"/>
  <c r="B40" i="4" a="1"/>
  <c r="B40" i="4" s="1"/>
  <c r="A41" i="4" a="1"/>
  <c r="A41" i="4" s="1"/>
  <c r="B41" i="4" a="1"/>
  <c r="B41" i="4" s="1"/>
  <c r="A42" i="4" a="1"/>
  <c r="A42" i="4" s="1"/>
  <c r="B42" i="4" a="1"/>
  <c r="B42" i="4" s="1"/>
  <c r="A43" i="4" a="1"/>
  <c r="A43" i="4" s="1"/>
  <c r="B43" i="4" a="1"/>
  <c r="B43" i="4" s="1"/>
  <c r="A44" i="4" a="1"/>
  <c r="A44" i="4" s="1"/>
  <c r="B44" i="4" a="1"/>
  <c r="B44" i="4" s="1"/>
  <c r="A45" i="4" a="1"/>
  <c r="A45" i="4" s="1"/>
  <c r="B45" i="4" a="1"/>
  <c r="B45" i="4" s="1"/>
  <c r="A46" i="4" a="1"/>
  <c r="A46" i="4" s="1"/>
  <c r="B46" i="4" a="1"/>
  <c r="B46" i="4" s="1"/>
  <c r="A47" i="4" a="1"/>
  <c r="A47" i="4" s="1"/>
  <c r="B47" i="4" a="1"/>
  <c r="B47" i="4" s="1"/>
  <c r="A48" i="4" a="1"/>
  <c r="A48" i="4" s="1"/>
  <c r="B48" i="4" a="1"/>
  <c r="B48" i="4" s="1"/>
  <c r="A49" i="4" a="1"/>
  <c r="A49" i="4" s="1"/>
  <c r="B49" i="4" a="1"/>
  <c r="B49" i="4" s="1"/>
  <c r="A50" i="4" a="1"/>
  <c r="A50" i="4" s="1"/>
  <c r="B50" i="4" a="1"/>
  <c r="B50" i="4" s="1"/>
  <c r="A51" i="4" a="1"/>
  <c r="A51" i="4" s="1"/>
  <c r="B51" i="4" a="1"/>
  <c r="B51" i="4" s="1"/>
  <c r="A52" i="4" a="1"/>
  <c r="A52" i="4" s="1"/>
  <c r="B52" i="4" a="1"/>
  <c r="B52" i="4" s="1"/>
  <c r="A53" i="4" a="1"/>
  <c r="A53" i="4" s="1"/>
  <c r="B53" i="4" a="1"/>
  <c r="B53" i="4" s="1"/>
  <c r="A54" i="4" a="1"/>
  <c r="A54" i="4" s="1"/>
  <c r="B54" i="4" a="1"/>
  <c r="B54" i="4" s="1"/>
  <c r="A55" i="4" a="1"/>
  <c r="A55" i="4" s="1"/>
  <c r="B55" i="4" a="1"/>
  <c r="B55" i="4" s="1"/>
  <c r="A56" i="4" a="1"/>
  <c r="A56" i="4" s="1"/>
  <c r="B56" i="4" a="1"/>
  <c r="B56" i="4" s="1"/>
  <c r="A57" i="4" a="1"/>
  <c r="A57" i="4" s="1"/>
  <c r="B57" i="4" a="1"/>
  <c r="B57" i="4" s="1"/>
  <c r="A58" i="4" a="1"/>
  <c r="A58" i="4" s="1"/>
  <c r="B58" i="4" a="1"/>
  <c r="B58" i="4" s="1"/>
  <c r="A59" i="4" a="1"/>
  <c r="A59" i="4" s="1"/>
  <c r="B59" i="4" a="1"/>
  <c r="B59" i="4" s="1"/>
  <c r="A60" i="4" a="1"/>
  <c r="A60" i="4" s="1"/>
  <c r="B60" i="4" a="1"/>
  <c r="B60" i="4" s="1"/>
  <c r="A61" i="4" a="1"/>
  <c r="A61" i="4" s="1"/>
  <c r="B61" i="4" a="1"/>
  <c r="B61" i="4" s="1"/>
  <c r="A62" i="4" a="1"/>
  <c r="A62" i="4" s="1"/>
  <c r="B62" i="4" a="1"/>
  <c r="B62" i="4" s="1"/>
  <c r="A63" i="4" a="1"/>
  <c r="A63" i="4" s="1"/>
  <c r="B63" i="4" a="1"/>
  <c r="B63" i="4" s="1"/>
  <c r="A64" i="4" a="1"/>
  <c r="A64" i="4" s="1"/>
  <c r="B64" i="4" a="1"/>
  <c r="B64" i="4" s="1"/>
  <c r="A65" i="4" a="1"/>
  <c r="A65" i="4" s="1"/>
  <c r="B65" i="4" a="1"/>
  <c r="B65" i="4" s="1"/>
  <c r="A66" i="4" a="1"/>
  <c r="A66" i="4" s="1"/>
  <c r="B66" i="4" a="1"/>
  <c r="B66" i="4" s="1"/>
  <c r="A67" i="4" a="1"/>
  <c r="A67" i="4" s="1"/>
  <c r="B67" i="4" a="1"/>
  <c r="B67" i="4" s="1"/>
  <c r="A68" i="4" a="1"/>
  <c r="A68" i="4" s="1"/>
  <c r="B68" i="4" a="1"/>
  <c r="B68" i="4" s="1"/>
  <c r="A69" i="4" a="1"/>
  <c r="A69" i="4" s="1"/>
  <c r="B69" i="4" a="1"/>
  <c r="B69" i="4" s="1"/>
  <c r="A70" i="4" a="1"/>
  <c r="A70" i="4" s="1"/>
  <c r="B70" i="4" a="1"/>
  <c r="B70" i="4" s="1"/>
  <c r="A71" i="4" a="1"/>
  <c r="A71" i="4" s="1"/>
  <c r="B71" i="4" a="1"/>
  <c r="B71" i="4" s="1"/>
  <c r="A72" i="4" a="1"/>
  <c r="A72" i="4" s="1"/>
  <c r="B72" i="4" a="1"/>
  <c r="B72" i="4" s="1"/>
  <c r="A73" i="4" a="1"/>
  <c r="A73" i="4" s="1"/>
  <c r="B73" i="4" a="1"/>
  <c r="B73" i="4" s="1"/>
  <c r="A74" i="4" a="1"/>
  <c r="A74" i="4" s="1"/>
  <c r="B74" i="4" a="1"/>
  <c r="B74" i="4" s="1"/>
  <c r="A75" i="4" a="1"/>
  <c r="A75" i="4" s="1"/>
  <c r="B75" i="4" a="1"/>
  <c r="B75" i="4" s="1"/>
  <c r="A76" i="4" a="1"/>
  <c r="A76" i="4" s="1"/>
  <c r="B76" i="4" a="1"/>
  <c r="B76" i="4" s="1"/>
  <c r="A77" i="4" a="1"/>
  <c r="A77" i="4" s="1"/>
  <c r="B77" i="4" a="1"/>
  <c r="B77" i="4" s="1"/>
  <c r="A78" i="4" a="1"/>
  <c r="A78" i="4" s="1"/>
  <c r="B78" i="4" a="1"/>
  <c r="B78" i="4" s="1"/>
  <c r="A79" i="4" a="1"/>
  <c r="A79" i="4" s="1"/>
  <c r="B79" i="4" a="1"/>
  <c r="B79" i="4" s="1"/>
  <c r="A80" i="4" a="1"/>
  <c r="A80" i="4" s="1"/>
  <c r="B80" i="4" a="1"/>
  <c r="B80" i="4" s="1"/>
  <c r="A81" i="4" a="1"/>
  <c r="A81" i="4" s="1"/>
  <c r="B81" i="4" a="1"/>
  <c r="B81" i="4" s="1"/>
  <c r="A82" i="4" a="1"/>
  <c r="A82" i="4" s="1"/>
  <c r="B82" i="4" a="1"/>
  <c r="B82" i="4" s="1"/>
  <c r="A83" i="4" a="1"/>
  <c r="A83" i="4" s="1"/>
  <c r="B83" i="4" a="1"/>
  <c r="B83" i="4" s="1"/>
  <c r="A84" i="4" a="1"/>
  <c r="A84" i="4" s="1"/>
  <c r="B84" i="4" a="1"/>
  <c r="B84" i="4" s="1"/>
  <c r="A85" i="4" a="1"/>
  <c r="A85" i="4" s="1"/>
  <c r="B85" i="4" a="1"/>
  <c r="B85" i="4" s="1"/>
  <c r="A86" i="4" a="1"/>
  <c r="A86" i="4" s="1"/>
  <c r="B86" i="4" a="1"/>
  <c r="B86" i="4" s="1"/>
  <c r="A87" i="4" a="1"/>
  <c r="A87" i="4" s="1"/>
  <c r="B87" i="4" a="1"/>
  <c r="B87" i="4" s="1"/>
  <c r="A88" i="4" a="1"/>
  <c r="A88" i="4" s="1"/>
  <c r="B88" i="4" a="1"/>
  <c r="B88" i="4" s="1"/>
  <c r="A89" i="4" a="1"/>
  <c r="A89" i="4" s="1"/>
  <c r="B89" i="4" a="1"/>
  <c r="B89" i="4" s="1"/>
  <c r="A90" i="4" a="1"/>
  <c r="A90" i="4" s="1"/>
  <c r="B90" i="4" a="1"/>
  <c r="B90" i="4" s="1"/>
  <c r="A91" i="4" a="1"/>
  <c r="A91" i="4" s="1"/>
  <c r="B91" i="4" a="1"/>
  <c r="B91" i="4" s="1"/>
  <c r="A92" i="4" a="1"/>
  <c r="A92" i="4" s="1"/>
  <c r="B92" i="4" a="1"/>
  <c r="B92" i="4" s="1"/>
  <c r="A93" i="4" a="1"/>
  <c r="A93" i="4" s="1"/>
  <c r="B93" i="4" a="1"/>
  <c r="B93" i="4" s="1"/>
  <c r="A94" i="4" a="1"/>
  <c r="A94" i="4" s="1"/>
  <c r="B94" i="4" a="1"/>
  <c r="B94" i="4" s="1"/>
  <c r="A95" i="4" a="1"/>
  <c r="A95" i="4" s="1"/>
  <c r="B95" i="4" a="1"/>
  <c r="B95" i="4" s="1"/>
  <c r="A96" i="4" a="1"/>
  <c r="A96" i="4" s="1"/>
  <c r="B96" i="4" a="1"/>
  <c r="B96" i="4" s="1"/>
  <c r="A97" i="4" a="1"/>
  <c r="A97" i="4" s="1"/>
  <c r="B97" i="4" a="1"/>
  <c r="B97" i="4" s="1"/>
  <c r="A98" i="4" a="1"/>
  <c r="A98" i="4" s="1"/>
  <c r="B98" i="4" a="1"/>
  <c r="B98" i="4" s="1"/>
  <c r="A99" i="4" a="1"/>
  <c r="A99" i="4" s="1"/>
  <c r="B99" i="4" a="1"/>
  <c r="B99" i="4" s="1"/>
  <c r="A100" i="4" a="1"/>
  <c r="A100" i="4" s="1"/>
  <c r="B100" i="4" a="1"/>
  <c r="B100" i="4" s="1"/>
  <c r="A101" i="4" a="1"/>
  <c r="A101" i="4" s="1"/>
  <c r="B101" i="4" a="1"/>
  <c r="B101" i="4" s="1"/>
  <c r="A102" i="4" a="1"/>
  <c r="A102" i="4" s="1"/>
  <c r="B102" i="4" a="1"/>
  <c r="B102" i="4" s="1"/>
  <c r="A103" i="4" a="1"/>
  <c r="A103" i="4" s="1"/>
  <c r="B103" i="4" a="1"/>
  <c r="B103" i="4" s="1"/>
  <c r="A104" i="4" a="1"/>
  <c r="A104" i="4" s="1"/>
  <c r="B104" i="4" a="1"/>
  <c r="B104" i="4" s="1"/>
  <c r="A105" i="4" a="1"/>
  <c r="A105" i="4" s="1"/>
  <c r="B105" i="4" a="1"/>
  <c r="B105" i="4" s="1"/>
  <c r="A106" i="4" a="1"/>
  <c r="A106" i="4" s="1"/>
  <c r="B106" i="4" a="1"/>
  <c r="B106" i="4" s="1"/>
  <c r="A107" i="4" a="1"/>
  <c r="A107" i="4" s="1"/>
  <c r="B107" i="4" a="1"/>
  <c r="B107" i="4" s="1"/>
  <c r="A108" i="4" a="1"/>
  <c r="A108" i="4" s="1"/>
  <c r="B108" i="4" a="1"/>
  <c r="B108" i="4" s="1"/>
  <c r="A109" i="4" a="1"/>
  <c r="A109" i="4" s="1"/>
  <c r="B109" i="4" a="1"/>
  <c r="B109" i="4" s="1"/>
  <c r="A110" i="4" a="1"/>
  <c r="A110" i="4" s="1"/>
  <c r="B110" i="4" a="1"/>
  <c r="B110" i="4" s="1"/>
  <c r="A111" i="4" a="1"/>
  <c r="A111" i="4" s="1"/>
  <c r="B111" i="4" a="1"/>
  <c r="B111" i="4" s="1"/>
  <c r="A112" i="4" a="1"/>
  <c r="A112" i="4" s="1"/>
  <c r="B112" i="4" a="1"/>
  <c r="B112" i="4" s="1"/>
  <c r="A113" i="4" a="1"/>
  <c r="A113" i="4" s="1"/>
  <c r="B113" i="4" a="1"/>
  <c r="B113" i="4" s="1"/>
  <c r="A114" i="4" a="1"/>
  <c r="A114" i="4" s="1"/>
  <c r="B114" i="4" a="1"/>
  <c r="B114" i="4" s="1"/>
  <c r="A115" i="4" a="1"/>
  <c r="A115" i="4" s="1"/>
  <c r="B115" i="4" a="1"/>
  <c r="B115" i="4" s="1"/>
  <c r="A116" i="4" a="1"/>
  <c r="A116" i="4" s="1"/>
  <c r="B116" i="4" a="1"/>
  <c r="B116" i="4" s="1"/>
  <c r="A117" i="4" a="1"/>
  <c r="A117" i="4" s="1"/>
  <c r="B117" i="4" a="1"/>
  <c r="B117" i="4" s="1"/>
  <c r="A118" i="4" a="1"/>
  <c r="A118" i="4" s="1"/>
  <c r="B118" i="4" a="1"/>
  <c r="B118" i="4" s="1"/>
  <c r="A119" i="4" a="1"/>
  <c r="A119" i="4" s="1"/>
  <c r="B119" i="4" a="1"/>
  <c r="B119" i="4" s="1"/>
  <c r="A120" i="4" a="1"/>
  <c r="A120" i="4" s="1"/>
  <c r="B120" i="4" a="1"/>
  <c r="B120" i="4" s="1"/>
  <c r="A121" i="4" a="1"/>
  <c r="A121" i="4" s="1"/>
  <c r="B121" i="4" a="1"/>
  <c r="B121" i="4"/>
  <c r="A122" i="4" a="1"/>
  <c r="A122" i="4" s="1"/>
  <c r="B122" i="4" a="1"/>
  <c r="B122" i="4" s="1"/>
  <c r="A123" i="4" a="1"/>
  <c r="A123" i="4" s="1"/>
  <c r="B123" i="4" a="1"/>
  <c r="B123" i="4" s="1"/>
  <c r="A124" i="4" a="1"/>
  <c r="A124" i="4" s="1"/>
  <c r="B124" i="4" a="1"/>
  <c r="B124" i="4" s="1"/>
  <c r="A125" i="4" a="1"/>
  <c r="A125" i="4" s="1"/>
  <c r="B125" i="4" a="1"/>
  <c r="B125" i="4" s="1"/>
  <c r="A126" i="4" a="1"/>
  <c r="A126" i="4" s="1"/>
  <c r="B126" i="4" a="1"/>
  <c r="B126" i="4" s="1"/>
  <c r="A127" i="4" a="1"/>
  <c r="A127" i="4" s="1"/>
  <c r="B127" i="4" a="1"/>
  <c r="B127" i="4" s="1"/>
  <c r="A128" i="4" a="1"/>
  <c r="A128" i="4" s="1"/>
  <c r="B128" i="4" a="1"/>
  <c r="B128" i="4" s="1"/>
  <c r="A129" i="4" a="1"/>
  <c r="A129" i="4" s="1"/>
  <c r="B129" i="4" a="1"/>
  <c r="B129" i="4" s="1"/>
  <c r="A130" i="4" a="1"/>
  <c r="A130" i="4" s="1"/>
  <c r="B130" i="4" a="1"/>
  <c r="B130" i="4" s="1"/>
  <c r="A131" i="4" a="1"/>
  <c r="A131" i="4" s="1"/>
  <c r="B131" i="4" a="1"/>
  <c r="B131" i="4" s="1"/>
  <c r="A132" i="4" a="1"/>
  <c r="A132" i="4" s="1"/>
  <c r="B132" i="4" a="1"/>
  <c r="B132" i="4" s="1"/>
  <c r="A133" i="4" a="1"/>
  <c r="A133" i="4" s="1"/>
  <c r="B133" i="4" a="1"/>
  <c r="B133" i="4" s="1"/>
  <c r="A134" i="4" a="1"/>
  <c r="A134" i="4" s="1"/>
  <c r="B134" i="4" a="1"/>
  <c r="B134" i="4" s="1"/>
  <c r="A135" i="4" a="1"/>
  <c r="A135" i="4" s="1"/>
  <c r="B135" i="4" a="1"/>
  <c r="B135" i="4" s="1"/>
  <c r="A136" i="4" a="1"/>
  <c r="A136" i="4" s="1"/>
  <c r="B136" i="4" a="1"/>
  <c r="B136" i="4" s="1"/>
  <c r="A137" i="4" a="1"/>
  <c r="A137" i="4" s="1"/>
  <c r="B137" i="4" a="1"/>
  <c r="B137" i="4" s="1"/>
  <c r="A138" i="4" a="1"/>
  <c r="A138" i="4" s="1"/>
  <c r="B138" i="4" a="1"/>
  <c r="B138" i="4" s="1"/>
  <c r="A139" i="4" a="1"/>
  <c r="A139" i="4" s="1"/>
  <c r="B139" i="4" a="1"/>
  <c r="B139" i="4" s="1"/>
  <c r="A140" i="4" a="1"/>
  <c r="A140" i="4" s="1"/>
  <c r="B140" i="4" a="1"/>
  <c r="B140" i="4" s="1"/>
  <c r="A141" i="4" a="1"/>
  <c r="A141" i="4" s="1"/>
  <c r="B141" i="4" a="1"/>
  <c r="B141" i="4" s="1"/>
  <c r="A142" i="4" a="1"/>
  <c r="A142" i="4" s="1"/>
  <c r="B142" i="4" a="1"/>
  <c r="B142" i="4" s="1"/>
  <c r="A143" i="4" a="1"/>
  <c r="A143" i="4" s="1"/>
  <c r="B143" i="4" a="1"/>
  <c r="B143" i="4" s="1"/>
  <c r="A144" i="4" a="1"/>
  <c r="A144" i="4" s="1"/>
  <c r="B144" i="4" a="1"/>
  <c r="B144" i="4" s="1"/>
  <c r="A145" i="4" a="1"/>
  <c r="A145" i="4" s="1"/>
  <c r="B145" i="4" a="1"/>
  <c r="B145" i="4" s="1"/>
  <c r="A146" i="4" a="1"/>
  <c r="A146" i="4" s="1"/>
  <c r="B146" i="4" a="1"/>
  <c r="B146" i="4" s="1"/>
  <c r="A147" i="4" a="1"/>
  <c r="A147" i="4" s="1"/>
  <c r="B147" i="4" a="1"/>
  <c r="B147" i="4" s="1"/>
  <c r="A148" i="4" a="1"/>
  <c r="A148" i="4" s="1"/>
  <c r="B148" i="4" a="1"/>
  <c r="B148" i="4" s="1"/>
  <c r="A149" i="4" a="1"/>
  <c r="A149" i="4" s="1"/>
  <c r="B149" i="4" a="1"/>
  <c r="B149" i="4" s="1"/>
  <c r="A150" i="4" a="1"/>
  <c r="A150" i="4" s="1"/>
  <c r="B150" i="4" a="1"/>
  <c r="B150" i="4" s="1"/>
  <c r="A151" i="4" a="1"/>
  <c r="A151" i="4" s="1"/>
  <c r="B151" i="4" a="1"/>
  <c r="B151" i="4" s="1"/>
  <c r="A152" i="4" a="1"/>
  <c r="A152" i="4" s="1"/>
  <c r="B152" i="4" a="1"/>
  <c r="B152" i="4" s="1"/>
  <c r="A153" i="4" a="1"/>
  <c r="A153" i="4" s="1"/>
  <c r="B153" i="4" a="1"/>
  <c r="B153" i="4" s="1"/>
  <c r="A154" i="4" a="1"/>
  <c r="A154" i="4" s="1"/>
  <c r="B154" i="4" a="1"/>
  <c r="B154" i="4" s="1"/>
  <c r="A155" i="4" a="1"/>
  <c r="A155" i="4" s="1"/>
  <c r="B155" i="4" a="1"/>
  <c r="B155" i="4" s="1"/>
  <c r="A156" i="4" a="1"/>
  <c r="A156" i="4" s="1"/>
  <c r="B156" i="4" a="1"/>
  <c r="B156" i="4" s="1"/>
  <c r="A157" i="4" a="1"/>
  <c r="A157" i="4" s="1"/>
  <c r="B157" i="4" a="1"/>
  <c r="B157" i="4" s="1"/>
  <c r="A158" i="4" a="1"/>
  <c r="A158" i="4" s="1"/>
  <c r="B158" i="4" a="1"/>
  <c r="B158" i="4" s="1"/>
  <c r="A159" i="4" a="1"/>
  <c r="A159" i="4" s="1"/>
  <c r="B159" i="4" a="1"/>
  <c r="B159" i="4" s="1"/>
  <c r="A160" i="4" a="1"/>
  <c r="A160" i="4" s="1"/>
  <c r="B160" i="4" a="1"/>
  <c r="B160" i="4" s="1"/>
  <c r="A161" i="4" a="1"/>
  <c r="A161" i="4" s="1"/>
  <c r="B161" i="4" a="1"/>
  <c r="B161" i="4" s="1"/>
  <c r="A162" i="4" a="1"/>
  <c r="A162" i="4" s="1"/>
  <c r="B162" i="4" a="1"/>
  <c r="B162" i="4" s="1"/>
  <c r="A163" i="4" a="1"/>
  <c r="A163" i="4" s="1"/>
  <c r="B163" i="4" a="1"/>
  <c r="B163" i="4" s="1"/>
  <c r="A164" i="4" a="1"/>
  <c r="A164" i="4" s="1"/>
  <c r="B164" i="4" a="1"/>
  <c r="B164" i="4" s="1"/>
  <c r="A165" i="4" a="1"/>
  <c r="A165" i="4" s="1"/>
  <c r="B165" i="4" a="1"/>
  <c r="B165" i="4" s="1"/>
  <c r="A166" i="4" a="1"/>
  <c r="A166" i="4" s="1"/>
  <c r="B166" i="4" a="1"/>
  <c r="B166" i="4" s="1"/>
  <c r="A167" i="4" a="1"/>
  <c r="A167" i="4" s="1"/>
  <c r="B167" i="4" a="1"/>
  <c r="B167" i="4" s="1"/>
  <c r="A168" i="4" a="1"/>
  <c r="A168" i="4" s="1"/>
  <c r="B168" i="4" a="1"/>
  <c r="B168" i="4" s="1"/>
  <c r="A169" i="4" a="1"/>
  <c r="A169" i="4" s="1"/>
  <c r="B169" i="4" a="1"/>
  <c r="B169" i="4" s="1"/>
  <c r="A170" i="4" a="1"/>
  <c r="A170" i="4" s="1"/>
  <c r="B170" i="4" a="1"/>
  <c r="B170" i="4" s="1"/>
  <c r="A171" i="4" a="1"/>
  <c r="A171" i="4" s="1"/>
  <c r="B171" i="4" a="1"/>
  <c r="B171" i="4" s="1"/>
  <c r="A172" i="4" a="1"/>
  <c r="A172" i="4" s="1"/>
  <c r="B172" i="4" a="1"/>
  <c r="B172" i="4" s="1"/>
  <c r="A173" i="4" a="1"/>
  <c r="A173" i="4" s="1"/>
  <c r="B173" i="4" a="1"/>
  <c r="B173" i="4" s="1"/>
  <c r="A174" i="4" a="1"/>
  <c r="A174" i="4" s="1"/>
  <c r="B174" i="4" a="1"/>
  <c r="B174" i="4" s="1"/>
  <c r="A175" i="4" a="1"/>
  <c r="A175" i="4" s="1"/>
  <c r="B175" i="4" a="1"/>
  <c r="B175" i="4" s="1"/>
  <c r="A176" i="4" a="1"/>
  <c r="A176" i="4" s="1"/>
  <c r="B176" i="4" a="1"/>
  <c r="B176" i="4" s="1"/>
  <c r="A177" i="4" a="1"/>
  <c r="A177" i="4" s="1"/>
  <c r="B177" i="4" a="1"/>
  <c r="B177" i="4" s="1"/>
  <c r="A178" i="4" a="1"/>
  <c r="A178" i="4" s="1"/>
  <c r="B178" i="4" a="1"/>
  <c r="B178" i="4" s="1"/>
  <c r="A179" i="4" a="1"/>
  <c r="A179" i="4" s="1"/>
  <c r="B179" i="4" a="1"/>
  <c r="B179" i="4" s="1"/>
  <c r="A180" i="4" a="1"/>
  <c r="A180" i="4" s="1"/>
  <c r="B180" i="4" a="1"/>
  <c r="B180" i="4" s="1"/>
  <c r="A181" i="4" a="1"/>
  <c r="A181" i="4" s="1"/>
  <c r="B181" i="4" a="1"/>
  <c r="B181" i="4" s="1"/>
  <c r="A182" i="4" a="1"/>
  <c r="A182" i="4" s="1"/>
  <c r="B182" i="4" a="1"/>
  <c r="B182" i="4" s="1"/>
  <c r="A183" i="4" a="1"/>
  <c r="A183" i="4" s="1"/>
  <c r="B183" i="4" a="1"/>
  <c r="B183" i="4" s="1"/>
  <c r="A184" i="4" a="1"/>
  <c r="A184" i="4" s="1"/>
  <c r="B184" i="4" a="1"/>
  <c r="B184" i="4" s="1"/>
  <c r="A185" i="4" a="1"/>
  <c r="A185" i="4" s="1"/>
  <c r="B185" i="4" a="1"/>
  <c r="B185" i="4" s="1"/>
  <c r="A186" i="4" a="1"/>
  <c r="A186" i="4" s="1"/>
  <c r="B186" i="4" a="1"/>
  <c r="B186" i="4" s="1"/>
  <c r="A187" i="4" a="1"/>
  <c r="A187" i="4" s="1"/>
  <c r="B187" i="4" a="1"/>
  <c r="B187" i="4" s="1"/>
  <c r="A188" i="4" a="1"/>
  <c r="A188" i="4" s="1"/>
  <c r="B188" i="4" a="1"/>
  <c r="B188" i="4" s="1"/>
  <c r="A189" i="4" a="1"/>
  <c r="A189" i="4" s="1"/>
  <c r="B189" i="4" a="1"/>
  <c r="B189" i="4" s="1"/>
  <c r="A190" i="4" a="1"/>
  <c r="A190" i="4" s="1"/>
  <c r="B190" i="4" a="1"/>
  <c r="B190" i="4" s="1"/>
  <c r="A191" i="4" a="1"/>
  <c r="A191" i="4" s="1"/>
  <c r="B191" i="4" a="1"/>
  <c r="B191" i="4" s="1"/>
  <c r="A192" i="4" a="1"/>
  <c r="A192" i="4" s="1"/>
  <c r="B192" i="4" a="1"/>
  <c r="B192" i="4" s="1"/>
  <c r="A193" i="4" a="1"/>
  <c r="A193" i="4" s="1"/>
  <c r="B193" i="4" a="1"/>
  <c r="B193" i="4" s="1"/>
  <c r="A194" i="4" a="1"/>
  <c r="A194" i="4" s="1"/>
  <c r="B194" i="4" a="1"/>
  <c r="B194" i="4" s="1"/>
  <c r="A195" i="4" a="1"/>
  <c r="A195" i="4" s="1"/>
  <c r="B195" i="4" a="1"/>
  <c r="B195" i="4" s="1"/>
  <c r="A196" i="4" a="1"/>
  <c r="A196" i="4" s="1"/>
  <c r="B196" i="4" a="1"/>
  <c r="B196" i="4" s="1"/>
  <c r="A197" i="4" a="1"/>
  <c r="A197" i="4" s="1"/>
  <c r="B197" i="4" a="1"/>
  <c r="B197" i="4" s="1"/>
  <c r="A198" i="4" a="1"/>
  <c r="A198" i="4" s="1"/>
  <c r="B198" i="4" a="1"/>
  <c r="B198" i="4" s="1"/>
  <c r="A199" i="4" a="1"/>
  <c r="A199" i="4" s="1"/>
  <c r="B199" i="4" a="1"/>
  <c r="B199" i="4" s="1"/>
  <c r="A200" i="4" a="1"/>
  <c r="A200" i="4" s="1"/>
  <c r="B200" i="4" a="1"/>
  <c r="B200" i="4" s="1"/>
  <c r="A201" i="4" a="1"/>
  <c r="A201" i="4" s="1"/>
  <c r="B201" i="4" a="1"/>
  <c r="B201" i="4" s="1"/>
  <c r="A202" i="4" a="1"/>
  <c r="A202" i="4" s="1"/>
  <c r="B202" i="4" a="1"/>
  <c r="B202" i="4" s="1"/>
  <c r="A203" i="4" a="1"/>
  <c r="A203" i="4" s="1"/>
  <c r="B203" i="4" a="1"/>
  <c r="B203" i="4" s="1"/>
  <c r="A204" i="4" a="1"/>
  <c r="A204" i="4" s="1"/>
  <c r="B204" i="4" a="1"/>
  <c r="B204" i="4" s="1"/>
  <c r="A205" i="4" a="1"/>
  <c r="A205" i="4" s="1"/>
  <c r="B205" i="4" a="1"/>
  <c r="B205" i="4" s="1"/>
  <c r="A206" i="4" a="1"/>
  <c r="A206" i="4" s="1"/>
  <c r="B206" i="4" a="1"/>
  <c r="B206" i="4" s="1"/>
  <c r="A207" i="4" a="1"/>
  <c r="A207" i="4" s="1"/>
  <c r="B207" i="4" a="1"/>
  <c r="B207" i="4" s="1"/>
  <c r="A208" i="4" a="1"/>
  <c r="A208" i="4" s="1"/>
  <c r="B208" i="4" a="1"/>
  <c r="B208" i="4" s="1"/>
  <c r="A209" i="4" a="1"/>
  <c r="A209" i="4" s="1"/>
  <c r="B209" i="4" a="1"/>
  <c r="B209" i="4" s="1"/>
  <c r="A210" i="4" a="1"/>
  <c r="A210" i="4" s="1"/>
  <c r="B210" i="4" a="1"/>
  <c r="B210" i="4" s="1"/>
  <c r="A211" i="4" a="1"/>
  <c r="A211" i="4" s="1"/>
  <c r="B211" i="4" a="1"/>
  <c r="B211" i="4" s="1"/>
  <c r="A212" i="4" a="1"/>
  <c r="A212" i="4" s="1"/>
  <c r="B212" i="4" a="1"/>
  <c r="B212" i="4" s="1"/>
  <c r="A213" i="4" a="1"/>
  <c r="A213" i="4" s="1"/>
  <c r="B213" i="4" a="1"/>
  <c r="B213" i="4" s="1"/>
  <c r="A214" i="4" a="1"/>
  <c r="A214" i="4" s="1"/>
  <c r="B214" i="4" a="1"/>
  <c r="B214" i="4" s="1"/>
  <c r="A215" i="4" a="1"/>
  <c r="A215" i="4" s="1"/>
  <c r="B215" i="4" a="1"/>
  <c r="B215" i="4" s="1"/>
  <c r="A216" i="4" a="1"/>
  <c r="A216" i="4" s="1"/>
  <c r="B216" i="4" a="1"/>
  <c r="B216" i="4" s="1"/>
  <c r="A217" i="4" a="1"/>
  <c r="A217" i="4" s="1"/>
  <c r="B217" i="4" a="1"/>
  <c r="B217" i="4" s="1"/>
  <c r="A218" i="4" a="1"/>
  <c r="A218" i="4" s="1"/>
  <c r="B218" i="4" a="1"/>
  <c r="B218" i="4" s="1"/>
  <c r="A219" i="4" a="1"/>
  <c r="A219" i="4" s="1"/>
  <c r="B219" i="4" a="1"/>
  <c r="B219" i="4" s="1"/>
  <c r="A220" i="4" a="1"/>
  <c r="A220" i="4" s="1"/>
  <c r="B220" i="4" a="1"/>
  <c r="B220" i="4" s="1"/>
  <c r="A221" i="4" a="1"/>
  <c r="A221" i="4" s="1"/>
  <c r="B221" i="4" a="1"/>
  <c r="B221" i="4" s="1"/>
  <c r="A222" i="4" a="1"/>
  <c r="A222" i="4" s="1"/>
  <c r="B222" i="4" a="1"/>
  <c r="B222" i="4" s="1"/>
  <c r="A223" i="4" a="1"/>
  <c r="A223" i="4" s="1"/>
  <c r="B223" i="4" a="1"/>
  <c r="B223" i="4" s="1"/>
  <c r="A224" i="4" a="1"/>
  <c r="A224" i="4" s="1"/>
  <c r="B224" i="4" a="1"/>
  <c r="B224" i="4" s="1"/>
  <c r="A225" i="4" a="1"/>
  <c r="A225" i="4" s="1"/>
  <c r="B225" i="4" a="1"/>
  <c r="B225" i="4" s="1"/>
  <c r="A226" i="4" a="1"/>
  <c r="A226" i="4" s="1"/>
  <c r="B226" i="4" a="1"/>
  <c r="B226" i="4" s="1"/>
  <c r="A227" i="4" a="1"/>
  <c r="A227" i="4" s="1"/>
  <c r="B227" i="4" a="1"/>
  <c r="B227" i="4" s="1"/>
  <c r="A228" i="4" a="1"/>
  <c r="A228" i="4" s="1"/>
  <c r="B228" i="4" a="1"/>
  <c r="B228" i="4" s="1"/>
  <c r="A229" i="4" a="1"/>
  <c r="A229" i="4" s="1"/>
  <c r="B229" i="4" a="1"/>
  <c r="B229" i="4" s="1"/>
  <c r="A230" i="4" a="1"/>
  <c r="A230" i="4" s="1"/>
  <c r="B230" i="4" a="1"/>
  <c r="B230" i="4" s="1"/>
  <c r="A231" i="4" a="1"/>
  <c r="A231" i="4" s="1"/>
  <c r="B231" i="4" a="1"/>
  <c r="B231" i="4" s="1"/>
  <c r="A232" i="4" a="1"/>
  <c r="A232" i="4" s="1"/>
  <c r="B232" i="4" a="1"/>
  <c r="B232" i="4" s="1"/>
  <c r="A233" i="4" a="1"/>
  <c r="A233" i="4" s="1"/>
  <c r="B233" i="4" a="1"/>
  <c r="B233" i="4" s="1"/>
  <c r="A234" i="4" a="1"/>
  <c r="A234" i="4" s="1"/>
  <c r="B234" i="4" a="1"/>
  <c r="B234" i="4" s="1"/>
  <c r="A235" i="4" a="1"/>
  <c r="A235" i="4" s="1"/>
  <c r="B235" i="4" a="1"/>
  <c r="B235" i="4" s="1"/>
  <c r="A236" i="4" a="1"/>
  <c r="A236" i="4" s="1"/>
  <c r="B236" i="4" a="1"/>
  <c r="B236" i="4" s="1"/>
  <c r="A237" i="4" a="1"/>
  <c r="A237" i="4" s="1"/>
  <c r="B237" i="4" a="1"/>
  <c r="B237" i="4" s="1"/>
  <c r="A238" i="4" a="1"/>
  <c r="A238" i="4" s="1"/>
  <c r="B238" i="4" a="1"/>
  <c r="B238" i="4" s="1"/>
  <c r="A239" i="4" a="1"/>
  <c r="A239" i="4" s="1"/>
  <c r="B239" i="4" a="1"/>
  <c r="B239" i="4" s="1"/>
  <c r="A240" i="4" a="1"/>
  <c r="A240" i="4" s="1"/>
  <c r="B240" i="4" a="1"/>
  <c r="B240" i="4" s="1"/>
  <c r="A241" i="4" a="1"/>
  <c r="A241" i="4" s="1"/>
  <c r="B241" i="4" a="1"/>
  <c r="B241" i="4" s="1"/>
  <c r="A242" i="4" a="1"/>
  <c r="A242" i="4" s="1"/>
  <c r="B242" i="4" a="1"/>
  <c r="B242" i="4" s="1"/>
  <c r="A243" i="4" a="1"/>
  <c r="A243" i="4" s="1"/>
  <c r="B243" i="4" a="1"/>
  <c r="B243" i="4" s="1"/>
  <c r="A244" i="4" a="1"/>
  <c r="A244" i="4" s="1"/>
  <c r="B244" i="4" a="1"/>
  <c r="B244" i="4" s="1"/>
  <c r="A245" i="4" a="1"/>
  <c r="A245" i="4" s="1"/>
  <c r="B245" i="4" a="1"/>
  <c r="B245" i="4" s="1"/>
  <c r="A246" i="4" a="1"/>
  <c r="A246" i="4" s="1"/>
  <c r="B246" i="4" a="1"/>
  <c r="B246" i="4" s="1"/>
  <c r="A247" i="4" a="1"/>
  <c r="A247" i="4" s="1"/>
  <c r="B247" i="4" a="1"/>
  <c r="B247" i="4" s="1"/>
  <c r="A248" i="4" a="1"/>
  <c r="A248" i="4" s="1"/>
  <c r="B248" i="4" a="1"/>
  <c r="B248" i="4" s="1"/>
  <c r="A249" i="4" a="1"/>
  <c r="A249" i="4" s="1"/>
  <c r="B249" i="4" a="1"/>
  <c r="B249" i="4" s="1"/>
  <c r="A250" i="4" a="1"/>
  <c r="A250" i="4" s="1"/>
  <c r="B250" i="4" a="1"/>
  <c r="B250" i="4" s="1"/>
  <c r="A251" i="4" a="1"/>
  <c r="A251" i="4" s="1"/>
  <c r="B251" i="4" a="1"/>
  <c r="B251" i="4" s="1"/>
  <c r="A252" i="4" a="1"/>
  <c r="A252" i="4" s="1"/>
  <c r="B252" i="4" a="1"/>
  <c r="B252" i="4" s="1"/>
  <c r="A253" i="4" a="1"/>
  <c r="A253" i="4" s="1"/>
  <c r="B253" i="4" a="1"/>
  <c r="B253" i="4" s="1"/>
  <c r="A254" i="4" a="1"/>
  <c r="A254" i="4" s="1"/>
  <c r="B254" i="4" a="1"/>
  <c r="B254" i="4" s="1"/>
  <c r="A255" i="4" a="1"/>
  <c r="A255" i="4" s="1"/>
  <c r="B255" i="4" a="1"/>
  <c r="B255" i="4" s="1"/>
  <c r="A256" i="4" a="1"/>
  <c r="A256" i="4" s="1"/>
  <c r="B256" i="4" a="1"/>
  <c r="B256" i="4" s="1"/>
  <c r="A257" i="4" a="1"/>
  <c r="A257" i="4" s="1"/>
  <c r="B257" i="4" a="1"/>
  <c r="B257" i="4" s="1"/>
  <c r="A258" i="4" a="1"/>
  <c r="A258" i="4" s="1"/>
  <c r="B258" i="4" a="1"/>
  <c r="B258" i="4" s="1"/>
  <c r="A259" i="4" a="1"/>
  <c r="A259" i="4" s="1"/>
  <c r="B259" i="4" a="1"/>
  <c r="B259" i="4" s="1"/>
  <c r="A260" i="4" a="1"/>
  <c r="A260" i="4" s="1"/>
  <c r="B260" i="4" a="1"/>
  <c r="B260" i="4" s="1"/>
  <c r="A261" i="4" a="1"/>
  <c r="A261" i="4" s="1"/>
  <c r="B261" i="4" a="1"/>
  <c r="B261" i="4" s="1"/>
  <c r="A262" i="4" a="1"/>
  <c r="A262" i="4" s="1"/>
  <c r="B262" i="4" a="1"/>
  <c r="B262" i="4" s="1"/>
  <c r="A263" i="4" a="1"/>
  <c r="A263" i="4" s="1"/>
  <c r="B263" i="4" a="1"/>
  <c r="B263" i="4" s="1"/>
  <c r="A264" i="4" a="1"/>
  <c r="A264" i="4" s="1"/>
  <c r="B264" i="4" a="1"/>
  <c r="B264" i="4" s="1"/>
  <c r="A265" i="4" a="1"/>
  <c r="A265" i="4" s="1"/>
  <c r="B265" i="4" a="1"/>
  <c r="B265" i="4" s="1"/>
  <c r="A266" i="4" a="1"/>
  <c r="A266" i="4" s="1"/>
  <c r="B266" i="4" a="1"/>
  <c r="B266" i="4" s="1"/>
  <c r="A267" i="4" a="1"/>
  <c r="A267" i="4" s="1"/>
  <c r="B267" i="4" a="1"/>
  <c r="B267" i="4" s="1"/>
  <c r="A268" i="4" a="1"/>
  <c r="A268" i="4" s="1"/>
  <c r="B268" i="4" a="1"/>
  <c r="B268" i="4" s="1"/>
  <c r="A269" i="4" a="1"/>
  <c r="A269" i="4" s="1"/>
  <c r="B269" i="4" a="1"/>
  <c r="B269" i="4" s="1"/>
  <c r="A270" i="4" a="1"/>
  <c r="A270" i="4" s="1"/>
  <c r="B270" i="4" a="1"/>
  <c r="B270" i="4" s="1"/>
  <c r="A271" i="4" a="1"/>
  <c r="A271" i="4" s="1"/>
  <c r="B271" i="4" a="1"/>
  <c r="B271" i="4" s="1"/>
  <c r="A272" i="4" a="1"/>
  <c r="A272" i="4" s="1"/>
  <c r="B272" i="4" a="1"/>
  <c r="B272" i="4" s="1"/>
  <c r="A273" i="4" a="1"/>
  <c r="A273" i="4" s="1"/>
  <c r="B273" i="4" a="1"/>
  <c r="B273" i="4" s="1"/>
  <c r="A274" i="4" a="1"/>
  <c r="A274" i="4" s="1"/>
  <c r="B274" i="4" a="1"/>
  <c r="B274" i="4" s="1"/>
  <c r="A275" i="4" a="1"/>
  <c r="A275" i="4" s="1"/>
  <c r="B275" i="4" a="1"/>
  <c r="B275" i="4" s="1"/>
  <c r="A276" i="4" a="1"/>
  <c r="A276" i="4" s="1"/>
  <c r="B276" i="4" a="1"/>
  <c r="B276" i="4" s="1"/>
  <c r="A277" i="4" a="1"/>
  <c r="A277" i="4" s="1"/>
  <c r="B277" i="4" a="1"/>
  <c r="B277" i="4" s="1"/>
  <c r="A278" i="4" a="1"/>
  <c r="A278" i="4" s="1"/>
  <c r="B278" i="4" a="1"/>
  <c r="B278" i="4" s="1"/>
  <c r="A279" i="4" a="1"/>
  <c r="A279" i="4" s="1"/>
  <c r="B279" i="4" a="1"/>
  <c r="B279" i="4" s="1"/>
  <c r="A280" i="4" a="1"/>
  <c r="A280" i="4" s="1"/>
  <c r="B280" i="4" a="1"/>
  <c r="B280" i="4" s="1"/>
  <c r="A281" i="4" a="1"/>
  <c r="A281" i="4" s="1"/>
  <c r="B281" i="4" a="1"/>
  <c r="B281" i="4" s="1"/>
  <c r="A282" i="4" a="1"/>
  <c r="A282" i="4" s="1"/>
  <c r="B282" i="4" a="1"/>
  <c r="B282" i="4" s="1"/>
  <c r="A283" i="4" a="1"/>
  <c r="A283" i="4" s="1"/>
  <c r="B283" i="4" a="1"/>
  <c r="B283" i="4" s="1"/>
  <c r="A284" i="4" a="1"/>
  <c r="A284" i="4" s="1"/>
  <c r="B284" i="4" a="1"/>
  <c r="B284" i="4" s="1"/>
  <c r="A285" i="4" a="1"/>
  <c r="A285" i="4" s="1"/>
  <c r="B285" i="4" a="1"/>
  <c r="B285" i="4" s="1"/>
  <c r="A286" i="4" a="1"/>
  <c r="A286" i="4" s="1"/>
  <c r="B286" i="4" a="1"/>
  <c r="B286" i="4" s="1"/>
  <c r="A287" i="4" a="1"/>
  <c r="A287" i="4" s="1"/>
  <c r="B287" i="4" a="1"/>
  <c r="B287" i="4" s="1"/>
  <c r="A288" i="4" a="1"/>
  <c r="A288" i="4" s="1"/>
  <c r="B288" i="4" a="1"/>
  <c r="B288" i="4" s="1"/>
  <c r="A289" i="4" a="1"/>
  <c r="A289" i="4" s="1"/>
  <c r="B289" i="4" a="1"/>
  <c r="B289" i="4" s="1"/>
  <c r="A290" i="4" a="1"/>
  <c r="A290" i="4" s="1"/>
  <c r="B290" i="4" a="1"/>
  <c r="B290" i="4" s="1"/>
  <c r="A291" i="4" a="1"/>
  <c r="A291" i="4" s="1"/>
  <c r="B291" i="4" a="1"/>
  <c r="B291" i="4" s="1"/>
  <c r="A292" i="4" a="1"/>
  <c r="A292" i="4" s="1"/>
  <c r="B292" i="4" a="1"/>
  <c r="B292" i="4" s="1"/>
  <c r="A293" i="4" a="1"/>
  <c r="A293" i="4" s="1"/>
  <c r="B293" i="4" a="1"/>
  <c r="B293" i="4" s="1"/>
  <c r="A294" i="4" a="1"/>
  <c r="A294" i="4" s="1"/>
  <c r="B294" i="4" a="1"/>
  <c r="B294" i="4" s="1"/>
  <c r="A295" i="4" a="1"/>
  <c r="A295" i="4" s="1"/>
  <c r="B295" i="4" a="1"/>
  <c r="B295" i="4" s="1"/>
  <c r="A296" i="4" a="1"/>
  <c r="A296" i="4" s="1"/>
  <c r="B296" i="4" a="1"/>
  <c r="B296" i="4" s="1"/>
  <c r="A297" i="4" a="1"/>
  <c r="A297" i="4" s="1"/>
  <c r="B297" i="4" a="1"/>
  <c r="B297" i="4" s="1"/>
  <c r="A298" i="4" a="1"/>
  <c r="A298" i="4" s="1"/>
  <c r="B298" i="4" a="1"/>
  <c r="B298" i="4" s="1"/>
  <c r="A299" i="4" a="1"/>
  <c r="A299" i="4" s="1"/>
  <c r="B299" i="4" a="1"/>
  <c r="B299" i="4" s="1"/>
  <c r="A300" i="4" a="1"/>
  <c r="A300" i="4" s="1"/>
  <c r="B300" i="4" a="1"/>
  <c r="B300" i="4" s="1"/>
  <c r="A301" i="4" a="1"/>
  <c r="A301" i="4" s="1"/>
  <c r="B301" i="4" a="1"/>
  <c r="B301" i="4" s="1"/>
  <c r="A302" i="4" a="1"/>
  <c r="A302" i="4" s="1"/>
  <c r="B302" i="4" a="1"/>
  <c r="B302" i="4" s="1"/>
  <c r="A303" i="4" a="1"/>
  <c r="A303" i="4" s="1"/>
  <c r="B303" i="4" a="1"/>
  <c r="B303" i="4" s="1"/>
  <c r="A304" i="4" a="1"/>
  <c r="A304" i="4" s="1"/>
  <c r="B304" i="4" a="1"/>
  <c r="B304" i="4" s="1"/>
  <c r="A305" i="4" a="1"/>
  <c r="A305" i="4" s="1"/>
  <c r="B305" i="4" a="1"/>
  <c r="B305" i="4" s="1"/>
  <c r="A306" i="4" a="1"/>
  <c r="A306" i="4" s="1"/>
  <c r="B306" i="4" a="1"/>
  <c r="B306" i="4" s="1"/>
  <c r="A307" i="4" a="1"/>
  <c r="A307" i="4" s="1"/>
  <c r="B307" i="4" a="1"/>
  <c r="B307" i="4" s="1"/>
  <c r="A308" i="4" a="1"/>
  <c r="A308" i="4" s="1"/>
  <c r="B308" i="4" a="1"/>
  <c r="B308" i="4" s="1"/>
  <c r="A309" i="4" a="1"/>
  <c r="A309" i="4" s="1"/>
  <c r="B309" i="4" a="1"/>
  <c r="B309" i="4" s="1"/>
  <c r="A310" i="4" a="1"/>
  <c r="A310" i="4" s="1"/>
  <c r="B310" i="4" a="1"/>
  <c r="B310" i="4" s="1"/>
  <c r="A311" i="4" a="1"/>
  <c r="A311" i="4" s="1"/>
  <c r="B311" i="4" a="1"/>
  <c r="B311" i="4" s="1"/>
  <c r="A312" i="4" a="1"/>
  <c r="A312" i="4" s="1"/>
  <c r="B312" i="4" a="1"/>
  <c r="B312" i="4" s="1"/>
  <c r="A313" i="4" a="1"/>
  <c r="A313" i="4" s="1"/>
  <c r="B313" i="4" a="1"/>
  <c r="B313" i="4" s="1"/>
  <c r="A314" i="4" a="1"/>
  <c r="A314" i="4" s="1"/>
  <c r="B314" i="4" a="1"/>
  <c r="B314" i="4" s="1"/>
  <c r="A315" i="4" a="1"/>
  <c r="A315" i="4" s="1"/>
  <c r="B315" i="4" a="1"/>
  <c r="B315" i="4" s="1"/>
  <c r="A316" i="4" a="1"/>
  <c r="A316" i="4" s="1"/>
  <c r="B316" i="4" a="1"/>
  <c r="B316" i="4" s="1"/>
  <c r="A317" i="4" a="1"/>
  <c r="A317" i="4" s="1"/>
  <c r="B317" i="4" a="1"/>
  <c r="B317" i="4" s="1"/>
  <c r="A318" i="4" a="1"/>
  <c r="A318" i="4" s="1"/>
  <c r="B318" i="4" a="1"/>
  <c r="B318" i="4" s="1"/>
  <c r="A319" i="4" a="1"/>
  <c r="A319" i="4" s="1"/>
  <c r="B319" i="4" a="1"/>
  <c r="B319" i="4" s="1"/>
  <c r="A320" i="4" a="1"/>
  <c r="A320" i="4" s="1"/>
  <c r="B320" i="4" a="1"/>
  <c r="B320" i="4" s="1"/>
  <c r="A321" i="4" a="1"/>
  <c r="A321" i="4" s="1"/>
  <c r="B321" i="4" a="1"/>
  <c r="B321" i="4" s="1"/>
  <c r="A322" i="4" a="1"/>
  <c r="A322" i="4" s="1"/>
  <c r="B322" i="4" a="1"/>
  <c r="B322" i="4" s="1"/>
  <c r="A323" i="4" a="1"/>
  <c r="A323" i="4" s="1"/>
  <c r="B323" i="4" a="1"/>
  <c r="B323" i="4" s="1"/>
  <c r="A324" i="4" a="1"/>
  <c r="A324" i="4" s="1"/>
  <c r="B324" i="4" a="1"/>
  <c r="B324" i="4" s="1"/>
  <c r="A325" i="4" a="1"/>
  <c r="A325" i="4" s="1"/>
  <c r="B325" i="4" a="1"/>
  <c r="B325" i="4" s="1"/>
  <c r="A326" i="4" a="1"/>
  <c r="A326" i="4" s="1"/>
  <c r="B326" i="4" a="1"/>
  <c r="B326" i="4" s="1"/>
  <c r="A327" i="4" a="1"/>
  <c r="A327" i="4" s="1"/>
  <c r="B327" i="4" a="1"/>
  <c r="B327" i="4" s="1"/>
  <c r="A328" i="4" a="1"/>
  <c r="A328" i="4" s="1"/>
  <c r="B328" i="4" a="1"/>
  <c r="B328" i="4" s="1"/>
  <c r="A329" i="4" a="1"/>
  <c r="A329" i="4" s="1"/>
  <c r="B329" i="4" a="1"/>
  <c r="B329" i="4" s="1"/>
  <c r="A330" i="4" a="1"/>
  <c r="A330" i="4" s="1"/>
  <c r="B330" i="4" a="1"/>
  <c r="B330" i="4" s="1"/>
  <c r="A331" i="4" a="1"/>
  <c r="A331" i="4" s="1"/>
  <c r="B331" i="4" a="1"/>
  <c r="B331" i="4" s="1"/>
  <c r="A332" i="4" a="1"/>
  <c r="A332" i="4" s="1"/>
  <c r="B332" i="4" a="1"/>
  <c r="B332" i="4" s="1"/>
  <c r="A333" i="4" a="1"/>
  <c r="A333" i="4" s="1"/>
  <c r="B333" i="4" a="1"/>
  <c r="B333" i="4" s="1"/>
  <c r="A334" i="4" a="1"/>
  <c r="A334" i="4" s="1"/>
  <c r="B334" i="4" a="1"/>
  <c r="B334" i="4" s="1"/>
  <c r="A335" i="4" a="1"/>
  <c r="A335" i="4" s="1"/>
  <c r="B335" i="4" a="1"/>
  <c r="B335" i="4" s="1"/>
  <c r="A336" i="4" a="1"/>
  <c r="A336" i="4" s="1"/>
  <c r="B336" i="4" a="1"/>
  <c r="B336" i="4" s="1"/>
  <c r="A337" i="4" a="1"/>
  <c r="A337" i="4" s="1"/>
  <c r="B337" i="4" a="1"/>
  <c r="B337" i="4" s="1"/>
  <c r="A338" i="4" a="1"/>
  <c r="A338" i="4" s="1"/>
  <c r="B338" i="4" a="1"/>
  <c r="B338" i="4" s="1"/>
  <c r="A339" i="4" a="1"/>
  <c r="A339" i="4" s="1"/>
  <c r="B339" i="4" a="1"/>
  <c r="B339" i="4" s="1"/>
  <c r="A340" i="4" a="1"/>
  <c r="A340" i="4" s="1"/>
  <c r="B340" i="4" a="1"/>
  <c r="B340" i="4" s="1"/>
  <c r="A341" i="4" a="1"/>
  <c r="A341" i="4" s="1"/>
  <c r="B341" i="4" a="1"/>
  <c r="B341" i="4" s="1"/>
  <c r="A342" i="4" a="1"/>
  <c r="A342" i="4" s="1"/>
  <c r="B342" i="4" a="1"/>
  <c r="B342" i="4" s="1"/>
  <c r="A343" i="4" a="1"/>
  <c r="A343" i="4" s="1"/>
  <c r="B343" i="4" a="1"/>
  <c r="B343" i="4" s="1"/>
  <c r="A344" i="4" a="1"/>
  <c r="A344" i="4" s="1"/>
  <c r="B344" i="4" a="1"/>
  <c r="B344" i="4" s="1"/>
  <c r="A345" i="4" a="1"/>
  <c r="A345" i="4" s="1"/>
  <c r="B345" i="4" a="1"/>
  <c r="B345" i="4" s="1"/>
  <c r="A346" i="4" a="1"/>
  <c r="A346" i="4" s="1"/>
  <c r="B346" i="4" a="1"/>
  <c r="B346" i="4" s="1"/>
  <c r="A347" i="4" a="1"/>
  <c r="A347" i="4" s="1"/>
  <c r="B347" i="4" a="1"/>
  <c r="B347" i="4" s="1"/>
  <c r="A348" i="4" a="1"/>
  <c r="A348" i="4" s="1"/>
  <c r="B348" i="4" a="1"/>
  <c r="B348" i="4" s="1"/>
  <c r="A349" i="4" a="1"/>
  <c r="A349" i="4" s="1"/>
  <c r="B349" i="4" a="1"/>
  <c r="B349" i="4" s="1"/>
  <c r="A350" i="4" a="1"/>
  <c r="A350" i="4" s="1"/>
  <c r="B350" i="4" a="1"/>
  <c r="B350" i="4" s="1"/>
  <c r="A351" i="4" a="1"/>
  <c r="A351" i="4" s="1"/>
  <c r="B351" i="4" a="1"/>
  <c r="B351" i="4" s="1"/>
  <c r="A352" i="4" a="1"/>
  <c r="A352" i="4" s="1"/>
  <c r="B352" i="4" a="1"/>
  <c r="B352" i="4" s="1"/>
  <c r="A353" i="4" a="1"/>
  <c r="A353" i="4" s="1"/>
  <c r="B353" i="4" a="1"/>
  <c r="B353" i="4" s="1"/>
  <c r="A354" i="4" a="1"/>
  <c r="A354" i="4" s="1"/>
  <c r="B354" i="4" a="1"/>
  <c r="B354" i="4" s="1"/>
  <c r="A355" i="4" a="1"/>
  <c r="A355" i="4" s="1"/>
  <c r="B355" i="4" a="1"/>
  <c r="B355" i="4" s="1"/>
  <c r="A356" i="4" a="1"/>
  <c r="A356" i="4" s="1"/>
  <c r="B356" i="4" a="1"/>
  <c r="B356" i="4" s="1"/>
  <c r="A357" i="4" a="1"/>
  <c r="A357" i="4" s="1"/>
  <c r="B357" i="4" a="1"/>
  <c r="B357" i="4" s="1"/>
  <c r="A358" i="4" a="1"/>
  <c r="A358" i="4" s="1"/>
  <c r="B358" i="4" a="1"/>
  <c r="B358" i="4" s="1"/>
  <c r="A359" i="4" a="1"/>
  <c r="A359" i="4" s="1"/>
  <c r="B359" i="4" a="1"/>
  <c r="B359" i="4" s="1"/>
  <c r="A360" i="4" a="1"/>
  <c r="A360" i="4" s="1"/>
  <c r="B360" i="4" a="1"/>
  <c r="B360" i="4" s="1"/>
  <c r="A361" i="4" a="1"/>
  <c r="A361" i="4" s="1"/>
  <c r="B361" i="4" a="1"/>
  <c r="B361" i="4" s="1"/>
  <c r="A362" i="4" a="1"/>
  <c r="A362" i="4" s="1"/>
  <c r="B362" i="4" a="1"/>
  <c r="B362" i="4" s="1"/>
  <c r="A363" i="4" a="1"/>
  <c r="A363" i="4" s="1"/>
  <c r="B363" i="4" a="1"/>
  <c r="B363" i="4" s="1"/>
  <c r="A364" i="4" a="1"/>
  <c r="A364" i="4" s="1"/>
  <c r="B364" i="4" a="1"/>
  <c r="B364" i="4" s="1"/>
  <c r="A365" i="4" a="1"/>
  <c r="A365" i="4" s="1"/>
  <c r="B365" i="4" a="1"/>
  <c r="B365" i="4" s="1"/>
  <c r="A366" i="4" a="1"/>
  <c r="A366" i="4" s="1"/>
  <c r="B366" i="4" a="1"/>
  <c r="B366" i="4" s="1"/>
  <c r="A367" i="4" a="1"/>
  <c r="A367" i="4" s="1"/>
  <c r="B367" i="4" a="1"/>
  <c r="B367" i="4" s="1"/>
  <c r="A368" i="4" a="1"/>
  <c r="A368" i="4" s="1"/>
  <c r="B368" i="4" a="1"/>
  <c r="B368" i="4" s="1"/>
  <c r="A369" i="4" a="1"/>
  <c r="A369" i="4" s="1"/>
  <c r="B369" i="4" a="1"/>
  <c r="B369" i="4" s="1"/>
  <c r="A370" i="4" a="1"/>
  <c r="A370" i="4" s="1"/>
  <c r="B370" i="4" a="1"/>
  <c r="B370" i="4" s="1"/>
  <c r="A371" i="4" a="1"/>
  <c r="A371" i="4" s="1"/>
  <c r="B371" i="4" a="1"/>
  <c r="B371" i="4" s="1"/>
  <c r="A372" i="4" a="1"/>
  <c r="A372" i="4" s="1"/>
  <c r="B372" i="4" a="1"/>
  <c r="B372" i="4" s="1"/>
  <c r="A373" i="4" a="1"/>
  <c r="A373" i="4" s="1"/>
  <c r="B373" i="4" a="1"/>
  <c r="B373" i="4" s="1"/>
  <c r="A374" i="4" a="1"/>
  <c r="A374" i="4" s="1"/>
  <c r="B374" i="4" a="1"/>
  <c r="B374" i="4" s="1"/>
  <c r="A375" i="4" a="1"/>
  <c r="A375" i="4" s="1"/>
  <c r="B375" i="4" a="1"/>
  <c r="B375" i="4" s="1"/>
  <c r="A376" i="4" a="1"/>
  <c r="A376" i="4" s="1"/>
  <c r="B376" i="4" a="1"/>
  <c r="B376" i="4" s="1"/>
  <c r="A377" i="4" a="1"/>
  <c r="A377" i="4" s="1"/>
  <c r="B377" i="4" a="1"/>
  <c r="B377" i="4" s="1"/>
  <c r="A378" i="4" a="1"/>
  <c r="A378" i="4" s="1"/>
  <c r="B378" i="4" a="1"/>
  <c r="B378" i="4" s="1"/>
  <c r="A379" i="4" a="1"/>
  <c r="A379" i="4" s="1"/>
  <c r="B379" i="4" a="1"/>
  <c r="B379" i="4"/>
  <c r="A380" i="4" a="1"/>
  <c r="A380" i="4" s="1"/>
  <c r="B380" i="4" a="1"/>
  <c r="B380" i="4" s="1"/>
  <c r="A381" i="4" a="1"/>
  <c r="A381" i="4" s="1"/>
  <c r="B381" i="4" a="1"/>
  <c r="B381" i="4" s="1"/>
  <c r="A382" i="4" a="1"/>
  <c r="A382" i="4" s="1"/>
  <c r="B382" i="4" a="1"/>
  <c r="B382" i="4" s="1"/>
  <c r="A383" i="4" a="1"/>
  <c r="A383" i="4" s="1"/>
  <c r="B383" i="4" a="1"/>
  <c r="B383" i="4" s="1"/>
  <c r="A384" i="4" a="1"/>
  <c r="A384" i="4" s="1"/>
  <c r="B384" i="4" a="1"/>
  <c r="B384" i="4" s="1"/>
  <c r="A385" i="4" a="1"/>
  <c r="A385" i="4" s="1"/>
  <c r="B385" i="4" a="1"/>
  <c r="B385" i="4"/>
  <c r="A386" i="4" a="1"/>
  <c r="A386" i="4" s="1"/>
  <c r="B386" i="4" a="1"/>
  <c r="B386" i="4" s="1"/>
  <c r="A387" i="4" a="1"/>
  <c r="A387" i="4" s="1"/>
  <c r="B387" i="4" a="1"/>
  <c r="B387" i="4" s="1"/>
  <c r="A388" i="4" a="1"/>
  <c r="A388" i="4" s="1"/>
  <c r="B388" i="4" a="1"/>
  <c r="B388" i="4"/>
  <c r="A389" i="4" a="1"/>
  <c r="A389" i="4" s="1"/>
  <c r="B389" i="4" a="1"/>
  <c r="B389" i="4" s="1"/>
  <c r="A390" i="4" a="1"/>
  <c r="A390" i="4" s="1"/>
  <c r="B390" i="4" a="1"/>
  <c r="B390" i="4" s="1"/>
  <c r="A391" i="4" a="1"/>
  <c r="A391" i="4" s="1"/>
  <c r="B391" i="4" a="1"/>
  <c r="B391" i="4" s="1"/>
  <c r="A392" i="4" a="1"/>
  <c r="A392" i="4" s="1"/>
  <c r="B392" i="4" a="1"/>
  <c r="B392" i="4" s="1"/>
  <c r="A393" i="4" a="1"/>
  <c r="A393" i="4" s="1"/>
  <c r="B393" i="4" a="1"/>
  <c r="B393" i="4" s="1"/>
  <c r="A394" i="4" a="1"/>
  <c r="A394" i="4" s="1"/>
  <c r="B394" i="4" a="1"/>
  <c r="B394" i="4" s="1"/>
  <c r="A395" i="4" a="1"/>
  <c r="A395" i="4" s="1"/>
  <c r="B395" i="4" a="1"/>
  <c r="B395" i="4" s="1"/>
  <c r="A396" i="4" a="1"/>
  <c r="A396" i="4" s="1"/>
  <c r="B396" i="4" a="1"/>
  <c r="B396" i="4" s="1"/>
  <c r="A397" i="4" a="1"/>
  <c r="A397" i="4" s="1"/>
  <c r="B397" i="4" a="1"/>
  <c r="B397" i="4" s="1"/>
  <c r="A398" i="4" a="1"/>
  <c r="A398" i="4" s="1"/>
  <c r="B398" i="4" a="1"/>
  <c r="B398" i="4" s="1"/>
  <c r="A399" i="4" a="1"/>
  <c r="A399" i="4" s="1"/>
  <c r="B399" i="4" a="1"/>
  <c r="B399" i="4" s="1"/>
  <c r="A400" i="4" a="1"/>
  <c r="A400" i="4" s="1"/>
  <c r="B400" i="4" a="1"/>
  <c r="B400" i="4" s="1"/>
  <c r="A401" i="4" a="1"/>
  <c r="A401" i="4" s="1"/>
  <c r="B401" i="4" a="1"/>
  <c r="B401" i="4" s="1"/>
  <c r="A402" i="4" a="1"/>
  <c r="A402" i="4" s="1"/>
  <c r="B402" i="4" a="1"/>
  <c r="B402" i="4" s="1"/>
  <c r="A403" i="4" a="1"/>
  <c r="A403" i="4" s="1"/>
  <c r="B403" i="4" a="1"/>
  <c r="B403" i="4" s="1"/>
  <c r="A404" i="4" a="1"/>
  <c r="A404" i="4" s="1"/>
  <c r="B404" i="4" a="1"/>
  <c r="B404" i="4" s="1"/>
  <c r="A405" i="4" a="1"/>
  <c r="A405" i="4" s="1"/>
  <c r="B405" i="4" a="1"/>
  <c r="B405" i="4" s="1"/>
  <c r="A406" i="4" a="1"/>
  <c r="A406" i="4" s="1"/>
  <c r="B406" i="4" a="1"/>
  <c r="B406" i="4" s="1"/>
  <c r="A407" i="4" a="1"/>
  <c r="A407" i="4" s="1"/>
  <c r="B407" i="4" a="1"/>
  <c r="B407" i="4" s="1"/>
  <c r="A408" i="4" a="1"/>
  <c r="A408" i="4" s="1"/>
  <c r="B408" i="4" a="1"/>
  <c r="B408" i="4" s="1"/>
  <c r="A409" i="4" a="1"/>
  <c r="A409" i="4" s="1"/>
  <c r="B409" i="4" a="1"/>
  <c r="B409" i="4" s="1"/>
  <c r="A410" i="4" a="1"/>
  <c r="A410" i="4" s="1"/>
  <c r="B410" i="4" a="1"/>
  <c r="B410" i="4" s="1"/>
  <c r="A411" i="4" a="1"/>
  <c r="A411" i="4" s="1"/>
  <c r="B411" i="4" a="1"/>
  <c r="B411" i="4" s="1"/>
  <c r="A412" i="4" a="1"/>
  <c r="A412" i="4" s="1"/>
  <c r="B412" i="4" a="1"/>
  <c r="B412" i="4" s="1"/>
  <c r="A413" i="4" a="1"/>
  <c r="A413" i="4" s="1"/>
  <c r="B413" i="4" a="1"/>
  <c r="B413" i="4" s="1"/>
  <c r="A414" i="4" a="1"/>
  <c r="A414" i="4" s="1"/>
  <c r="B414" i="4" a="1"/>
  <c r="B414" i="4" s="1"/>
  <c r="A415" i="4" a="1"/>
  <c r="A415" i="4" s="1"/>
  <c r="B415" i="4" a="1"/>
  <c r="B415" i="4" s="1"/>
  <c r="A416" i="4" a="1"/>
  <c r="A416" i="4" s="1"/>
  <c r="B416" i="4" a="1"/>
  <c r="B416" i="4" s="1"/>
  <c r="A417" i="4" a="1"/>
  <c r="A417" i="4" s="1"/>
  <c r="B417" i="4" a="1"/>
  <c r="B417" i="4" s="1"/>
  <c r="A418" i="4" a="1"/>
  <c r="A418" i="4" s="1"/>
  <c r="B418" i="4" a="1"/>
  <c r="B418" i="4" s="1"/>
  <c r="A419" i="4" a="1"/>
  <c r="A419" i="4" s="1"/>
  <c r="B419" i="4" a="1"/>
  <c r="B419" i="4" s="1"/>
  <c r="A420" i="4" a="1"/>
  <c r="A420" i="4" s="1"/>
  <c r="B420" i="4" a="1"/>
  <c r="B420" i="4" s="1"/>
  <c r="A421" i="4" a="1"/>
  <c r="A421" i="4" s="1"/>
  <c r="B421" i="4" a="1"/>
  <c r="B421" i="4" s="1"/>
  <c r="A422" i="4" a="1"/>
  <c r="A422" i="4" s="1"/>
  <c r="B422" i="4" a="1"/>
  <c r="B422" i="4" s="1"/>
  <c r="A423" i="4" a="1"/>
  <c r="A423" i="4" s="1"/>
  <c r="B423" i="4" a="1"/>
  <c r="B423" i="4" s="1"/>
  <c r="A424" i="4" a="1"/>
  <c r="A424" i="4" s="1"/>
  <c r="B424" i="4" a="1"/>
  <c r="B424" i="4" s="1"/>
  <c r="A425" i="4" a="1"/>
  <c r="A425" i="4" s="1"/>
  <c r="B425" i="4" a="1"/>
  <c r="B425" i="4" s="1"/>
  <c r="A426" i="4" a="1"/>
  <c r="A426" i="4" s="1"/>
  <c r="B426" i="4" a="1"/>
  <c r="B426" i="4" s="1"/>
  <c r="A427" i="4" a="1"/>
  <c r="A427" i="4" s="1"/>
  <c r="B427" i="4" a="1"/>
  <c r="B427" i="4" s="1"/>
  <c r="A428" i="4" a="1"/>
  <c r="A428" i="4" s="1"/>
  <c r="B428" i="4" a="1"/>
  <c r="B428" i="4" s="1"/>
  <c r="A429" i="4" a="1"/>
  <c r="A429" i="4" s="1"/>
  <c r="B429" i="4" a="1"/>
  <c r="B429" i="4" s="1"/>
  <c r="A430" i="4" a="1"/>
  <c r="A430" i="4" s="1"/>
  <c r="B430" i="4" a="1"/>
  <c r="B430" i="4" s="1"/>
  <c r="B2" i="4" a="1"/>
  <c r="B2" i="4" s="1"/>
  <c r="A2" i="4" a="1"/>
  <c r="A2" i="4" s="1"/>
  <c r="F3" i="8"/>
  <c r="F4" i="8"/>
  <c r="F5" i="8"/>
  <c r="F6" i="8"/>
  <c r="F7" i="8"/>
  <c r="F8" i="8"/>
  <c r="F9" i="8"/>
  <c r="F10" i="8"/>
  <c r="F11" i="8"/>
  <c r="F12" i="8"/>
  <c r="F286" i="8"/>
  <c r="F14" i="8"/>
  <c r="F15" i="8"/>
  <c r="F272" i="8"/>
  <c r="F301" i="8"/>
  <c r="F287" i="8"/>
  <c r="F274" i="8"/>
  <c r="F291" i="8"/>
  <c r="F275" i="8"/>
  <c r="F277" i="8"/>
  <c r="F279" i="8"/>
  <c r="F298" i="8"/>
  <c r="F264" i="8"/>
  <c r="F280" i="8"/>
  <c r="F283" i="8"/>
  <c r="F281" i="8"/>
  <c r="F265" i="8"/>
  <c r="F30" i="8"/>
  <c r="F284" i="8"/>
  <c r="F256" i="8"/>
  <c r="F266" i="8"/>
  <c r="F270" i="8"/>
  <c r="F257" i="8"/>
  <c r="F248" i="8"/>
  <c r="F271" i="8"/>
  <c r="F258" i="8"/>
  <c r="F259" i="8"/>
  <c r="F260" i="8"/>
  <c r="F261" i="8"/>
  <c r="F267" i="8"/>
  <c r="F268" i="8"/>
  <c r="F269" i="8"/>
  <c r="F282" i="8"/>
  <c r="F285" i="8"/>
  <c r="F250" i="8"/>
  <c r="F249" i="8"/>
  <c r="F240" i="8"/>
  <c r="F241" i="8"/>
  <c r="F232" i="8"/>
  <c r="F242" i="8"/>
  <c r="F243" i="8"/>
  <c r="F255" i="8"/>
  <c r="F244" i="8"/>
  <c r="F233" i="8"/>
  <c r="F245" i="8"/>
  <c r="F246" i="8"/>
  <c r="F235" i="8"/>
  <c r="F262" i="8"/>
  <c r="F254" i="8"/>
  <c r="F251" i="8"/>
  <c r="F263" i="8"/>
  <c r="F224" i="8"/>
  <c r="F217" i="8"/>
  <c r="F234" i="8"/>
  <c r="F225" i="8"/>
  <c r="F253" i="8"/>
  <c r="F226" i="8"/>
  <c r="F227" i="8"/>
  <c r="F228" i="8"/>
  <c r="F218" i="8"/>
  <c r="F219" i="8"/>
  <c r="F229" i="8"/>
  <c r="F230" i="8"/>
  <c r="F238" i="8"/>
  <c r="F247" i="8"/>
  <c r="F237" i="8"/>
  <c r="F252" i="8"/>
  <c r="F210" i="8"/>
  <c r="F220" i="8"/>
  <c r="F211" i="8"/>
  <c r="F196" i="8"/>
  <c r="F212" i="8"/>
  <c r="F239" i="8"/>
  <c r="F236" i="8"/>
  <c r="F197" i="8"/>
  <c r="F213" i="8"/>
  <c r="F221" i="8"/>
  <c r="F214" i="8"/>
  <c r="F223" i="8"/>
  <c r="F231" i="8"/>
  <c r="F198" i="8"/>
  <c r="F181" i="8"/>
  <c r="F208" i="8"/>
  <c r="F203" i="8"/>
  <c r="F182" i="8"/>
  <c r="F204" i="8"/>
  <c r="F207" i="8"/>
  <c r="F199" i="8"/>
  <c r="F205" i="8"/>
  <c r="F222" i="8"/>
  <c r="F183" i="8"/>
  <c r="F206" i="8"/>
  <c r="F200" i="8"/>
  <c r="F215" i="8"/>
  <c r="F216" i="8"/>
  <c r="F184" i="8"/>
  <c r="F185" i="8"/>
  <c r="F209" i="8"/>
  <c r="F191" i="8"/>
  <c r="F186" i="8"/>
  <c r="F188" i="8"/>
  <c r="F178" i="8"/>
  <c r="F179" i="8"/>
  <c r="F166" i="8"/>
  <c r="F194" i="8"/>
  <c r="F201" i="8"/>
  <c r="F167" i="8"/>
  <c r="F202" i="8"/>
  <c r="F189" i="8"/>
  <c r="F190" i="8"/>
  <c r="F174" i="8"/>
  <c r="F168" i="8"/>
  <c r="F169" i="8"/>
  <c r="F170" i="8"/>
  <c r="F171" i="8"/>
  <c r="F193" i="8"/>
  <c r="F160" i="8"/>
  <c r="F175" i="8"/>
  <c r="F187" i="8"/>
  <c r="F152" i="8"/>
  <c r="F192" i="8"/>
  <c r="F153" i="8"/>
  <c r="F177" i="8"/>
  <c r="F195" i="8"/>
  <c r="F176" i="8"/>
  <c r="F172" i="8"/>
  <c r="F161" i="8"/>
  <c r="F145" i="8"/>
  <c r="F154" i="8"/>
  <c r="F146" i="8"/>
  <c r="F163" i="8"/>
  <c r="F155" i="8"/>
  <c r="F147" i="8"/>
  <c r="F162" i="8"/>
  <c r="F173" i="8"/>
  <c r="F159" i="8"/>
  <c r="F156" i="8"/>
  <c r="F138" i="8"/>
  <c r="F180" i="8"/>
  <c r="F131" i="8"/>
  <c r="F148" i="8"/>
  <c r="F139" i="8"/>
  <c r="F157" i="8"/>
  <c r="F132" i="8"/>
  <c r="F164" i="8"/>
  <c r="F140" i="8"/>
  <c r="F141" i="8"/>
  <c r="F142" i="8"/>
  <c r="F123" i="8"/>
  <c r="F158" i="8"/>
  <c r="F165" i="8"/>
  <c r="F124" i="8"/>
  <c r="F143" i="8"/>
  <c r="F144" i="8"/>
  <c r="F125" i="8"/>
  <c r="F136" i="8"/>
  <c r="F135" i="8"/>
  <c r="F126" i="8"/>
  <c r="F133" i="8"/>
  <c r="F134" i="8"/>
  <c r="F127" i="8"/>
  <c r="F128" i="8"/>
  <c r="F119" i="8"/>
  <c r="F151" i="8"/>
  <c r="F129" i="8"/>
  <c r="F117" i="8"/>
  <c r="F149" i="8"/>
  <c r="F150" i="8"/>
  <c r="F110" i="8"/>
  <c r="F105" i="8"/>
  <c r="F106" i="8"/>
  <c r="F111" i="8"/>
  <c r="F120" i="8"/>
  <c r="F130" i="8"/>
  <c r="F96" i="8"/>
  <c r="F112" i="8"/>
  <c r="F118" i="8"/>
  <c r="F97" i="8"/>
  <c r="F113" i="8"/>
  <c r="F114" i="8"/>
  <c r="F137" i="8"/>
  <c r="F98" i="8"/>
  <c r="F80" i="8"/>
  <c r="F99" i="8"/>
  <c r="F100" i="8"/>
  <c r="F89" i="8"/>
  <c r="F115" i="8"/>
  <c r="F101" i="8"/>
  <c r="F103" i="8"/>
  <c r="F81" i="8"/>
  <c r="F116" i="8"/>
  <c r="F90" i="8"/>
  <c r="F82" i="8"/>
  <c r="F121" i="8"/>
  <c r="F122" i="8"/>
  <c r="F83" i="8"/>
  <c r="F102" i="8"/>
  <c r="F84" i="8"/>
  <c r="F104" i="8"/>
  <c r="F93" i="8"/>
  <c r="F85" i="8"/>
  <c r="F88" i="8"/>
  <c r="F72" i="8"/>
  <c r="F73" i="8"/>
  <c r="F109" i="8"/>
  <c r="F108" i="8"/>
  <c r="F91" i="8"/>
  <c r="F75" i="8"/>
  <c r="F107" i="8"/>
  <c r="F77" i="8"/>
  <c r="F92" i="8"/>
  <c r="F64" i="8"/>
  <c r="F58" i="8"/>
  <c r="F95" i="8"/>
  <c r="F79" i="8"/>
  <c r="F65" i="8"/>
  <c r="F66" i="8"/>
  <c r="F74" i="8"/>
  <c r="F59" i="8"/>
  <c r="F67" i="8"/>
  <c r="F94" i="8"/>
  <c r="F76" i="8"/>
  <c r="F68" i="8"/>
  <c r="F56" i="8"/>
  <c r="F86" i="8"/>
  <c r="F87" i="8"/>
  <c r="F69" i="8"/>
  <c r="F48" i="8"/>
  <c r="F40" i="8"/>
  <c r="F78" i="8"/>
  <c r="F49" i="8"/>
  <c r="F50" i="8"/>
  <c r="F62" i="8"/>
  <c r="F51" i="8"/>
  <c r="F52" i="8"/>
  <c r="F41" i="8"/>
  <c r="F53" i="8"/>
  <c r="F57" i="8"/>
  <c r="F70" i="8"/>
  <c r="F42" i="8"/>
  <c r="F60" i="8"/>
  <c r="F54" i="8"/>
  <c r="F71" i="8"/>
  <c r="F32" i="8"/>
  <c r="F45" i="8"/>
  <c r="F33" i="8"/>
  <c r="F25" i="8"/>
  <c r="F43" i="8"/>
  <c r="F34" i="8"/>
  <c r="F35" i="8"/>
  <c r="F36" i="8"/>
  <c r="F37" i="8"/>
  <c r="F38" i="8"/>
  <c r="F44" i="8"/>
  <c r="F23" i="8"/>
  <c r="F61" i="8"/>
  <c r="F63" i="8"/>
  <c r="F24" i="8"/>
  <c r="F55" i="8"/>
  <c r="F13" i="8"/>
  <c r="F273" i="8"/>
  <c r="F39" i="8"/>
  <c r="F16" i="8"/>
  <c r="F276" i="8"/>
  <c r="F31" i="8"/>
  <c r="F278" i="8"/>
  <c r="F17" i="8"/>
  <c r="F18" i="8"/>
  <c r="F19" i="8"/>
  <c r="F47" i="8"/>
  <c r="F26" i="8"/>
  <c r="F20" i="8"/>
  <c r="F27" i="8"/>
  <c r="F46" i="8"/>
  <c r="F21" i="8"/>
  <c r="F288" i="8"/>
  <c r="F289" i="8"/>
  <c r="F290" i="8"/>
  <c r="F29" i="8"/>
  <c r="F292" i="8"/>
  <c r="F293" i="8"/>
  <c r="F294" i="8"/>
  <c r="F295" i="8"/>
  <c r="F296" i="8"/>
  <c r="F297" i="8"/>
  <c r="F28" i="8"/>
  <c r="F299" i="8"/>
  <c r="F300" i="8"/>
  <c r="F22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2" i="8"/>
  <c r="C2" i="8"/>
  <c r="C3" i="8"/>
  <c r="C4" i="8"/>
  <c r="C5" i="8"/>
  <c r="C6" i="8"/>
  <c r="C7" i="8"/>
  <c r="C8" i="8"/>
  <c r="C9" i="8"/>
  <c r="C10" i="8"/>
  <c r="C11" i="8"/>
  <c r="C12" i="8"/>
  <c r="C286" i="8"/>
  <c r="C14" i="8"/>
  <c r="C15" i="8"/>
  <c r="C272" i="8"/>
  <c r="C301" i="8"/>
  <c r="C287" i="8"/>
  <c r="C274" i="8"/>
  <c r="C291" i="8"/>
  <c r="C275" i="8"/>
  <c r="C277" i="8"/>
  <c r="C279" i="8"/>
  <c r="C298" i="8"/>
  <c r="C264" i="8"/>
  <c r="C280" i="8"/>
  <c r="C283" i="8"/>
  <c r="C281" i="8"/>
  <c r="C265" i="8"/>
  <c r="C30" i="8"/>
  <c r="C284" i="8"/>
  <c r="C256" i="8"/>
  <c r="C266" i="8"/>
  <c r="C270" i="8"/>
  <c r="C257" i="8"/>
  <c r="C248" i="8"/>
  <c r="C271" i="8"/>
  <c r="C258" i="8"/>
  <c r="C259" i="8"/>
  <c r="C260" i="8"/>
  <c r="C261" i="8"/>
  <c r="C267" i="8"/>
  <c r="C268" i="8"/>
  <c r="C269" i="8"/>
  <c r="C282" i="8"/>
  <c r="C285" i="8"/>
  <c r="C250" i="8"/>
  <c r="C249" i="8"/>
  <c r="C240" i="8"/>
  <c r="C241" i="8"/>
  <c r="C232" i="8"/>
  <c r="C242" i="8"/>
  <c r="C243" i="8"/>
  <c r="C255" i="8"/>
  <c r="C244" i="8"/>
  <c r="C233" i="8"/>
  <c r="C245" i="8"/>
  <c r="C246" i="8"/>
  <c r="C235" i="8"/>
  <c r="C262" i="8"/>
  <c r="C254" i="8"/>
  <c r="C251" i="8"/>
  <c r="C263" i="8"/>
  <c r="C224" i="8"/>
  <c r="C217" i="8"/>
  <c r="C234" i="8"/>
  <c r="C225" i="8"/>
  <c r="C253" i="8"/>
  <c r="C226" i="8"/>
  <c r="C227" i="8"/>
  <c r="C228" i="8"/>
  <c r="C218" i="8"/>
  <c r="C219" i="8"/>
  <c r="C229" i="8"/>
  <c r="C230" i="8"/>
  <c r="C238" i="8"/>
  <c r="C247" i="8"/>
  <c r="C237" i="8"/>
  <c r="C252" i="8"/>
  <c r="C210" i="8"/>
  <c r="C220" i="8"/>
  <c r="C211" i="8"/>
  <c r="C196" i="8"/>
  <c r="C212" i="8"/>
  <c r="C239" i="8"/>
  <c r="C236" i="8"/>
  <c r="C197" i="8"/>
  <c r="C213" i="8"/>
  <c r="C221" i="8"/>
  <c r="C214" i="8"/>
  <c r="C223" i="8"/>
  <c r="C231" i="8"/>
  <c r="C198" i="8"/>
  <c r="C181" i="8"/>
  <c r="C208" i="8"/>
  <c r="C203" i="8"/>
  <c r="C182" i="8"/>
  <c r="C204" i="8"/>
  <c r="C207" i="8"/>
  <c r="C199" i="8"/>
  <c r="C205" i="8"/>
  <c r="C222" i="8"/>
  <c r="C183" i="8"/>
  <c r="C206" i="8"/>
  <c r="C200" i="8"/>
  <c r="C215" i="8"/>
  <c r="C216" i="8"/>
  <c r="C184" i="8"/>
  <c r="C185" i="8"/>
  <c r="C209" i="8"/>
  <c r="C191" i="8"/>
  <c r="C186" i="8"/>
  <c r="C188" i="8"/>
  <c r="C178" i="8"/>
  <c r="C179" i="8"/>
  <c r="C166" i="8"/>
  <c r="C194" i="8"/>
  <c r="C201" i="8"/>
  <c r="C167" i="8"/>
  <c r="C202" i="8"/>
  <c r="C189" i="8"/>
  <c r="C190" i="8"/>
  <c r="C174" i="8"/>
  <c r="C168" i="8"/>
  <c r="C169" i="8"/>
  <c r="C170" i="8"/>
  <c r="C171" i="8"/>
  <c r="C193" i="8"/>
  <c r="C160" i="8"/>
  <c r="C175" i="8"/>
  <c r="C187" i="8"/>
  <c r="C152" i="8"/>
  <c r="C192" i="8"/>
  <c r="C153" i="8"/>
  <c r="C177" i="8"/>
  <c r="C195" i="8"/>
  <c r="C176" i="8"/>
  <c r="C172" i="8"/>
  <c r="C161" i="8"/>
  <c r="C145" i="8"/>
  <c r="C154" i="8"/>
  <c r="C146" i="8"/>
  <c r="C163" i="8"/>
  <c r="C155" i="8"/>
  <c r="C147" i="8"/>
  <c r="C162" i="8"/>
  <c r="C173" i="8"/>
  <c r="C159" i="8"/>
  <c r="C156" i="8"/>
  <c r="C138" i="8"/>
  <c r="C180" i="8"/>
  <c r="C131" i="8"/>
  <c r="C148" i="8"/>
  <c r="C139" i="8"/>
  <c r="C157" i="8"/>
  <c r="C132" i="8"/>
  <c r="C164" i="8"/>
  <c r="C140" i="8"/>
  <c r="C141" i="8"/>
  <c r="C142" i="8"/>
  <c r="C123" i="8"/>
  <c r="C158" i="8"/>
  <c r="C165" i="8"/>
  <c r="C124" i="8"/>
  <c r="C143" i="8"/>
  <c r="C144" i="8"/>
  <c r="C125" i="8"/>
  <c r="C136" i="8"/>
  <c r="C135" i="8"/>
  <c r="C126" i="8"/>
  <c r="C133" i="8"/>
  <c r="C134" i="8"/>
  <c r="C127" i="8"/>
  <c r="C128" i="8"/>
  <c r="C119" i="8"/>
  <c r="C151" i="8"/>
  <c r="C129" i="8"/>
  <c r="C117" i="8"/>
  <c r="C149" i="8"/>
  <c r="C150" i="8"/>
  <c r="C110" i="8"/>
  <c r="C105" i="8"/>
  <c r="C106" i="8"/>
  <c r="C111" i="8"/>
  <c r="C120" i="8"/>
  <c r="C130" i="8"/>
  <c r="C96" i="8"/>
  <c r="C112" i="8"/>
  <c r="C118" i="8"/>
  <c r="C97" i="8"/>
  <c r="C113" i="8"/>
  <c r="C114" i="8"/>
  <c r="C137" i="8"/>
  <c r="C98" i="8"/>
  <c r="C80" i="8"/>
  <c r="C99" i="8"/>
  <c r="C100" i="8"/>
  <c r="C89" i="8"/>
  <c r="C115" i="8"/>
  <c r="C101" i="8"/>
  <c r="C103" i="8"/>
  <c r="C81" i="8"/>
  <c r="C116" i="8"/>
  <c r="C90" i="8"/>
  <c r="C82" i="8"/>
  <c r="C121" i="8"/>
  <c r="C122" i="8"/>
  <c r="C83" i="8"/>
  <c r="C102" i="8"/>
  <c r="C84" i="8"/>
  <c r="C104" i="8"/>
  <c r="C93" i="8"/>
  <c r="C85" i="8"/>
  <c r="C88" i="8"/>
  <c r="C72" i="8"/>
  <c r="C73" i="8"/>
  <c r="C109" i="8"/>
  <c r="C108" i="8"/>
  <c r="C91" i="8"/>
  <c r="C75" i="8"/>
  <c r="C107" i="8"/>
  <c r="C77" i="8"/>
  <c r="C92" i="8"/>
  <c r="C64" i="8"/>
  <c r="C58" i="8"/>
  <c r="C95" i="8"/>
  <c r="C79" i="8"/>
  <c r="C65" i="8"/>
  <c r="C66" i="8"/>
  <c r="C74" i="8"/>
  <c r="C59" i="8"/>
  <c r="C67" i="8"/>
  <c r="C94" i="8"/>
  <c r="C76" i="8"/>
  <c r="C68" i="8"/>
  <c r="C56" i="8"/>
  <c r="C86" i="8"/>
  <c r="C87" i="8"/>
  <c r="C69" i="8"/>
  <c r="C48" i="8"/>
  <c r="C40" i="8"/>
  <c r="C78" i="8"/>
  <c r="C49" i="8"/>
  <c r="C50" i="8"/>
  <c r="C62" i="8"/>
  <c r="C51" i="8"/>
  <c r="C52" i="8"/>
  <c r="C41" i="8"/>
  <c r="C53" i="8"/>
  <c r="C57" i="8"/>
  <c r="C70" i="8"/>
  <c r="C42" i="8"/>
  <c r="C60" i="8"/>
  <c r="C54" i="8"/>
  <c r="C71" i="8"/>
  <c r="C32" i="8"/>
  <c r="C45" i="8"/>
  <c r="C33" i="8"/>
  <c r="C25" i="8"/>
  <c r="C43" i="8"/>
  <c r="C34" i="8"/>
  <c r="C35" i="8"/>
  <c r="C36" i="8"/>
  <c r="C37" i="8"/>
  <c r="C38" i="8"/>
  <c r="C44" i="8"/>
  <c r="C23" i="8"/>
  <c r="C61" i="8"/>
  <c r="C63" i="8"/>
  <c r="C24" i="8"/>
  <c r="C55" i="8"/>
  <c r="C13" i="8"/>
  <c r="C273" i="8"/>
  <c r="C39" i="8"/>
  <c r="C16" i="8"/>
  <c r="C276" i="8"/>
  <c r="C31" i="8"/>
  <c r="C278" i="8"/>
  <c r="C17" i="8"/>
  <c r="C18" i="8"/>
  <c r="C19" i="8"/>
  <c r="C47" i="8"/>
  <c r="C26" i="8"/>
  <c r="C20" i="8"/>
  <c r="C27" i="8"/>
  <c r="C46" i="8"/>
  <c r="C21" i="8"/>
  <c r="C288" i="8"/>
  <c r="C289" i="8"/>
  <c r="C290" i="8"/>
  <c r="C29" i="8"/>
  <c r="C292" i="8"/>
  <c r="C293" i="8"/>
  <c r="C294" i="8"/>
  <c r="C295" i="8"/>
  <c r="C296" i="8"/>
  <c r="C297" i="8"/>
  <c r="C28" i="8"/>
  <c r="C299" i="8"/>
  <c r="C300" i="8"/>
  <c r="C22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1" i="8"/>
  <c r="B2" i="8"/>
  <c r="B3" i="8"/>
  <c r="B4" i="8"/>
  <c r="B5" i="8"/>
  <c r="B6" i="8"/>
  <c r="B7" i="8"/>
  <c r="B8" i="8"/>
  <c r="B9" i="8"/>
  <c r="B10" i="8"/>
  <c r="B11" i="8"/>
  <c r="B12" i="8"/>
  <c r="B286" i="8"/>
  <c r="B14" i="8"/>
  <c r="B15" i="8"/>
  <c r="B272" i="8"/>
  <c r="B301" i="8"/>
  <c r="B287" i="8"/>
  <c r="B274" i="8"/>
  <c r="B291" i="8"/>
  <c r="B275" i="8"/>
  <c r="B277" i="8"/>
  <c r="B279" i="8"/>
  <c r="B298" i="8"/>
  <c r="B264" i="8"/>
  <c r="B280" i="8"/>
  <c r="B283" i="8"/>
  <c r="B281" i="8"/>
  <c r="B265" i="8"/>
  <c r="B30" i="8"/>
  <c r="B284" i="8"/>
  <c r="B256" i="8"/>
  <c r="B266" i="8"/>
  <c r="B270" i="8"/>
  <c r="B257" i="8"/>
  <c r="B248" i="8"/>
  <c r="B271" i="8"/>
  <c r="B258" i="8"/>
  <c r="B259" i="8"/>
  <c r="B260" i="8"/>
  <c r="B261" i="8"/>
  <c r="B267" i="8"/>
  <c r="B268" i="8"/>
  <c r="B269" i="8"/>
  <c r="B282" i="8"/>
  <c r="B285" i="8"/>
  <c r="B250" i="8"/>
  <c r="B249" i="8"/>
  <c r="B240" i="8"/>
  <c r="B241" i="8"/>
  <c r="B232" i="8"/>
  <c r="B242" i="8"/>
  <c r="B243" i="8"/>
  <c r="B255" i="8"/>
  <c r="B244" i="8"/>
  <c r="B233" i="8"/>
  <c r="B245" i="8"/>
  <c r="B246" i="8"/>
  <c r="B235" i="8"/>
  <c r="B262" i="8"/>
  <c r="B254" i="8"/>
  <c r="B251" i="8"/>
  <c r="B263" i="8"/>
  <c r="B224" i="8"/>
  <c r="B217" i="8"/>
  <c r="B234" i="8"/>
  <c r="B225" i="8"/>
  <c r="B253" i="8"/>
  <c r="B226" i="8"/>
  <c r="B227" i="8"/>
  <c r="B228" i="8"/>
  <c r="B218" i="8"/>
  <c r="B219" i="8"/>
  <c r="B229" i="8"/>
  <c r="B230" i="8"/>
  <c r="B238" i="8"/>
  <c r="B247" i="8"/>
  <c r="B237" i="8"/>
  <c r="B252" i="8"/>
  <c r="B210" i="8"/>
  <c r="B220" i="8"/>
  <c r="B211" i="8"/>
  <c r="B196" i="8"/>
  <c r="B212" i="8"/>
  <c r="B239" i="8"/>
  <c r="B236" i="8"/>
  <c r="B197" i="8"/>
  <c r="B213" i="8"/>
  <c r="B221" i="8"/>
  <c r="B214" i="8"/>
  <c r="B223" i="8"/>
  <c r="B231" i="8"/>
  <c r="B198" i="8"/>
  <c r="B181" i="8"/>
  <c r="B208" i="8"/>
  <c r="B203" i="8"/>
  <c r="B182" i="8"/>
  <c r="B204" i="8"/>
  <c r="B207" i="8"/>
  <c r="B199" i="8"/>
  <c r="B205" i="8"/>
  <c r="B222" i="8"/>
  <c r="B183" i="8"/>
  <c r="B206" i="8"/>
  <c r="B200" i="8"/>
  <c r="B215" i="8"/>
  <c r="B216" i="8"/>
  <c r="B184" i="8"/>
  <c r="B185" i="8"/>
  <c r="B209" i="8"/>
  <c r="B191" i="8"/>
  <c r="B186" i="8"/>
  <c r="B188" i="8"/>
  <c r="B178" i="8"/>
  <c r="B179" i="8"/>
  <c r="B166" i="8"/>
  <c r="B194" i="8"/>
  <c r="B201" i="8"/>
  <c r="B167" i="8"/>
  <c r="B202" i="8"/>
  <c r="B189" i="8"/>
  <c r="B190" i="8"/>
  <c r="B174" i="8"/>
  <c r="B168" i="8"/>
  <c r="B169" i="8"/>
  <c r="B170" i="8"/>
  <c r="B171" i="8"/>
  <c r="B193" i="8"/>
  <c r="B160" i="8"/>
  <c r="B175" i="8"/>
  <c r="B187" i="8"/>
  <c r="B152" i="8"/>
  <c r="B192" i="8"/>
  <c r="B153" i="8"/>
  <c r="B177" i="8"/>
  <c r="B195" i="8"/>
  <c r="B176" i="8"/>
  <c r="B172" i="8"/>
  <c r="B161" i="8"/>
  <c r="B145" i="8"/>
  <c r="B154" i="8"/>
  <c r="B146" i="8"/>
  <c r="B163" i="8"/>
  <c r="B155" i="8"/>
  <c r="B147" i="8"/>
  <c r="B162" i="8"/>
  <c r="B173" i="8"/>
  <c r="B159" i="8"/>
  <c r="B156" i="8"/>
  <c r="B138" i="8"/>
  <c r="B180" i="8"/>
  <c r="B131" i="8"/>
  <c r="B148" i="8"/>
  <c r="B139" i="8"/>
  <c r="B157" i="8"/>
  <c r="B132" i="8"/>
  <c r="B164" i="8"/>
  <c r="B140" i="8"/>
  <c r="B141" i="8"/>
  <c r="B142" i="8"/>
  <c r="B123" i="8"/>
  <c r="B158" i="8"/>
  <c r="B165" i="8"/>
  <c r="B124" i="8"/>
  <c r="B143" i="8"/>
  <c r="B144" i="8"/>
  <c r="B125" i="8"/>
  <c r="B136" i="8"/>
  <c r="B135" i="8"/>
  <c r="B126" i="8"/>
  <c r="B133" i="8"/>
  <c r="B134" i="8"/>
  <c r="B127" i="8"/>
  <c r="B128" i="8"/>
  <c r="B119" i="8"/>
  <c r="B151" i="8"/>
  <c r="B129" i="8"/>
  <c r="B117" i="8"/>
  <c r="B149" i="8"/>
  <c r="B150" i="8"/>
  <c r="B110" i="8"/>
  <c r="B105" i="8"/>
  <c r="B106" i="8"/>
  <c r="B111" i="8"/>
  <c r="B120" i="8"/>
  <c r="B130" i="8"/>
  <c r="B96" i="8"/>
  <c r="B112" i="8"/>
  <c r="B118" i="8"/>
  <c r="B97" i="8"/>
  <c r="B113" i="8"/>
  <c r="B114" i="8"/>
  <c r="B137" i="8"/>
  <c r="B98" i="8"/>
  <c r="B80" i="8"/>
  <c r="B99" i="8"/>
  <c r="B100" i="8"/>
  <c r="B89" i="8"/>
  <c r="B115" i="8"/>
  <c r="B101" i="8"/>
  <c r="B103" i="8"/>
  <c r="B81" i="8"/>
  <c r="B116" i="8"/>
  <c r="B90" i="8"/>
  <c r="B82" i="8"/>
  <c r="B121" i="8"/>
  <c r="B122" i="8"/>
  <c r="B83" i="8"/>
  <c r="B102" i="8"/>
  <c r="B84" i="8"/>
  <c r="B104" i="8"/>
  <c r="B93" i="8"/>
  <c r="B85" i="8"/>
  <c r="B88" i="8"/>
  <c r="B72" i="8"/>
  <c r="B73" i="8"/>
  <c r="B109" i="8"/>
  <c r="B108" i="8"/>
  <c r="B91" i="8"/>
  <c r="B75" i="8"/>
  <c r="B107" i="8"/>
  <c r="B77" i="8"/>
  <c r="B92" i="8"/>
  <c r="B64" i="8"/>
  <c r="B58" i="8"/>
  <c r="B95" i="8"/>
  <c r="B79" i="8"/>
  <c r="B65" i="8"/>
  <c r="B66" i="8"/>
  <c r="B74" i="8"/>
  <c r="B59" i="8"/>
  <c r="B67" i="8"/>
  <c r="B94" i="8"/>
  <c r="B76" i="8"/>
  <c r="B68" i="8"/>
  <c r="B56" i="8"/>
  <c r="B86" i="8"/>
  <c r="B87" i="8"/>
  <c r="B69" i="8"/>
  <c r="B48" i="8"/>
  <c r="B40" i="8"/>
  <c r="B78" i="8"/>
  <c r="B49" i="8"/>
  <c r="B50" i="8"/>
  <c r="B62" i="8"/>
  <c r="B51" i="8"/>
  <c r="B52" i="8"/>
  <c r="B41" i="8"/>
  <c r="B53" i="8"/>
  <c r="B57" i="8"/>
  <c r="B70" i="8"/>
  <c r="B42" i="8"/>
  <c r="B60" i="8"/>
  <c r="B54" i="8"/>
  <c r="B71" i="8"/>
  <c r="B32" i="8"/>
  <c r="B45" i="8"/>
  <c r="B33" i="8"/>
  <c r="B25" i="8"/>
  <c r="B43" i="8"/>
  <c r="B34" i="8"/>
  <c r="B35" i="8"/>
  <c r="B36" i="8"/>
  <c r="B37" i="8"/>
  <c r="B38" i="8"/>
  <c r="B44" i="8"/>
  <c r="B23" i="8"/>
  <c r="B61" i="8"/>
  <c r="B63" i="8"/>
  <c r="B24" i="8"/>
  <c r="B55" i="8"/>
  <c r="B13" i="8"/>
  <c r="B273" i="8"/>
  <c r="B39" i="8"/>
  <c r="B16" i="8"/>
  <c r="B276" i="8"/>
  <c r="B31" i="8"/>
  <c r="B278" i="8"/>
  <c r="B17" i="8"/>
  <c r="B18" i="8"/>
  <c r="B19" i="8"/>
  <c r="B47" i="8"/>
  <c r="B26" i="8"/>
  <c r="B20" i="8"/>
  <c r="B27" i="8"/>
  <c r="B46" i="8"/>
  <c r="B21" i="8"/>
  <c r="B288" i="8"/>
  <c r="B289" i="8"/>
  <c r="B290" i="8"/>
  <c r="B29" i="8"/>
  <c r="B292" i="8"/>
  <c r="B293" i="8"/>
  <c r="B294" i="8"/>
  <c r="B295" i="8"/>
  <c r="B296" i="8"/>
  <c r="B297" i="8"/>
  <c r="B28" i="8"/>
  <c r="B299" i="8"/>
  <c r="B300" i="8"/>
  <c r="B22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1" i="8"/>
  <c r="D20" i="1"/>
  <c r="B20" i="1" s="1" a="1"/>
  <c r="B20" i="1" s="1"/>
  <c r="C35" i="1"/>
  <c r="A35" i="1" s="1" a="1"/>
  <c r="A35" i="1" s="1"/>
  <c r="D38" i="1"/>
  <c r="B38" i="1" s="1" a="1"/>
  <c r="B38" i="1" s="1"/>
  <c r="C51" i="1"/>
  <c r="A51" i="1" s="1" a="1"/>
  <c r="A51" i="1" s="1"/>
  <c r="D52" i="1"/>
  <c r="B52" i="1" s="1" a="1"/>
  <c r="B52" i="1" s="1"/>
  <c r="D70" i="1"/>
  <c r="B70" i="1" s="1" a="1"/>
  <c r="B70" i="1" s="1"/>
  <c r="D83" i="1"/>
  <c r="B83" i="1" s="1" a="1"/>
  <c r="B83" i="1" s="1"/>
  <c r="D84" i="1"/>
  <c r="B84" i="1" s="1" a="1"/>
  <c r="B84" i="1" s="1"/>
  <c r="D102" i="1"/>
  <c r="B102" i="1" s="1" a="1"/>
  <c r="B102" i="1" s="1"/>
  <c r="D115" i="1"/>
  <c r="B115" i="1" s="1" a="1"/>
  <c r="B115" i="1" s="1"/>
  <c r="D131" i="1"/>
  <c r="B131" i="1" s="1" a="1"/>
  <c r="B131" i="1" s="1"/>
  <c r="D132" i="1"/>
  <c r="B132" i="1" s="1" a="1"/>
  <c r="B132" i="1" s="1"/>
  <c r="D134" i="1"/>
  <c r="B134" i="1" s="1" a="1"/>
  <c r="B134" i="1" s="1"/>
  <c r="D146" i="1"/>
  <c r="B146" i="1" s="1" a="1"/>
  <c r="B146" i="1" s="1"/>
  <c r="D162" i="1"/>
  <c r="B162" i="1" s="1" a="1"/>
  <c r="B162" i="1" s="1"/>
  <c r="D164" i="1"/>
  <c r="B164" i="1" s="1" a="1"/>
  <c r="B164" i="1" s="1"/>
  <c r="D166" i="1"/>
  <c r="B166" i="1" s="1" a="1"/>
  <c r="B166" i="1" s="1"/>
  <c r="D179" i="1"/>
  <c r="B179" i="1" s="1" a="1"/>
  <c r="B179" i="1" s="1"/>
  <c r="D198" i="1"/>
  <c r="B198" i="1" s="1" a="1"/>
  <c r="B198" i="1" s="1"/>
  <c r="D210" i="1"/>
  <c r="B210" i="1" s="1" a="1"/>
  <c r="B210" i="1" s="1"/>
  <c r="D211" i="1"/>
  <c r="B211" i="1" s="1" a="1"/>
  <c r="B211" i="1" s="1"/>
  <c r="D212" i="1"/>
  <c r="B212" i="1" s="1" a="1"/>
  <c r="B212" i="1" s="1"/>
  <c r="D243" i="1"/>
  <c r="B243" i="1" s="1" a="1"/>
  <c r="B243" i="1" s="1"/>
  <c r="D246" i="1"/>
  <c r="B246" i="1" s="1" a="1"/>
  <c r="B246" i="1" s="1"/>
  <c r="D258" i="1"/>
  <c r="B258" i="1" s="1" a="1"/>
  <c r="B258" i="1" s="1"/>
  <c r="D259" i="1"/>
  <c r="B259" i="1" s="1" a="1"/>
  <c r="B259" i="1" s="1"/>
  <c r="D261" i="1"/>
  <c r="B261" i="1" s="1" a="1"/>
  <c r="B261" i="1" s="1"/>
  <c r="D274" i="1"/>
  <c r="B274" i="1" s="1" a="1"/>
  <c r="B274" i="1" s="1"/>
  <c r="D292" i="1"/>
  <c r="B292" i="1" s="1" a="1"/>
  <c r="B292" i="1" s="1"/>
  <c r="D307" i="1"/>
  <c r="B307" i="1" s="1" a="1"/>
  <c r="B307" i="1" s="1"/>
  <c r="D309" i="1"/>
  <c r="B309" i="1" s="1" a="1"/>
  <c r="B309" i="1" s="1"/>
  <c r="D338" i="1"/>
  <c r="C339" i="1"/>
  <c r="D340" i="1"/>
  <c r="D341" i="1"/>
  <c r="D356" i="1"/>
  <c r="D358" i="1"/>
  <c r="D366" i="1"/>
  <c r="D370" i="1"/>
  <c r="D371" i="1"/>
  <c r="D386" i="1"/>
  <c r="C387" i="1"/>
  <c r="C389" i="1"/>
  <c r="C390" i="1"/>
  <c r="D402" i="1"/>
  <c r="D404" i="1"/>
  <c r="D418" i="1"/>
  <c r="D419" i="1"/>
  <c r="D420" i="1"/>
  <c r="D422" i="1"/>
  <c r="A3" i="8"/>
  <c r="A4" i="8"/>
  <c r="A5" i="8"/>
  <c r="A6" i="8"/>
  <c r="A7" i="8"/>
  <c r="A8" i="8"/>
  <c r="A9" i="8"/>
  <c r="A10" i="8"/>
  <c r="A11" i="8"/>
  <c r="A12" i="8"/>
  <c r="A286" i="8"/>
  <c r="A14" i="8"/>
  <c r="A15" i="8"/>
  <c r="A272" i="8"/>
  <c r="A301" i="8"/>
  <c r="A287" i="8"/>
  <c r="A274" i="8"/>
  <c r="A291" i="8"/>
  <c r="A275" i="8"/>
  <c r="A277" i="8"/>
  <c r="A279" i="8"/>
  <c r="A298" i="8"/>
  <c r="A264" i="8"/>
  <c r="A280" i="8"/>
  <c r="A283" i="8"/>
  <c r="A281" i="8"/>
  <c r="A265" i="8"/>
  <c r="A30" i="8"/>
  <c r="A284" i="8"/>
  <c r="A256" i="8"/>
  <c r="A266" i="8"/>
  <c r="A270" i="8"/>
  <c r="A257" i="8"/>
  <c r="A248" i="8"/>
  <c r="A271" i="8"/>
  <c r="A258" i="8"/>
  <c r="A259" i="8"/>
  <c r="A260" i="8"/>
  <c r="A261" i="8"/>
  <c r="A267" i="8"/>
  <c r="A268" i="8"/>
  <c r="A269" i="8"/>
  <c r="A282" i="8"/>
  <c r="A285" i="8"/>
  <c r="A250" i="8"/>
  <c r="A249" i="8"/>
  <c r="A240" i="8"/>
  <c r="A241" i="8"/>
  <c r="A232" i="8"/>
  <c r="A242" i="8"/>
  <c r="A243" i="8"/>
  <c r="A255" i="8"/>
  <c r="A244" i="8"/>
  <c r="A233" i="8"/>
  <c r="A245" i="8"/>
  <c r="A246" i="8"/>
  <c r="A235" i="8"/>
  <c r="A262" i="8"/>
  <c r="A254" i="8"/>
  <c r="A251" i="8"/>
  <c r="A263" i="8"/>
  <c r="A224" i="8"/>
  <c r="A217" i="8"/>
  <c r="A234" i="8"/>
  <c r="A225" i="8"/>
  <c r="A253" i="8"/>
  <c r="A226" i="8"/>
  <c r="A227" i="8"/>
  <c r="A228" i="8"/>
  <c r="A218" i="8"/>
  <c r="A219" i="8"/>
  <c r="A229" i="8"/>
  <c r="A230" i="8"/>
  <c r="A238" i="8"/>
  <c r="A247" i="8"/>
  <c r="A237" i="8"/>
  <c r="A252" i="8"/>
  <c r="A210" i="8"/>
  <c r="A220" i="8"/>
  <c r="A211" i="8"/>
  <c r="A196" i="8"/>
  <c r="A212" i="8"/>
  <c r="A239" i="8"/>
  <c r="A236" i="8"/>
  <c r="A197" i="8"/>
  <c r="A213" i="8"/>
  <c r="A221" i="8"/>
  <c r="A214" i="8"/>
  <c r="A223" i="8"/>
  <c r="A231" i="8"/>
  <c r="A198" i="8"/>
  <c r="A181" i="8"/>
  <c r="A208" i="8"/>
  <c r="A203" i="8"/>
  <c r="A182" i="8"/>
  <c r="A204" i="8"/>
  <c r="A207" i="8"/>
  <c r="A199" i="8"/>
  <c r="A205" i="8"/>
  <c r="A222" i="8"/>
  <c r="A183" i="8"/>
  <c r="A206" i="8"/>
  <c r="A200" i="8"/>
  <c r="A215" i="8"/>
  <c r="A216" i="8"/>
  <c r="A184" i="8"/>
  <c r="A185" i="8"/>
  <c r="A209" i="8"/>
  <c r="A191" i="8"/>
  <c r="A186" i="8"/>
  <c r="A188" i="8"/>
  <c r="A178" i="8"/>
  <c r="A179" i="8"/>
  <c r="A166" i="8"/>
  <c r="A194" i="8"/>
  <c r="A201" i="8"/>
  <c r="A167" i="8"/>
  <c r="A202" i="8"/>
  <c r="A189" i="8"/>
  <c r="A190" i="8"/>
  <c r="A174" i="8"/>
  <c r="A168" i="8"/>
  <c r="A169" i="8"/>
  <c r="A170" i="8"/>
  <c r="A171" i="8"/>
  <c r="A193" i="8"/>
  <c r="A160" i="8"/>
  <c r="A175" i="8"/>
  <c r="A187" i="8"/>
  <c r="A152" i="8"/>
  <c r="A192" i="8"/>
  <c r="A153" i="8"/>
  <c r="A177" i="8"/>
  <c r="A195" i="8"/>
  <c r="A176" i="8"/>
  <c r="A172" i="8"/>
  <c r="A161" i="8"/>
  <c r="A145" i="8"/>
  <c r="A154" i="8"/>
  <c r="A146" i="8"/>
  <c r="A163" i="8"/>
  <c r="A155" i="8"/>
  <c r="A147" i="8"/>
  <c r="A162" i="8"/>
  <c r="A173" i="8"/>
  <c r="A159" i="8"/>
  <c r="A156" i="8"/>
  <c r="A138" i="8"/>
  <c r="A180" i="8"/>
  <c r="A131" i="8"/>
  <c r="A148" i="8"/>
  <c r="A139" i="8"/>
  <c r="A157" i="8"/>
  <c r="A132" i="8"/>
  <c r="A164" i="8"/>
  <c r="A140" i="8"/>
  <c r="A141" i="8"/>
  <c r="A142" i="8"/>
  <c r="A123" i="8"/>
  <c r="A158" i="8"/>
  <c r="A165" i="8"/>
  <c r="A124" i="8"/>
  <c r="A143" i="8"/>
  <c r="A144" i="8"/>
  <c r="A125" i="8"/>
  <c r="A136" i="8"/>
  <c r="A135" i="8"/>
  <c r="A126" i="8"/>
  <c r="A133" i="8"/>
  <c r="A134" i="8"/>
  <c r="A127" i="8"/>
  <c r="A128" i="8"/>
  <c r="A119" i="8"/>
  <c r="A151" i="8"/>
  <c r="A129" i="8"/>
  <c r="A117" i="8"/>
  <c r="A149" i="8"/>
  <c r="A150" i="8"/>
  <c r="A110" i="8"/>
  <c r="A105" i="8"/>
  <c r="A106" i="8"/>
  <c r="A111" i="8"/>
  <c r="A120" i="8"/>
  <c r="A130" i="8"/>
  <c r="A96" i="8"/>
  <c r="A112" i="8"/>
  <c r="A118" i="8"/>
  <c r="A97" i="8"/>
  <c r="A113" i="8"/>
  <c r="A114" i="8"/>
  <c r="A137" i="8"/>
  <c r="A98" i="8"/>
  <c r="A80" i="8"/>
  <c r="A99" i="8"/>
  <c r="A100" i="8"/>
  <c r="A89" i="8"/>
  <c r="A115" i="8"/>
  <c r="A101" i="8"/>
  <c r="A103" i="8"/>
  <c r="A81" i="8"/>
  <c r="A116" i="8"/>
  <c r="A90" i="8"/>
  <c r="A82" i="8"/>
  <c r="A121" i="8"/>
  <c r="A122" i="8"/>
  <c r="A83" i="8"/>
  <c r="A102" i="8"/>
  <c r="A84" i="8"/>
  <c r="A104" i="8"/>
  <c r="A93" i="8"/>
  <c r="A85" i="8"/>
  <c r="A88" i="8"/>
  <c r="A72" i="8"/>
  <c r="A73" i="8"/>
  <c r="A109" i="8"/>
  <c r="A108" i="8"/>
  <c r="A91" i="8"/>
  <c r="A75" i="8"/>
  <c r="A107" i="8"/>
  <c r="A77" i="8"/>
  <c r="A92" i="8"/>
  <c r="A64" i="8"/>
  <c r="A58" i="8"/>
  <c r="A95" i="8"/>
  <c r="A79" i="8"/>
  <c r="A65" i="8"/>
  <c r="A66" i="8"/>
  <c r="A74" i="8"/>
  <c r="A59" i="8"/>
  <c r="A67" i="8"/>
  <c r="A94" i="8"/>
  <c r="A76" i="8"/>
  <c r="A68" i="8"/>
  <c r="A56" i="8"/>
  <c r="A86" i="8"/>
  <c r="A87" i="8"/>
  <c r="A69" i="8"/>
  <c r="A48" i="8"/>
  <c r="A40" i="8"/>
  <c r="A78" i="8"/>
  <c r="A49" i="8"/>
  <c r="A50" i="8"/>
  <c r="A62" i="8"/>
  <c r="A51" i="8"/>
  <c r="A52" i="8"/>
  <c r="A41" i="8"/>
  <c r="A53" i="8"/>
  <c r="A57" i="8"/>
  <c r="A70" i="8"/>
  <c r="A42" i="8"/>
  <c r="A60" i="8"/>
  <c r="A54" i="8"/>
  <c r="A71" i="8"/>
  <c r="A32" i="8"/>
  <c r="A45" i="8"/>
  <c r="A33" i="8"/>
  <c r="A25" i="8"/>
  <c r="A43" i="8"/>
  <c r="A34" i="8"/>
  <c r="A35" i="8"/>
  <c r="A36" i="8"/>
  <c r="A37" i="8"/>
  <c r="A38" i="8"/>
  <c r="A44" i="8"/>
  <c r="A23" i="8"/>
  <c r="A61" i="8"/>
  <c r="A63" i="8"/>
  <c r="A24" i="8"/>
  <c r="A55" i="8"/>
  <c r="A13" i="8"/>
  <c r="A273" i="8"/>
  <c r="A39" i="8"/>
  <c r="A16" i="8"/>
  <c r="A276" i="8"/>
  <c r="A31" i="8"/>
  <c r="A278" i="8"/>
  <c r="A17" i="8"/>
  <c r="A18" i="8"/>
  <c r="A19" i="8"/>
  <c r="A47" i="8"/>
  <c r="A26" i="8"/>
  <c r="A20" i="8"/>
  <c r="A27" i="8"/>
  <c r="A46" i="8"/>
  <c r="A21" i="8"/>
  <c r="A288" i="8"/>
  <c r="A289" i="8"/>
  <c r="A290" i="8"/>
  <c r="A29" i="8"/>
  <c r="A292" i="8"/>
  <c r="A293" i="8"/>
  <c r="A294" i="8"/>
  <c r="A295" i="8"/>
  <c r="A296" i="8"/>
  <c r="A297" i="8"/>
  <c r="A28" i="8"/>
  <c r="A299" i="8"/>
  <c r="A300" i="8"/>
  <c r="A22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2" i="8"/>
  <c r="A1" i="8"/>
  <c r="D36" i="1"/>
  <c r="B36" i="1" s="1" a="1"/>
  <c r="B36" i="1" s="1"/>
  <c r="D336" i="1"/>
  <c r="D346" i="1"/>
  <c r="D352" i="1"/>
  <c r="D383" i="1"/>
  <c r="D396" i="1"/>
  <c r="D413" i="1"/>
  <c r="C30" i="1"/>
  <c r="A30" i="1" s="1" a="1"/>
  <c r="A30" i="1" s="1"/>
  <c r="C33" i="1"/>
  <c r="A33" i="1" s="1" a="1"/>
  <c r="A33" i="1" s="1"/>
  <c r="C34" i="1"/>
  <c r="A34" i="1" s="1" a="1"/>
  <c r="A34" i="1" s="1"/>
  <c r="C36" i="1"/>
  <c r="A36" i="1" s="1" a="1"/>
  <c r="A36" i="1" s="1"/>
  <c r="C62" i="1"/>
  <c r="A62" i="1" s="1" a="1"/>
  <c r="A62" i="1" s="1"/>
  <c r="C336" i="1"/>
  <c r="C340" i="1"/>
  <c r="C346" i="1"/>
  <c r="C352" i="1"/>
  <c r="C366" i="1"/>
  <c r="C383" i="1"/>
  <c r="C396" i="1"/>
  <c r="C413" i="1"/>
  <c r="D81" i="1"/>
  <c r="B81" i="1" s="1" a="1"/>
  <c r="B81" i="1" s="1"/>
  <c r="D91" i="1"/>
  <c r="B91" i="1" s="1" a="1"/>
  <c r="B91" i="1" s="1"/>
  <c r="D138" i="1"/>
  <c r="B138" i="1" s="1" a="1"/>
  <c r="B138" i="1" s="1"/>
  <c r="D148" i="1"/>
  <c r="B148" i="1" s="1" a="1"/>
  <c r="B148" i="1" s="1"/>
  <c r="D161" i="1"/>
  <c r="B161" i="1" s="1" a="1"/>
  <c r="B161" i="1" s="1"/>
  <c r="D176" i="1"/>
  <c r="B176" i="1" s="1" a="1"/>
  <c r="B176" i="1" s="1"/>
  <c r="D180" i="1"/>
  <c r="B180" i="1" s="1" a="1"/>
  <c r="B180" i="1" s="1"/>
  <c r="D228" i="1"/>
  <c r="B228" i="1" s="1" a="1"/>
  <c r="B228" i="1" s="1"/>
  <c r="D237" i="1"/>
  <c r="B237" i="1" s="1" a="1"/>
  <c r="B237" i="1" s="1"/>
  <c r="D242" i="1"/>
  <c r="B242" i="1" s="1" a="1"/>
  <c r="B242" i="1" s="1"/>
  <c r="D266" i="1"/>
  <c r="B266" i="1" s="1" a="1"/>
  <c r="B266" i="1" s="1"/>
  <c r="D276" i="1"/>
  <c r="B276" i="1" s="1" a="1"/>
  <c r="B276" i="1" s="1"/>
  <c r="D290" i="1"/>
  <c r="B290" i="1" s="1" a="1"/>
  <c r="B290" i="1" s="1"/>
  <c r="D305" i="1"/>
  <c r="B305" i="1" s="1" a="1"/>
  <c r="B305" i="1" s="1"/>
  <c r="D308" i="1"/>
  <c r="B308" i="1" s="1" a="1"/>
  <c r="B308" i="1" s="1"/>
  <c r="D58" i="1" l="1"/>
  <c r="B58" i="1" s="1" a="1"/>
  <c r="B58" i="1" s="1"/>
  <c r="C418" i="1"/>
  <c r="C388" i="1"/>
  <c r="C356" i="1"/>
  <c r="D372" i="1"/>
  <c r="C414" i="1"/>
  <c r="D350" i="1"/>
  <c r="D382" i="1"/>
  <c r="C404" i="1"/>
  <c r="C370" i="1"/>
  <c r="C355" i="1"/>
  <c r="D430" i="1"/>
  <c r="C403" i="1"/>
  <c r="C402" i="1"/>
  <c r="D339" i="1"/>
  <c r="D35" i="1"/>
  <c r="B35" i="1" s="1" a="1"/>
  <c r="B35" i="1" s="1"/>
  <c r="C52" i="1"/>
  <c r="A52" i="1" s="1" a="1"/>
  <c r="A52" i="1" s="1"/>
  <c r="C419" i="1"/>
  <c r="C20" i="1"/>
  <c r="A20" i="1" s="1" a="1"/>
  <c r="A20" i="1" s="1"/>
  <c r="C420" i="1"/>
  <c r="C371" i="1"/>
  <c r="D387" i="1"/>
  <c r="D39" i="1"/>
  <c r="B39" i="1" s="1" a="1"/>
  <c r="B39" i="1" s="1"/>
  <c r="C343" i="1"/>
  <c r="D51" i="1"/>
  <c r="B51" i="1" s="1" a="1"/>
  <c r="B51" i="1" s="1"/>
  <c r="D359" i="1"/>
  <c r="C386" i="1"/>
  <c r="C342" i="1"/>
  <c r="C407" i="1"/>
  <c r="D19" i="1"/>
  <c r="B19" i="1" s="1" a="1"/>
  <c r="B19" i="1" s="1"/>
  <c r="C338" i="1"/>
  <c r="D391" i="1"/>
  <c r="D55" i="1"/>
  <c r="B55" i="1" s="1" a="1"/>
  <c r="B55" i="1" s="1"/>
  <c r="C423" i="1"/>
  <c r="C23" i="1"/>
  <c r="A23" i="1" s="1" a="1"/>
  <c r="A23" i="1" s="1"/>
  <c r="C375" i="1"/>
  <c r="C421" i="1"/>
  <c r="C341" i="1"/>
  <c r="D54" i="1"/>
  <c r="B54" i="1" s="1" a="1"/>
  <c r="B54" i="1" s="1"/>
  <c r="D53" i="1"/>
  <c r="B53" i="1" s="1" a="1"/>
  <c r="B53" i="1" s="1"/>
  <c r="D390" i="1"/>
  <c r="D389" i="1"/>
  <c r="C422" i="1"/>
  <c r="C21" i="1"/>
  <c r="A21" i="1" s="1" a="1"/>
  <c r="A21" i="1" s="1"/>
  <c r="D406" i="1"/>
  <c r="C358" i="1"/>
  <c r="C374" i="1"/>
  <c r="C22" i="1"/>
  <c r="A22" i="1" s="1" a="1"/>
  <c r="A22" i="1" s="1"/>
  <c r="C38" i="1"/>
  <c r="A38" i="1" s="1" a="1"/>
  <c r="A38" i="1" s="1"/>
  <c r="D405" i="1"/>
  <c r="C37" i="1"/>
  <c r="A37" i="1" s="1" a="1"/>
  <c r="A37" i="1" s="1"/>
  <c r="D5" i="1"/>
  <c r="C357" i="1"/>
  <c r="C373" i="1"/>
  <c r="C6" i="1"/>
  <c r="D345" i="1"/>
  <c r="D25" i="1"/>
  <c r="B25" i="1" s="1" a="1"/>
  <c r="B25" i="1" s="1"/>
  <c r="D376" i="1"/>
  <c r="D24" i="1"/>
  <c r="B24" i="1" s="1" a="1"/>
  <c r="B24" i="1" s="1"/>
  <c r="C41" i="1"/>
  <c r="A41" i="1" s="1" a="1"/>
  <c r="A41" i="1" s="1"/>
  <c r="C57" i="1"/>
  <c r="A57" i="1" s="1" a="1"/>
  <c r="A57" i="1" s="1"/>
  <c r="D361" i="1"/>
  <c r="D393" i="1"/>
  <c r="C377" i="1"/>
  <c r="D392" i="1"/>
  <c r="D409" i="1"/>
  <c r="D408" i="1"/>
  <c r="C425" i="1"/>
  <c r="D40" i="1"/>
  <c r="B40" i="1" s="1" a="1"/>
  <c r="B40" i="1" s="1"/>
  <c r="D424" i="1"/>
  <c r="C9" i="1"/>
  <c r="A9" i="1" s="1" a="1"/>
  <c r="A9" i="1" s="1"/>
  <c r="C360" i="1"/>
  <c r="C344" i="1"/>
  <c r="C56" i="1"/>
  <c r="A56" i="1" s="1" a="1"/>
  <c r="A56" i="1" s="1"/>
  <c r="C8" i="1"/>
  <c r="D354" i="1"/>
  <c r="D50" i="1"/>
  <c r="B50" i="1" s="1" a="1"/>
  <c r="B50" i="1" s="1"/>
  <c r="D34" i="1"/>
  <c r="B34" i="1" s="1" a="1"/>
  <c r="B34" i="1" s="1"/>
  <c r="D15" i="1"/>
  <c r="D353" i="1"/>
  <c r="D337" i="1"/>
  <c r="D49" i="1"/>
  <c r="B49" i="1" s="1" a="1"/>
  <c r="B49" i="1" s="1"/>
  <c r="D33" i="1"/>
  <c r="B33" i="1" s="1" a="1"/>
  <c r="B33" i="1" s="1"/>
  <c r="D17" i="1"/>
  <c r="B17" i="1" s="1" a="1"/>
  <c r="B17" i="1" s="1"/>
  <c r="C254" i="1"/>
  <c r="A254" i="1" s="1" a="1"/>
  <c r="A254" i="1" s="1"/>
  <c r="C253" i="1"/>
  <c r="A253" i="1" s="1" a="1"/>
  <c r="A253" i="1" s="1"/>
  <c r="D97" i="1"/>
  <c r="B97" i="1" s="1" a="1"/>
  <c r="B97" i="1" s="1"/>
  <c r="C105" i="1"/>
  <c r="A105" i="1" s="1" a="1"/>
  <c r="A105" i="1" s="1"/>
  <c r="C240" i="1"/>
  <c r="A240" i="1" s="1" a="1"/>
  <c r="A240" i="1" s="1"/>
  <c r="C104" i="1"/>
  <c r="A104" i="1" s="1" a="1"/>
  <c r="A104" i="1" s="1"/>
  <c r="D93" i="1"/>
  <c r="B93" i="1" s="1" a="1"/>
  <c r="B93" i="1" s="1"/>
  <c r="C239" i="1"/>
  <c r="A239" i="1" s="1" a="1"/>
  <c r="A239" i="1" s="1"/>
  <c r="C89" i="1"/>
  <c r="A89" i="1" s="1" a="1"/>
  <c r="A89" i="1" s="1"/>
  <c r="C226" i="1"/>
  <c r="A226" i="1" s="1" a="1"/>
  <c r="A226" i="1" s="1"/>
  <c r="C88" i="1"/>
  <c r="A88" i="1" s="1" a="1"/>
  <c r="A88" i="1" s="1"/>
  <c r="C225" i="1"/>
  <c r="A225" i="1" s="1" a="1"/>
  <c r="A225" i="1" s="1"/>
  <c r="C73" i="1"/>
  <c r="A73" i="1" s="1" a="1"/>
  <c r="A73" i="1" s="1"/>
  <c r="C196" i="1"/>
  <c r="A196" i="1" s="1" a="1"/>
  <c r="A196" i="1" s="1"/>
  <c r="C70" i="1"/>
  <c r="A70" i="1" s="1" a="1"/>
  <c r="A70" i="1" s="1"/>
  <c r="C325" i="1"/>
  <c r="A325" i="1" s="1" a="1"/>
  <c r="A325" i="1" s="1"/>
  <c r="C181" i="1"/>
  <c r="A181" i="1" s="1" a="1"/>
  <c r="A181" i="1" s="1"/>
  <c r="C120" i="1"/>
  <c r="A120" i="1" s="1" a="1"/>
  <c r="A120" i="1" s="1"/>
  <c r="D168" i="1"/>
  <c r="B168" i="1" s="1" a="1"/>
  <c r="B168" i="1" s="1"/>
  <c r="C311" i="1"/>
  <c r="A311" i="1" s="1" a="1"/>
  <c r="A311" i="1" s="1"/>
  <c r="C180" i="1"/>
  <c r="A180" i="1" s="1" a="1"/>
  <c r="A180" i="1" s="1"/>
  <c r="C310" i="1"/>
  <c r="A310" i="1" s="1" a="1"/>
  <c r="A310" i="1" s="1"/>
  <c r="C166" i="1"/>
  <c r="A166" i="1" s="1" a="1"/>
  <c r="A166" i="1" s="1"/>
  <c r="C297" i="1"/>
  <c r="A297" i="1" s="1" a="1"/>
  <c r="A297" i="1" s="1"/>
  <c r="C165" i="1"/>
  <c r="A165" i="1" s="1" a="1"/>
  <c r="A165" i="1" s="1"/>
  <c r="C296" i="1"/>
  <c r="A296" i="1" s="1" a="1"/>
  <c r="A296" i="1" s="1"/>
  <c r="C151" i="1"/>
  <c r="A151" i="1" s="1" a="1"/>
  <c r="A151" i="1" s="1"/>
  <c r="D324" i="1"/>
  <c r="B324" i="1" s="1" a="1"/>
  <c r="B324" i="1" s="1"/>
  <c r="C150" i="1"/>
  <c r="A150" i="1" s="1" a="1"/>
  <c r="A150" i="1" s="1"/>
  <c r="D321" i="1"/>
  <c r="B321" i="1" s="1" a="1"/>
  <c r="B321" i="1" s="1"/>
  <c r="C282" i="1"/>
  <c r="A282" i="1" s="1" a="1"/>
  <c r="A282" i="1" s="1"/>
  <c r="C136" i="1"/>
  <c r="A136" i="1" s="1" a="1"/>
  <c r="A136" i="1" s="1"/>
  <c r="D250" i="1"/>
  <c r="B250" i="1" s="1" a="1"/>
  <c r="B250" i="1" s="1"/>
  <c r="C268" i="1"/>
  <c r="A268" i="1" s="1" a="1"/>
  <c r="A268" i="1" s="1"/>
  <c r="C135" i="1"/>
  <c r="A135" i="1" s="1" a="1"/>
  <c r="A135" i="1" s="1"/>
  <c r="D249" i="1"/>
  <c r="B249" i="1" s="1" a="1"/>
  <c r="B249" i="1" s="1"/>
  <c r="C267" i="1"/>
  <c r="A267" i="1" s="1" a="1"/>
  <c r="A267" i="1" s="1"/>
  <c r="C121" i="1"/>
  <c r="A121" i="1" s="1" a="1"/>
  <c r="A121" i="1" s="1"/>
  <c r="D178" i="1"/>
  <c r="B178" i="1" s="1" a="1"/>
  <c r="B178" i="1" s="1"/>
  <c r="D99" i="1"/>
  <c r="B99" i="1" s="1" a="1"/>
  <c r="B99" i="1" s="1"/>
  <c r="C99" i="1"/>
  <c r="A99" i="1" s="1" a="1"/>
  <c r="A99" i="1" s="1"/>
  <c r="C323" i="1"/>
  <c r="A323" i="1" s="1" a="1"/>
  <c r="A323" i="1" s="1"/>
  <c r="C309" i="1"/>
  <c r="A309" i="1" s="1" a="1"/>
  <c r="A309" i="1" s="1"/>
  <c r="C295" i="1"/>
  <c r="A295" i="1" s="1" a="1"/>
  <c r="A295" i="1" s="1"/>
  <c r="C281" i="1"/>
  <c r="A281" i="1" s="1" a="1"/>
  <c r="A281" i="1" s="1"/>
  <c r="C252" i="1"/>
  <c r="A252" i="1" s="1" a="1"/>
  <c r="A252" i="1" s="1"/>
  <c r="C238" i="1"/>
  <c r="A238" i="1" s="1" a="1"/>
  <c r="A238" i="1" s="1"/>
  <c r="C224" i="1"/>
  <c r="A224" i="1" s="1" a="1"/>
  <c r="A224" i="1" s="1"/>
  <c r="C210" i="1"/>
  <c r="A210" i="1" s="1" a="1"/>
  <c r="A210" i="1" s="1"/>
  <c r="C179" i="1"/>
  <c r="A179" i="1" s="1" a="1"/>
  <c r="A179" i="1" s="1"/>
  <c r="C164" i="1"/>
  <c r="A164" i="1" s="1" a="1"/>
  <c r="A164" i="1" s="1"/>
  <c r="C149" i="1"/>
  <c r="A149" i="1" s="1" a="1"/>
  <c r="A149" i="1" s="1"/>
  <c r="C134" i="1"/>
  <c r="A134" i="1" s="1" a="1"/>
  <c r="A134" i="1" s="1"/>
  <c r="C119" i="1"/>
  <c r="A119" i="1" s="1" a="1"/>
  <c r="A119" i="1" s="1"/>
  <c r="C103" i="1"/>
  <c r="A103" i="1" s="1" a="1"/>
  <c r="A103" i="1" s="1"/>
  <c r="C87" i="1"/>
  <c r="A87" i="1" s="1" a="1"/>
  <c r="A87" i="1" s="1"/>
  <c r="C69" i="1"/>
  <c r="A69" i="1" s="1" a="1"/>
  <c r="A69" i="1" s="1"/>
  <c r="D320" i="1"/>
  <c r="B320" i="1" s="1" a="1"/>
  <c r="B320" i="1" s="1"/>
  <c r="D92" i="1"/>
  <c r="B92" i="1" s="1" a="1"/>
  <c r="B92" i="1" s="1"/>
  <c r="D128" i="1"/>
  <c r="B128" i="1" s="1" a="1"/>
  <c r="B128" i="1" s="1"/>
  <c r="C128" i="1"/>
  <c r="A128" i="1" s="1" a="1"/>
  <c r="A128" i="1" s="1"/>
  <c r="C308" i="1"/>
  <c r="A308" i="1" s="1" a="1"/>
  <c r="A308" i="1" s="1"/>
  <c r="C294" i="1"/>
  <c r="A294" i="1" s="1" a="1"/>
  <c r="A294" i="1" s="1"/>
  <c r="C280" i="1"/>
  <c r="A280" i="1" s="1" a="1"/>
  <c r="A280" i="1" s="1"/>
  <c r="C266" i="1"/>
  <c r="A266" i="1" s="1" a="1"/>
  <c r="A266" i="1" s="1"/>
  <c r="C251" i="1"/>
  <c r="A251" i="1" s="1" a="1"/>
  <c r="A251" i="1" s="1"/>
  <c r="C237" i="1"/>
  <c r="A237" i="1" s="1" a="1"/>
  <c r="A237" i="1" s="1"/>
  <c r="C223" i="1"/>
  <c r="A223" i="1" s="1" a="1"/>
  <c r="A223" i="1" s="1"/>
  <c r="C209" i="1"/>
  <c r="A209" i="1" s="1" a="1"/>
  <c r="A209" i="1" s="1"/>
  <c r="C194" i="1"/>
  <c r="A194" i="1" s="1" a="1"/>
  <c r="A194" i="1" s="1"/>
  <c r="C163" i="1"/>
  <c r="A163" i="1" s="1" a="1"/>
  <c r="A163" i="1" s="1"/>
  <c r="C148" i="1"/>
  <c r="A148" i="1" s="1" a="1"/>
  <c r="A148" i="1" s="1"/>
  <c r="C133" i="1"/>
  <c r="A133" i="1" s="1" a="1"/>
  <c r="A133" i="1" s="1"/>
  <c r="C118" i="1"/>
  <c r="A118" i="1" s="1" a="1"/>
  <c r="A118" i="1" s="1"/>
  <c r="C102" i="1"/>
  <c r="A102" i="1" s="1" a="1"/>
  <c r="A102" i="1" s="1"/>
  <c r="C84" i="1"/>
  <c r="A84" i="1" s="1" a="1"/>
  <c r="A84" i="1" s="1"/>
  <c r="C68" i="1"/>
  <c r="A68" i="1" s="1" a="1"/>
  <c r="A68" i="1" s="1"/>
  <c r="D235" i="1"/>
  <c r="B235" i="1" s="1" a="1"/>
  <c r="B235" i="1" s="1"/>
  <c r="C195" i="1"/>
  <c r="A195" i="1" s="1" a="1"/>
  <c r="A195" i="1" s="1"/>
  <c r="C322" i="1"/>
  <c r="A322" i="1" s="1" a="1"/>
  <c r="A322" i="1" s="1"/>
  <c r="C307" i="1"/>
  <c r="A307" i="1" s="1" a="1"/>
  <c r="A307" i="1" s="1"/>
  <c r="C293" i="1"/>
  <c r="A293" i="1" s="1" a="1"/>
  <c r="A293" i="1" s="1"/>
  <c r="C279" i="1"/>
  <c r="A279" i="1" s="1" a="1"/>
  <c r="A279" i="1" s="1"/>
  <c r="C265" i="1"/>
  <c r="A265" i="1" s="1" a="1"/>
  <c r="A265" i="1" s="1"/>
  <c r="C236" i="1"/>
  <c r="A236" i="1" s="1" a="1"/>
  <c r="A236" i="1" s="1"/>
  <c r="C222" i="1"/>
  <c r="A222" i="1" s="1" a="1"/>
  <c r="A222" i="1" s="1"/>
  <c r="C208" i="1"/>
  <c r="A208" i="1" s="1" a="1"/>
  <c r="A208" i="1" s="1"/>
  <c r="C193" i="1"/>
  <c r="A193" i="1" s="1" a="1"/>
  <c r="A193" i="1" s="1"/>
  <c r="C147" i="1"/>
  <c r="A147" i="1" s="1" a="1"/>
  <c r="A147" i="1" s="1"/>
  <c r="C132" i="1"/>
  <c r="A132" i="1" s="1" a="1"/>
  <c r="A132" i="1" s="1"/>
  <c r="C117" i="1"/>
  <c r="A117" i="1" s="1" a="1"/>
  <c r="A117" i="1" s="1"/>
  <c r="C101" i="1"/>
  <c r="A101" i="1" s="1" a="1"/>
  <c r="A101" i="1" s="1"/>
  <c r="C83" i="1"/>
  <c r="A83" i="1" s="1" a="1"/>
  <c r="A83" i="1" s="1"/>
  <c r="C67" i="1"/>
  <c r="A67" i="1" s="1" a="1"/>
  <c r="A67" i="1" s="1"/>
  <c r="D154" i="1"/>
  <c r="B154" i="1" s="1" a="1"/>
  <c r="B154" i="1" s="1"/>
  <c r="D79" i="1"/>
  <c r="B79" i="1" s="1" a="1"/>
  <c r="B79" i="1" s="1"/>
  <c r="D142" i="1"/>
  <c r="B142" i="1" s="1" a="1"/>
  <c r="B142" i="1" s="1"/>
  <c r="C142" i="1"/>
  <c r="A142" i="1" s="1" a="1"/>
  <c r="A142" i="1" s="1"/>
  <c r="C292" i="1"/>
  <c r="A292" i="1" s="1" a="1"/>
  <c r="A292" i="1" s="1"/>
  <c r="C278" i="1"/>
  <c r="A278" i="1" s="1" a="1"/>
  <c r="A278" i="1" s="1"/>
  <c r="C264" i="1"/>
  <c r="A264" i="1" s="1" a="1"/>
  <c r="A264" i="1" s="1"/>
  <c r="C221" i="1"/>
  <c r="A221" i="1" s="1" a="1"/>
  <c r="A221" i="1" s="1"/>
  <c r="C207" i="1"/>
  <c r="A207" i="1" s="1" a="1"/>
  <c r="A207" i="1" s="1"/>
  <c r="C192" i="1"/>
  <c r="A192" i="1" s="1" a="1"/>
  <c r="A192" i="1" s="1"/>
  <c r="C177" i="1"/>
  <c r="A177" i="1" s="1" a="1"/>
  <c r="A177" i="1" s="1"/>
  <c r="C162" i="1"/>
  <c r="A162" i="1" s="1" a="1"/>
  <c r="A162" i="1" s="1"/>
  <c r="C131" i="1"/>
  <c r="A131" i="1" s="1" a="1"/>
  <c r="A131" i="1" s="1"/>
  <c r="C116" i="1"/>
  <c r="A116" i="1" s="1" a="1"/>
  <c r="A116" i="1" s="1"/>
  <c r="D306" i="1"/>
  <c r="B306" i="1" s="1" a="1"/>
  <c r="B306" i="1" s="1"/>
  <c r="D78" i="1"/>
  <c r="B78" i="1" s="1" a="1"/>
  <c r="B78" i="1" s="1"/>
  <c r="D114" i="1"/>
  <c r="B114" i="1" s="1" a="1"/>
  <c r="B114" i="1" s="1"/>
  <c r="C114" i="1"/>
  <c r="A114" i="1" s="1" a="1"/>
  <c r="A114" i="1" s="1"/>
  <c r="C334" i="1"/>
  <c r="A334" i="1" s="1" a="1"/>
  <c r="A334" i="1" s="1"/>
  <c r="C291" i="1"/>
  <c r="A291" i="1" s="1" a="1"/>
  <c r="A291" i="1" s="1"/>
  <c r="C277" i="1"/>
  <c r="A277" i="1" s="1" a="1"/>
  <c r="A277" i="1" s="1"/>
  <c r="C263" i="1"/>
  <c r="A263" i="1" s="1" a="1"/>
  <c r="A263" i="1" s="1"/>
  <c r="C220" i="1"/>
  <c r="A220" i="1" s="1" a="1"/>
  <c r="A220" i="1" s="1"/>
  <c r="C206" i="1"/>
  <c r="A206" i="1" s="1" a="1"/>
  <c r="A206" i="1" s="1"/>
  <c r="C191" i="1"/>
  <c r="A191" i="1" s="1" a="1"/>
  <c r="A191" i="1" s="1"/>
  <c r="C176" i="1"/>
  <c r="A176" i="1" s="1" a="1"/>
  <c r="A176" i="1" s="1"/>
  <c r="C161" i="1"/>
  <c r="A161" i="1" s="1" a="1"/>
  <c r="A161" i="1" s="1"/>
  <c r="C146" i="1"/>
  <c r="A146" i="1" s="1" a="1"/>
  <c r="A146" i="1" s="1"/>
  <c r="C115" i="1"/>
  <c r="A115" i="1" s="1" a="1"/>
  <c r="A115" i="1" s="1"/>
  <c r="C98" i="1"/>
  <c r="A98" i="1" s="1" a="1"/>
  <c r="A98" i="1" s="1"/>
  <c r="C82" i="1"/>
  <c r="A82" i="1" s="1" a="1"/>
  <c r="A82" i="1" s="1"/>
  <c r="C66" i="1"/>
  <c r="A66" i="1" s="1" a="1"/>
  <c r="A66" i="1" s="1"/>
  <c r="D156" i="1"/>
  <c r="B156" i="1" s="1" a="1"/>
  <c r="B156" i="1" s="1"/>
  <c r="C156" i="1"/>
  <c r="A156" i="1" s="1" a="1"/>
  <c r="A156" i="1" s="1"/>
  <c r="C333" i="1"/>
  <c r="A333" i="1" s="1" a="1"/>
  <c r="A333" i="1" s="1"/>
  <c r="C319" i="1"/>
  <c r="A319" i="1" s="1" a="1"/>
  <c r="A319" i="1" s="1"/>
  <c r="C305" i="1"/>
  <c r="A305" i="1" s="1" a="1"/>
  <c r="A305" i="1" s="1"/>
  <c r="C276" i="1"/>
  <c r="A276" i="1" s="1" a="1"/>
  <c r="A276" i="1" s="1"/>
  <c r="C262" i="1"/>
  <c r="A262" i="1" s="1" a="1"/>
  <c r="A262" i="1" s="1"/>
  <c r="C248" i="1"/>
  <c r="A248" i="1" s="1" a="1"/>
  <c r="A248" i="1" s="1"/>
  <c r="C234" i="1"/>
  <c r="A234" i="1" s="1" a="1"/>
  <c r="A234" i="1" s="1"/>
  <c r="C219" i="1"/>
  <c r="A219" i="1" s="1" a="1"/>
  <c r="A219" i="1" s="1"/>
  <c r="C205" i="1"/>
  <c r="A205" i="1" s="1" a="1"/>
  <c r="A205" i="1" s="1"/>
  <c r="C190" i="1"/>
  <c r="A190" i="1" s="1" a="1"/>
  <c r="A190" i="1" s="1"/>
  <c r="C175" i="1"/>
  <c r="A175" i="1" s="1" a="1"/>
  <c r="A175" i="1" s="1"/>
  <c r="C160" i="1"/>
  <c r="A160" i="1" s="1" a="1"/>
  <c r="A160" i="1" s="1"/>
  <c r="C145" i="1"/>
  <c r="A145" i="1" s="1" a="1"/>
  <c r="A145" i="1" s="1"/>
  <c r="C130" i="1"/>
  <c r="A130" i="1" s="1" a="1"/>
  <c r="A130" i="1" s="1"/>
  <c r="C113" i="1"/>
  <c r="A113" i="1" s="1" a="1"/>
  <c r="A113" i="1" s="1"/>
  <c r="C81" i="1"/>
  <c r="A81" i="1" s="1" a="1"/>
  <c r="A81" i="1" s="1"/>
  <c r="C65" i="1"/>
  <c r="A65" i="1" s="1" a="1"/>
  <c r="A65" i="1" s="1"/>
  <c r="D139" i="1"/>
  <c r="B139" i="1" s="1" a="1"/>
  <c r="B139" i="1" s="1"/>
  <c r="C332" i="1"/>
  <c r="A332" i="1" s="1" a="1"/>
  <c r="A332" i="1" s="1"/>
  <c r="C318" i="1"/>
  <c r="A318" i="1" s="1" a="1"/>
  <c r="A318" i="1" s="1"/>
  <c r="C304" i="1"/>
  <c r="A304" i="1" s="1" a="1"/>
  <c r="A304" i="1" s="1"/>
  <c r="C290" i="1"/>
  <c r="A290" i="1" s="1" a="1"/>
  <c r="A290" i="1" s="1"/>
  <c r="C275" i="1"/>
  <c r="A275" i="1" s="1" a="1"/>
  <c r="A275" i="1" s="1"/>
  <c r="C261" i="1"/>
  <c r="A261" i="1" s="1" a="1"/>
  <c r="A261" i="1" s="1"/>
  <c r="C247" i="1"/>
  <c r="A247" i="1" s="1" a="1"/>
  <c r="A247" i="1" s="1"/>
  <c r="C233" i="1"/>
  <c r="A233" i="1" s="1" a="1"/>
  <c r="A233" i="1" s="1"/>
  <c r="C204" i="1"/>
  <c r="A204" i="1" s="1" a="1"/>
  <c r="A204" i="1" s="1"/>
  <c r="C189" i="1"/>
  <c r="A189" i="1" s="1" a="1"/>
  <c r="A189" i="1" s="1"/>
  <c r="C174" i="1"/>
  <c r="A174" i="1" s="1" a="1"/>
  <c r="A174" i="1" s="1"/>
  <c r="C159" i="1"/>
  <c r="A159" i="1" s="1" a="1"/>
  <c r="A159" i="1" s="1"/>
  <c r="C144" i="1"/>
  <c r="A144" i="1" s="1" a="1"/>
  <c r="A144" i="1" s="1"/>
  <c r="C129" i="1"/>
  <c r="A129" i="1" s="1" a="1"/>
  <c r="A129" i="1" s="1"/>
  <c r="C112" i="1"/>
  <c r="A112" i="1" s="1" a="1"/>
  <c r="A112" i="1" s="1"/>
  <c r="C96" i="1"/>
  <c r="A96" i="1" s="1" a="1"/>
  <c r="A96" i="1" s="1"/>
  <c r="C80" i="1"/>
  <c r="A80" i="1" s="1" a="1"/>
  <c r="A80" i="1" s="1"/>
  <c r="C64" i="1"/>
  <c r="A64" i="1" s="1" a="1"/>
  <c r="A64" i="1" s="1"/>
  <c r="C331" i="1"/>
  <c r="A331" i="1" s="1" a="1"/>
  <c r="A331" i="1" s="1"/>
  <c r="C317" i="1"/>
  <c r="A317" i="1" s="1" a="1"/>
  <c r="A317" i="1" s="1"/>
  <c r="C303" i="1"/>
  <c r="A303" i="1" s="1" a="1"/>
  <c r="A303" i="1" s="1"/>
  <c r="C289" i="1"/>
  <c r="A289" i="1" s="1" a="1"/>
  <c r="A289" i="1" s="1"/>
  <c r="C260" i="1"/>
  <c r="A260" i="1" s="1" a="1"/>
  <c r="A260" i="1" s="1"/>
  <c r="C246" i="1"/>
  <c r="A246" i="1" s="1" a="1"/>
  <c r="A246" i="1" s="1"/>
  <c r="C232" i="1"/>
  <c r="A232" i="1" s="1" a="1"/>
  <c r="A232" i="1" s="1"/>
  <c r="C218" i="1"/>
  <c r="A218" i="1" s="1" a="1"/>
  <c r="A218" i="1" s="1"/>
  <c r="C203" i="1"/>
  <c r="A203" i="1" s="1" a="1"/>
  <c r="A203" i="1" s="1"/>
  <c r="C188" i="1"/>
  <c r="A188" i="1" s="1" a="1"/>
  <c r="A188" i="1" s="1"/>
  <c r="C173" i="1"/>
  <c r="A173" i="1" s="1" a="1"/>
  <c r="A173" i="1" s="1"/>
  <c r="C158" i="1"/>
  <c r="A158" i="1" s="1" a="1"/>
  <c r="A158" i="1" s="1"/>
  <c r="C143" i="1"/>
  <c r="A143" i="1" s="1" a="1"/>
  <c r="A143" i="1" s="1"/>
  <c r="C127" i="1"/>
  <c r="A127" i="1" s="1" a="1"/>
  <c r="A127" i="1" s="1"/>
  <c r="C111" i="1"/>
  <c r="A111" i="1" s="1" a="1"/>
  <c r="A111" i="1" s="1"/>
  <c r="C95" i="1"/>
  <c r="A95" i="1" s="1" a="1"/>
  <c r="A95" i="1" s="1"/>
  <c r="C63" i="1"/>
  <c r="A63" i="1" s="1" a="1"/>
  <c r="A63" i="1" s="1"/>
  <c r="D185" i="1"/>
  <c r="B185" i="1" s="1" a="1"/>
  <c r="B185" i="1" s="1"/>
  <c r="C185" i="1"/>
  <c r="A185" i="1" s="1" a="1"/>
  <c r="A185" i="1" s="1"/>
  <c r="C316" i="1"/>
  <c r="A316" i="1" s="1" a="1"/>
  <c r="A316" i="1" s="1"/>
  <c r="C302" i="1"/>
  <c r="A302" i="1" s="1" a="1"/>
  <c r="A302" i="1" s="1"/>
  <c r="C288" i="1"/>
  <c r="A288" i="1" s="1" a="1"/>
  <c r="A288" i="1" s="1"/>
  <c r="C274" i="1"/>
  <c r="A274" i="1" s="1" a="1"/>
  <c r="A274" i="1" s="1"/>
  <c r="C259" i="1"/>
  <c r="A259" i="1" s="1" a="1"/>
  <c r="A259" i="1" s="1"/>
  <c r="C245" i="1"/>
  <c r="A245" i="1" s="1" a="1"/>
  <c r="A245" i="1" s="1"/>
  <c r="C231" i="1"/>
  <c r="A231" i="1" s="1" a="1"/>
  <c r="A231" i="1" s="1"/>
  <c r="C217" i="1"/>
  <c r="A217" i="1" s="1" a="1"/>
  <c r="A217" i="1" s="1"/>
  <c r="C187" i="1"/>
  <c r="A187" i="1" s="1" a="1"/>
  <c r="A187" i="1" s="1"/>
  <c r="C172" i="1"/>
  <c r="A172" i="1" s="1" a="1"/>
  <c r="A172" i="1" s="1"/>
  <c r="C157" i="1"/>
  <c r="A157" i="1" s="1" a="1"/>
  <c r="A157" i="1" s="1"/>
  <c r="C141" i="1"/>
  <c r="A141" i="1" s="1" a="1"/>
  <c r="A141" i="1" s="1"/>
  <c r="C126" i="1"/>
  <c r="A126" i="1" s="1" a="1"/>
  <c r="A126" i="1" s="1"/>
  <c r="C110" i="1"/>
  <c r="A110" i="1" s="1" a="1"/>
  <c r="A110" i="1" s="1"/>
  <c r="C94" i="1"/>
  <c r="A94" i="1" s="1" a="1"/>
  <c r="A94" i="1" s="1"/>
  <c r="D125" i="1"/>
  <c r="B125" i="1" s="1" a="1"/>
  <c r="B125" i="1" s="1"/>
  <c r="D72" i="1"/>
  <c r="B72" i="1" s="1" a="1"/>
  <c r="B72" i="1" s="1"/>
  <c r="C72" i="1"/>
  <c r="A72" i="1" s="1" a="1"/>
  <c r="A72" i="1" s="1"/>
  <c r="C330" i="1"/>
  <c r="A330" i="1" s="1" a="1"/>
  <c r="A330" i="1" s="1"/>
  <c r="C315" i="1"/>
  <c r="A315" i="1" s="1" a="1"/>
  <c r="A315" i="1" s="1"/>
  <c r="C301" i="1"/>
  <c r="A301" i="1" s="1" a="1"/>
  <c r="A301" i="1" s="1"/>
  <c r="C287" i="1"/>
  <c r="A287" i="1" s="1" a="1"/>
  <c r="A287" i="1" s="1"/>
  <c r="C273" i="1"/>
  <c r="A273" i="1" s="1" a="1"/>
  <c r="A273" i="1" s="1"/>
  <c r="C244" i="1"/>
  <c r="A244" i="1" s="1" a="1"/>
  <c r="A244" i="1" s="1"/>
  <c r="C230" i="1"/>
  <c r="A230" i="1" s="1" a="1"/>
  <c r="A230" i="1" s="1"/>
  <c r="C216" i="1"/>
  <c r="A216" i="1" s="1" a="1"/>
  <c r="A216" i="1" s="1"/>
  <c r="C202" i="1"/>
  <c r="A202" i="1" s="1" a="1"/>
  <c r="A202" i="1" s="1"/>
  <c r="C171" i="1"/>
  <c r="A171" i="1" s="1" a="1"/>
  <c r="A171" i="1" s="1"/>
  <c r="C155" i="1"/>
  <c r="A155" i="1" s="1" a="1"/>
  <c r="A155" i="1" s="1"/>
  <c r="C140" i="1"/>
  <c r="A140" i="1" s="1" a="1"/>
  <c r="A140" i="1" s="1"/>
  <c r="C109" i="1"/>
  <c r="A109" i="1" s="1" a="1"/>
  <c r="A109" i="1" s="1"/>
  <c r="C77" i="1"/>
  <c r="A77" i="1" s="1" a="1"/>
  <c r="A77" i="1" s="1"/>
  <c r="D122" i="1"/>
  <c r="B122" i="1" s="1" a="1"/>
  <c r="B122" i="1" s="1"/>
  <c r="C211" i="1"/>
  <c r="A211" i="1" s="1" a="1"/>
  <c r="A211" i="1" s="1"/>
  <c r="D199" i="1"/>
  <c r="B199" i="1" s="1" a="1"/>
  <c r="B199" i="1" s="1"/>
  <c r="C199" i="1"/>
  <c r="A199" i="1" s="1" a="1"/>
  <c r="A199" i="1" s="1"/>
  <c r="D71" i="1"/>
  <c r="B71" i="1" s="1" a="1"/>
  <c r="B71" i="1" s="1"/>
  <c r="C71" i="1"/>
  <c r="A71" i="1" s="1" a="1"/>
  <c r="A71" i="1" s="1"/>
  <c r="C329" i="1"/>
  <c r="A329" i="1" s="1" a="1"/>
  <c r="A329" i="1" s="1"/>
  <c r="C300" i="1"/>
  <c r="A300" i="1" s="1" a="1"/>
  <c r="A300" i="1" s="1"/>
  <c r="C286" i="1"/>
  <c r="A286" i="1" s="1" a="1"/>
  <c r="A286" i="1" s="1"/>
  <c r="C272" i="1"/>
  <c r="A272" i="1" s="1" a="1"/>
  <c r="A272" i="1" s="1"/>
  <c r="C258" i="1"/>
  <c r="A258" i="1" s="1" a="1"/>
  <c r="A258" i="1" s="1"/>
  <c r="C243" i="1"/>
  <c r="A243" i="1" s="1" a="1"/>
  <c r="A243" i="1" s="1"/>
  <c r="C229" i="1"/>
  <c r="A229" i="1" s="1" a="1"/>
  <c r="A229" i="1" s="1"/>
  <c r="C215" i="1"/>
  <c r="A215" i="1" s="1" a="1"/>
  <c r="A215" i="1" s="1"/>
  <c r="C201" i="1"/>
  <c r="A201" i="1" s="1" a="1"/>
  <c r="A201" i="1" s="1"/>
  <c r="C186" i="1"/>
  <c r="A186" i="1" s="1" a="1"/>
  <c r="A186" i="1" s="1"/>
  <c r="C170" i="1"/>
  <c r="A170" i="1" s="1" a="1"/>
  <c r="A170" i="1" s="1"/>
  <c r="C124" i="1"/>
  <c r="A124" i="1" s="1" a="1"/>
  <c r="A124" i="1" s="1"/>
  <c r="C108" i="1"/>
  <c r="A108" i="1" s="1" a="1"/>
  <c r="A108" i="1" s="1"/>
  <c r="C76" i="1"/>
  <c r="A76" i="1" s="1" a="1"/>
  <c r="A76" i="1" s="1"/>
  <c r="D86" i="1"/>
  <c r="B86" i="1" s="1" a="1"/>
  <c r="B86" i="1" s="1"/>
  <c r="C86" i="1"/>
  <c r="A86" i="1" s="1" a="1"/>
  <c r="A86" i="1" s="1"/>
  <c r="C328" i="1"/>
  <c r="A328" i="1" s="1" a="1"/>
  <c r="A328" i="1" s="1"/>
  <c r="C314" i="1"/>
  <c r="A314" i="1" s="1" a="1"/>
  <c r="A314" i="1" s="1"/>
  <c r="C299" i="1"/>
  <c r="A299" i="1" s="1" a="1"/>
  <c r="A299" i="1" s="1"/>
  <c r="C285" i="1"/>
  <c r="A285" i="1" s="1" a="1"/>
  <c r="A285" i="1" s="1"/>
  <c r="C271" i="1"/>
  <c r="A271" i="1" s="1" a="1"/>
  <c r="A271" i="1" s="1"/>
  <c r="C257" i="1"/>
  <c r="A257" i="1" s="1" a="1"/>
  <c r="A257" i="1" s="1"/>
  <c r="C228" i="1"/>
  <c r="A228" i="1" s="1" a="1"/>
  <c r="A228" i="1" s="1"/>
  <c r="C214" i="1"/>
  <c r="A214" i="1" s="1" a="1"/>
  <c r="A214" i="1" s="1"/>
  <c r="C200" i="1"/>
  <c r="A200" i="1" s="1" a="1"/>
  <c r="A200" i="1" s="1"/>
  <c r="C184" i="1"/>
  <c r="A184" i="1" s="1" a="1"/>
  <c r="A184" i="1" s="1"/>
  <c r="C169" i="1"/>
  <c r="A169" i="1" s="1" a="1"/>
  <c r="A169" i="1" s="1"/>
  <c r="C123" i="1"/>
  <c r="A123" i="1" s="1" a="1"/>
  <c r="A123" i="1" s="1"/>
  <c r="C107" i="1"/>
  <c r="A107" i="1" s="1" a="1"/>
  <c r="A107" i="1" s="1"/>
  <c r="C91" i="1"/>
  <c r="A91" i="1" s="1" a="1"/>
  <c r="A91" i="1" s="1"/>
  <c r="C75" i="1"/>
  <c r="A75" i="1" s="1" a="1"/>
  <c r="A75" i="1" s="1"/>
  <c r="D85" i="1"/>
  <c r="B85" i="1" s="1" a="1"/>
  <c r="B85" i="1" s="1"/>
  <c r="C85" i="1"/>
  <c r="A85" i="1" s="1" a="1"/>
  <c r="A85" i="1" s="1"/>
  <c r="C327" i="1"/>
  <c r="A327" i="1" s="1" a="1"/>
  <c r="A327" i="1" s="1"/>
  <c r="C313" i="1"/>
  <c r="A313" i="1" s="1" a="1"/>
  <c r="A313" i="1" s="1"/>
  <c r="C284" i="1"/>
  <c r="A284" i="1" s="1" a="1"/>
  <c r="A284" i="1" s="1"/>
  <c r="C270" i="1"/>
  <c r="A270" i="1" s="1" a="1"/>
  <c r="A270" i="1" s="1"/>
  <c r="C256" i="1"/>
  <c r="A256" i="1" s="1" a="1"/>
  <c r="A256" i="1" s="1"/>
  <c r="C242" i="1"/>
  <c r="A242" i="1" s="1" a="1"/>
  <c r="A242" i="1" s="1"/>
  <c r="C227" i="1"/>
  <c r="A227" i="1" s="1" a="1"/>
  <c r="A227" i="1" s="1"/>
  <c r="C213" i="1"/>
  <c r="A213" i="1" s="1" a="1"/>
  <c r="A213" i="1" s="1"/>
  <c r="C198" i="1"/>
  <c r="A198" i="1" s="1" a="1"/>
  <c r="A198" i="1" s="1"/>
  <c r="C183" i="1"/>
  <c r="A183" i="1" s="1" a="1"/>
  <c r="A183" i="1" s="1"/>
  <c r="C153" i="1"/>
  <c r="A153" i="1" s="1" a="1"/>
  <c r="A153" i="1" s="1"/>
  <c r="C138" i="1"/>
  <c r="A138" i="1" s="1" a="1"/>
  <c r="A138" i="1" s="1"/>
  <c r="D182" i="1"/>
  <c r="B182" i="1" s="1" a="1"/>
  <c r="B182" i="1" s="1"/>
  <c r="D100" i="1"/>
  <c r="B100" i="1" s="1" a="1"/>
  <c r="B100" i="1" s="1"/>
  <c r="C100" i="1"/>
  <c r="A100" i="1" s="1" a="1"/>
  <c r="A100" i="1" s="1"/>
  <c r="C326" i="1"/>
  <c r="A326" i="1" s="1" a="1"/>
  <c r="A326" i="1" s="1"/>
  <c r="C312" i="1"/>
  <c r="A312" i="1" s="1" a="1"/>
  <c r="A312" i="1" s="1"/>
  <c r="C298" i="1"/>
  <c r="A298" i="1" s="1" a="1"/>
  <c r="A298" i="1" s="1"/>
  <c r="C283" i="1"/>
  <c r="A283" i="1" s="1" a="1"/>
  <c r="A283" i="1" s="1"/>
  <c r="C269" i="1"/>
  <c r="A269" i="1" s="1" a="1"/>
  <c r="A269" i="1" s="1"/>
  <c r="C255" i="1"/>
  <c r="A255" i="1" s="1" a="1"/>
  <c r="A255" i="1" s="1"/>
  <c r="C241" i="1"/>
  <c r="A241" i="1" s="1" a="1"/>
  <c r="A241" i="1" s="1"/>
  <c r="C212" i="1"/>
  <c r="A212" i="1" s="1" a="1"/>
  <c r="A212" i="1" s="1"/>
  <c r="C197" i="1"/>
  <c r="A197" i="1" s="1" a="1"/>
  <c r="A197" i="1" s="1"/>
  <c r="C167" i="1"/>
  <c r="A167" i="1" s="1" a="1"/>
  <c r="A167" i="1" s="1"/>
  <c r="C152" i="1"/>
  <c r="A152" i="1" s="1" a="1"/>
  <c r="A152" i="1" s="1"/>
  <c r="C137" i="1"/>
  <c r="A137" i="1" s="1" a="1"/>
  <c r="A137" i="1" s="1"/>
  <c r="C106" i="1"/>
  <c r="A106" i="1" s="1" a="1"/>
  <c r="A106" i="1" s="1"/>
  <c r="C90" i="1"/>
  <c r="A90" i="1" s="1" a="1"/>
  <c r="A90" i="1" s="1"/>
  <c r="C74" i="1"/>
  <c r="A74" i="1" s="1" a="1"/>
  <c r="A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<sst xmlns="http://schemas.openxmlformats.org/spreadsheetml/2006/main" count="34594" uniqueCount="546">
  <si>
    <t>GameGoal</t>
  </si>
  <si>
    <t>GameSetup</t>
  </si>
  <si>
    <t>HomePlayerStatCache</t>
  </si>
  <si>
    <t>HomeTeam</t>
  </si>
  <si>
    <t>HomeTeamStatCache</t>
  </si>
  <si>
    <t>InjuryCache</t>
  </si>
  <si>
    <t>AwayTeamStatCache</t>
  </si>
  <si>
    <t>AwayTeam</t>
  </si>
  <si>
    <t>ScoringSummaries</t>
  </si>
  <si>
    <t>AwayPlayerStatCache</t>
  </si>
  <si>
    <t>Stadium</t>
  </si>
  <si>
    <t>GameSessionId</t>
  </si>
  <si>
    <t>HomeRequestId</t>
  </si>
  <si>
    <t>InitialMomentum</t>
  </si>
  <si>
    <t>AwayRequestId</t>
  </si>
  <si>
    <t>ForceWin</t>
  </si>
  <si>
    <t>NumberTimesPlayed</t>
  </si>
  <si>
    <t>TimeOfDay</t>
  </si>
  <si>
    <t>HasBeenPublished</t>
  </si>
  <si>
    <t>AwayScoreOT</t>
  </si>
  <si>
    <t>Temperature</t>
  </si>
  <si>
    <t>HomeScore</t>
  </si>
  <si>
    <t>AwayScore</t>
  </si>
  <si>
    <t>SeasonWeekType</t>
  </si>
  <si>
    <t>AwayScoreQuarter2</t>
  </si>
  <si>
    <t>AwayScoreQuarter1</t>
  </si>
  <si>
    <t>LiveSeasonGameType</t>
  </si>
  <si>
    <t>HomeScoreQuarter1</t>
  </si>
  <si>
    <t>HomeScoreOT</t>
  </si>
  <si>
    <t>AwayScoreQuarter4</t>
  </si>
  <si>
    <t>AwayScoreQuarter3</t>
  </si>
  <si>
    <t>SeasonWeek</t>
  </si>
  <si>
    <t>SeasonYear</t>
  </si>
  <si>
    <t>HomeScoreQuarter2</t>
  </si>
  <si>
    <t>HomeScoreQuarter3</t>
  </si>
  <si>
    <t>HomeScoreQuarter4</t>
  </si>
  <si>
    <t>HomeTeamStatus</t>
  </si>
  <si>
    <t>Wind</t>
  </si>
  <si>
    <t>Precipitation</t>
  </si>
  <si>
    <t>CloudCover</t>
  </si>
  <si>
    <t>Weather</t>
  </si>
  <si>
    <t>GameStatus</t>
  </si>
  <si>
    <t>DayOfWeek</t>
  </si>
  <si>
    <t>QuarterLengthMins</t>
  </si>
  <si>
    <t>SeasonGameNum</t>
  </si>
  <si>
    <t>ThanksgivingFlag</t>
  </si>
  <si>
    <t>NewYearsFlag</t>
  </si>
  <si>
    <t>IsSimmed</t>
  </si>
  <si>
    <t>IsPractice</t>
  </si>
  <si>
    <t>IsOvertimeGame</t>
  </si>
  <si>
    <t>IsGameOfTheWeek</t>
  </si>
  <si>
    <t>ChristmasFlag</t>
  </si>
  <si>
    <t>PlayMomentType</t>
  </si>
  <si>
    <t>AwayTeamStatus</t>
  </si>
  <si>
    <t>00000000000000000000000000000000</t>
  </si>
  <si>
    <t>None</t>
  </si>
  <si>
    <t>ConferencePlayoff</t>
  </si>
  <si>
    <t>Pending</t>
  </si>
  <si>
    <t>Invalid_</t>
  </si>
  <si>
    <t>Unscheduled</t>
  </si>
  <si>
    <t>Sunday</t>
  </si>
  <si>
    <t>IsDefenseOnly</t>
  </si>
  <si>
    <t>DivisionalPlayoff</t>
  </si>
  <si>
    <t>Saturday</t>
  </si>
  <si>
    <t>WildcardPlayoff</t>
  </si>
  <si>
    <t>Monday</t>
  </si>
  <si>
    <t>PreSeason</t>
  </si>
  <si>
    <t>Regular</t>
  </si>
  <si>
    <t>Thursday</t>
  </si>
  <si>
    <t>Friday</t>
  </si>
  <si>
    <t>Unplayed</t>
  </si>
  <si>
    <t>RegularSeason</t>
  </si>
  <si>
    <t>SuperBowl</t>
  </si>
  <si>
    <t>00000000000000000000000101101111</t>
  </si>
  <si>
    <t>Home</t>
  </si>
  <si>
    <t>Calm</t>
  </si>
  <si>
    <t>Clear</t>
  </si>
  <si>
    <t>IsPlayTheMoment</t>
  </si>
  <si>
    <t>00000000000000000000000101110000</t>
  </si>
  <si>
    <t>00000000000000000000000101110001</t>
  </si>
  <si>
    <t>00000000000000000000000101110010</t>
  </si>
  <si>
    <t>00000000000000000000000101110011</t>
  </si>
  <si>
    <t>00000000000000000000000101110100</t>
  </si>
  <si>
    <t>00000000000000000000000101110101</t>
  </si>
  <si>
    <t>00000000000000000000000101110110</t>
  </si>
  <si>
    <t>00000000000000000000000101110111</t>
  </si>
  <si>
    <t>00000000000000000000000101111000</t>
  </si>
  <si>
    <t>00000000000000000000000101111001</t>
  </si>
  <si>
    <t>00000000000000000000000101111010</t>
  </si>
  <si>
    <t>00000000000000000000000101111011</t>
  </si>
  <si>
    <t>00000000000000000000000101111100</t>
  </si>
  <si>
    <t>00000000000000000000000101111101</t>
  </si>
  <si>
    <t>00000000000000000000000101111110</t>
  </si>
  <si>
    <t>00000000000000000000000101111111</t>
  </si>
  <si>
    <t>00000000000000000000000110000000</t>
  </si>
  <si>
    <t>00000000000000000000000110000001</t>
  </si>
  <si>
    <t>00000000000000000000000110000010</t>
  </si>
  <si>
    <t>00000000000000000000000110000011</t>
  </si>
  <si>
    <t>00000000000000000000000110000100</t>
  </si>
  <si>
    <t>00000000000000000000000110000101</t>
  </si>
  <si>
    <t>00000000000000000000000110000110</t>
  </si>
  <si>
    <t>00000000000000000000000110000111</t>
  </si>
  <si>
    <t>00000000000000000000000110001000</t>
  </si>
  <si>
    <t>00000000000000000000000110001001</t>
  </si>
  <si>
    <t>00000000000000000000000110001010</t>
  </si>
  <si>
    <t>00000000000000000000000110001011</t>
  </si>
  <si>
    <t>00000000000000000000000110001100</t>
  </si>
  <si>
    <t>00000000000000000000000110001101</t>
  </si>
  <si>
    <t>00000000000000000000000110001110</t>
  </si>
  <si>
    <t>00000000000000000000000110001111</t>
  </si>
  <si>
    <t>00000000000000000000000110010000</t>
  </si>
  <si>
    <t>00000000000000000000000110010001</t>
  </si>
  <si>
    <t>00000000000000000000000110010010</t>
  </si>
  <si>
    <t>00000000000000000000000110010011</t>
  </si>
  <si>
    <t>00000000000000000000000110010100</t>
  </si>
  <si>
    <t>00000000000000000000000110010101</t>
  </si>
  <si>
    <t>00000000000000000000000110010110</t>
  </si>
  <si>
    <t>00000000000000000000000110010111</t>
  </si>
  <si>
    <t>00000000000000000000000110011000</t>
  </si>
  <si>
    <t>00000000000000000000000110011001</t>
  </si>
  <si>
    <t>00000000000000000000000110011010</t>
  </si>
  <si>
    <t>00000000000000000000000110011011</t>
  </si>
  <si>
    <t>00000000000000000000000110011100</t>
  </si>
  <si>
    <t>00000000000000000000000110011101</t>
  </si>
  <si>
    <t>00000000000000000000000110011110</t>
  </si>
  <si>
    <t>00000000000000000000000110011111</t>
  </si>
  <si>
    <t>00000000000000000000000110100000</t>
  </si>
  <si>
    <t>00000000000000000000000110100001</t>
  </si>
  <si>
    <t>00000000000000000000000110100010</t>
  </si>
  <si>
    <t>00000000000000000000000110100011</t>
  </si>
  <si>
    <t>00000000000000000000000110100100</t>
  </si>
  <si>
    <t>00000000000000000000000110100101</t>
  </si>
  <si>
    <t>00000000000000000000000110100110</t>
  </si>
  <si>
    <t>00000000000000000000000110100111</t>
  </si>
  <si>
    <t>00000000000000000000000110101000</t>
  </si>
  <si>
    <t>00000000000000000000000110101001</t>
  </si>
  <si>
    <t>00000000000000000000000110101010</t>
  </si>
  <si>
    <t>00000000000000000000000110101011</t>
  </si>
  <si>
    <t>00000000000000000000000110101100</t>
  </si>
  <si>
    <t>00000000000000000000000110101101</t>
  </si>
  <si>
    <t>Concat</t>
  </si>
  <si>
    <t>GameID</t>
  </si>
  <si>
    <t>NewSeasonWeek</t>
  </si>
  <si>
    <t>Chiefs</t>
  </si>
  <si>
    <t>Dolphins</t>
  </si>
  <si>
    <t>Patriots</t>
  </si>
  <si>
    <t>Eagles</t>
  </si>
  <si>
    <t>Panthers</t>
  </si>
  <si>
    <t>Saints</t>
  </si>
  <si>
    <t>Bears</t>
  </si>
  <si>
    <t>Broncos</t>
  </si>
  <si>
    <t>Seahawks</t>
  </si>
  <si>
    <t>Cardinals</t>
  </si>
  <si>
    <t>Bills</t>
  </si>
  <si>
    <t>Buccaneers</t>
  </si>
  <si>
    <t>Ravens</t>
  </si>
  <si>
    <t>Texans</t>
  </si>
  <si>
    <t>Falcons</t>
  </si>
  <si>
    <t>Vikings</t>
  </si>
  <si>
    <t>Steelers</t>
  </si>
  <si>
    <t>Packers</t>
  </si>
  <si>
    <t>Jaguars</t>
  </si>
  <si>
    <t>Titans</t>
  </si>
  <si>
    <t>Commanders</t>
  </si>
  <si>
    <t>Giants</t>
  </si>
  <si>
    <t>Bengals</t>
  </si>
  <si>
    <t>Colts</t>
  </si>
  <si>
    <t>Raiders</t>
  </si>
  <si>
    <t>Chargers</t>
  </si>
  <si>
    <t>Browns</t>
  </si>
  <si>
    <t>Jets</t>
  </si>
  <si>
    <t>Cowboys</t>
  </si>
  <si>
    <t>Lions</t>
  </si>
  <si>
    <t>49ers</t>
  </si>
  <si>
    <t>Rams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</si>
  <si>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</si>
  <si>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</si>
  <si>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</si>
  <si>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</si>
  <si>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</si>
  <si>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</si>
  <si>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</si>
  <si>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</si>
  <si>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</si>
  <si>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</si>
  <si>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</si>
  <si>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</si>
  <si>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0-12</t>
  </si>
  <si>
    <t>0-13</t>
  </si>
  <si>
    <t>0-14</t>
  </si>
  <si>
    <t>0-15</t>
  </si>
  <si>
    <t>1-0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</si>
  <si>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</si>
  <si>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</si>
  <si>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</si>
  <si>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</si>
  <si>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</si>
  <si>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</si>
  <si>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</si>
  <si>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</si>
  <si>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</si>
  <si>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</si>
  <si>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</si>
  <si>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</si>
  <si>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</si>
  <si>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</si>
  <si>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</si>
  <si>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</si>
  <si>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</si>
  <si>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</si>
  <si>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</si>
  <si>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</si>
  <si>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</si>
  <si>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</si>
  <si>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</si>
  <si>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</si>
  <si>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</si>
  <si>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</si>
  <si>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</si>
  <si>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</si>
  <si>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</si>
  <si>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</si>
  <si>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</si>
  <si>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</si>
  <si>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</si>
  <si>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</si>
  <si>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</si>
  <si>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</si>
  <si>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</si>
  <si>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</si>
  <si>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</si>
  <si>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</si>
  <si>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</si>
  <si>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</si>
  <si>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</si>
  <si>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</si>
  <si>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</si>
  <si>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</si>
  <si>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</si>
  <si>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</si>
  <si>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</si>
  <si>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</si>
  <si>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</si>
  <si>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</si>
  <si>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</si>
  <si>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</si>
  <si>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</si>
  <si>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</si>
  <si>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</si>
  <si>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</si>
  <si>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</si>
  <si>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</si>
  <si>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</si>
  <si>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5-0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</si>
  <si>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</si>
  <si>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</si>
  <si>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</si>
  <si>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</si>
  <si>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</si>
  <si>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</si>
  <si>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</si>
  <si>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</si>
  <si>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</si>
  <si>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</si>
  <si>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</si>
  <si>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</si>
  <si>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</si>
  <si>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6-0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</si>
  <si>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</si>
  <si>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</si>
  <si>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</si>
  <si>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</si>
  <si>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</si>
  <si>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</si>
  <si>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</si>
  <si>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</si>
  <si>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</si>
  <si>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</si>
  <si>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</si>
  <si>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</si>
  <si>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7-0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</si>
  <si>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</si>
  <si>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</si>
  <si>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</si>
  <si>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</si>
  <si>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</si>
  <si>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</si>
  <si>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</si>
  <si>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</si>
  <si>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</si>
  <si>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</si>
  <si>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</si>
  <si>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</si>
  <si>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</si>
  <si>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</si>
  <si>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</si>
  <si>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</si>
  <si>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</si>
  <si>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</si>
  <si>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</si>
  <si>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</si>
  <si>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</si>
  <si>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</si>
  <si>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</si>
  <si>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</si>
  <si>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</si>
  <si>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</si>
  <si>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</si>
  <si>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</si>
  <si>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9-0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</si>
  <si>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</si>
  <si>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</si>
  <si>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</si>
  <si>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</si>
  <si>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</si>
  <si>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</si>
  <si>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</si>
  <si>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</si>
  <si>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</si>
  <si>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</si>
  <si>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</si>
  <si>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</si>
  <si>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</si>
  <si>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10-0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</si>
  <si>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</si>
  <si>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</si>
  <si>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</si>
  <si>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</si>
  <si>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</si>
  <si>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</si>
  <si>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</si>
  <si>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</si>
  <si>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</si>
  <si>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</si>
  <si>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</si>
  <si>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</si>
  <si>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</si>
  <si>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11-0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</si>
  <si>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</si>
  <si>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</si>
  <si>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</si>
  <si>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</si>
  <si>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</si>
  <si>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</si>
  <si>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</si>
  <si>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</si>
  <si>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</si>
  <si>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</si>
  <si>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</si>
  <si>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</si>
  <si>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</si>
  <si>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</si>
  <si>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12-0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</si>
  <si>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</si>
  <si>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</si>
  <si>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</si>
  <si>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</si>
  <si>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</si>
  <si>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</si>
  <si>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</si>
  <si>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</si>
  <si>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</si>
  <si>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</si>
  <si>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</si>
  <si>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</si>
  <si>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13-0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</si>
  <si>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</si>
  <si>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</si>
  <si>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</si>
  <si>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</si>
  <si>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</si>
  <si>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</si>
  <si>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</si>
  <si>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</si>
  <si>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</si>
  <si>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</si>
  <si>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</si>
  <si>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</si>
  <si>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</si>
  <si>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14-0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</si>
  <si>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</si>
  <si>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</si>
  <si>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</si>
  <si>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</si>
  <si>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</si>
  <si>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</si>
  <si>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</si>
  <si>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</si>
  <si>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</si>
  <si>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</si>
  <si>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</si>
  <si>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</si>
  <si>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</si>
  <si>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</si>
  <si>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</si>
  <si>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15-0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</si>
  <si>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</si>
  <si>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</si>
  <si>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</si>
  <si>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</si>
  <si>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</si>
  <si>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</si>
  <si>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</si>
  <si>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</si>
  <si>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</si>
  <si>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</si>
  <si>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</si>
  <si>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</si>
  <si>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</si>
  <si>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</si>
  <si>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</si>
  <si>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16-0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</si>
  <si>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</si>
  <si>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</si>
  <si>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</si>
  <si>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</si>
  <si>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</si>
  <si>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</si>
  <si>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</si>
  <si>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</si>
  <si>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</si>
  <si>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</si>
  <si>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</si>
  <si>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</si>
  <si>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</si>
  <si>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</si>
  <si>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</si>
  <si>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</si>
  <si>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</si>
  <si>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</si>
  <si>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</si>
  <si>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</si>
  <si>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</si>
  <si>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</si>
  <si>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</si>
  <si>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</si>
  <si>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</si>
  <si>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</si>
  <si>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</si>
  <si>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</si>
  <si>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</si>
  <si>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</si>
  <si>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</si>
  <si>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AFC</t>
  </si>
  <si>
    <t>NFC</t>
  </si>
  <si>
    <t>Free Agents</t>
  </si>
  <si>
    <t>Hall Of Fame</t>
  </si>
  <si>
    <t>NFL Greats</t>
  </si>
  <si>
    <t>Team</t>
  </si>
  <si>
    <t>Value</t>
  </si>
  <si>
    <t>8-Binary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</si>
  <si>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</si>
  <si>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</si>
  <si>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</si>
  <si>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</si>
  <si>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</si>
  <si>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</si>
  <si>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</si>
  <si>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</si>
  <si>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</si>
  <si>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</si>
  <si>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</si>
  <si>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</si>
  <si>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</si>
  <si>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</si>
  <si>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</si>
  <si>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</si>
  <si>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</si>
  <si>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</si>
  <si>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</si>
  <si>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</si>
  <si>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</si>
  <si>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</si>
  <si>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</si>
  <si>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</si>
  <si>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</si>
  <si>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</si>
  <si>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</si>
  <si>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</si>
  <si>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</si>
  <si>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</si>
  <si>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</si>
  <si>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</si>
  <si>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</si>
  <si>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</si>
  <si>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00100010</t>
  </si>
  <si>
    <t>00100011</t>
  </si>
  <si>
    <t>00100100</t>
  </si>
  <si>
    <t>Run code and select which schedule you want</t>
  </si>
  <si>
    <t>Could probably also change the Name column values in Scheduler.Appointement to be safe</t>
  </si>
  <si>
    <t>HOW TO:</t>
  </si>
  <si>
    <t>Copy C1 and beyond to SeasonGame tab</t>
  </si>
  <si>
    <t>Save SeasonGame tab as SeasonGame in proper folder</t>
  </si>
  <si>
    <t>Delete out any non regular season game from newly created SeasonGame doc</t>
  </si>
  <si>
    <t>Before running code, switch out number of games per week (follow existing schedule, use countif to get numbers), Super Bowl Champion, divisonal games</t>
  </si>
  <si>
    <t>Export selected schedule and week 18 games to New tab starting at C1</t>
  </si>
  <si>
    <t>On new, filter NewSeasonWeek from smallest to largest</t>
  </si>
  <si>
    <t>On new, For the week 18 games, put NewSeasonWeek as 17</t>
  </si>
  <si>
    <t>On new, move prime time, 1st game, and Thanksgiving games (NewSeasonWeek 11) around (in order of when played Sun-Thurs) (Thurs will be listed lastly I guess?)</t>
  </si>
  <si>
    <t>12-13</t>
  </si>
  <si>
    <t>10-14</t>
  </si>
  <si>
    <t>4-15</t>
  </si>
  <si>
    <t>4-14</t>
  </si>
  <si>
    <t>On new, paste concat values from Game order tab for only regular season games (from 0-0 to 17-15, must be in order)</t>
  </si>
  <si>
    <t>Home Name</t>
  </si>
  <si>
    <t>Away Name</t>
  </si>
  <si>
    <t>HomeTeam (with new schedule)</t>
  </si>
  <si>
    <t>AwayTeam (with new schedule)</t>
  </si>
  <si>
    <t>On old, copy columns A and B and paste as values to PASTE IN tab</t>
  </si>
  <si>
    <t>Save PASTE IN tab as separate sheet and import back in to franchise editor</t>
  </si>
  <si>
    <t>Export SeasonGame sheet and copy/paste to "Import Sheet" tab starting at C1, and to Old tab starting at H1</t>
  </si>
  <si>
    <t>00101101010010100000000000011010</t>
  </si>
  <si>
    <t>00101101010010100000000000011011</t>
  </si>
  <si>
    <t>00101101010010100000000000010111</t>
  </si>
  <si>
    <t>00101101010010100000000000010011</t>
  </si>
  <si>
    <t>00101101010010100000000000010001</t>
  </si>
  <si>
    <t>00101101010010100000000000001111</t>
  </si>
  <si>
    <t>00101101010010100000000000100010</t>
  </si>
  <si>
    <t>00101101010010100000000000100001</t>
  </si>
  <si>
    <t>00101101010010100000000000010000</t>
  </si>
  <si>
    <t>00101101010010100000000000011110</t>
  </si>
  <si>
    <t>00101101010010100000000000001101</t>
  </si>
  <si>
    <t>00101101010010100000000000010110</t>
  </si>
  <si>
    <t>00101101010010100000000000000001</t>
  </si>
  <si>
    <t>00101101010010100000000000000011</t>
  </si>
  <si>
    <t>00101101010010100000000000011100</t>
  </si>
  <si>
    <t>00101101010010100000000000100100</t>
  </si>
  <si>
    <t>00101101010010100000000000100000</t>
  </si>
  <si>
    <t>00101101010010100000000000001010</t>
  </si>
  <si>
    <t>00101101010010100000000000011001</t>
  </si>
  <si>
    <t>00101101010010100000000000000101</t>
  </si>
  <si>
    <t>00101101010010100000000000000110</t>
  </si>
  <si>
    <t>00101101010010100000000000000010</t>
  </si>
  <si>
    <t>00101101010010100000000000000000</t>
  </si>
  <si>
    <t>00101101010010100000000000100011</t>
  </si>
  <si>
    <t>00101101010010100000000000001011</t>
  </si>
  <si>
    <t>00101101010010100000000000010101</t>
  </si>
  <si>
    <t>00101101010010100000000000011111</t>
  </si>
  <si>
    <t>00101101010010100000000000000111</t>
  </si>
  <si>
    <t>00101101010010100000000000000100</t>
  </si>
  <si>
    <t>00101101010010100000000000001100</t>
  </si>
  <si>
    <t>00101101010010100000000000001110</t>
  </si>
  <si>
    <t>00101101010010100000000000011101</t>
  </si>
  <si>
    <t>00100110100010100000000000000000</t>
  </si>
  <si>
    <t>Put HomeTeam and AwayTeam (actual team names) in columns D and K in SeasonGame tab</t>
  </si>
  <si>
    <t>Looks like Sun - Thurs on 25 at least for Season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</si>
</sst>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6B42-6F73-4D85-80F2-09E036F8F149}">
  <dimension ref="F1:G16"/>
  <sheetViews>
    <sheetView tabSelected="1" topLeftCell="D1" workbookViewId="0">
      <selection activeCell="F15" sqref="F15"/>
    </sheetView>
  </sheetViews>
  <sheetFormatPr defaultRowHeight="15.75" x14ac:dyDescent="0.25"/>
  <cols>
    <col min="6" max="6" width="138" style="1" bestFit="1" customWidth="1"/>
  </cols>
  <sheetData>
    <row r="1" spans="6:7" x14ac:dyDescent="0.25">
      <c r="F1" s="2" t="s">
        <v>490</v>
      </c>
    </row>
    <row r="2" spans="6:7" x14ac:dyDescent="0.25">
      <c r="F2" s="3" t="s">
        <v>510</v>
      </c>
    </row>
    <row r="3" spans="6:7" x14ac:dyDescent="0.25">
      <c r="F3" s="3" t="s">
        <v>491</v>
      </c>
    </row>
    <row r="4" spans="6:7" x14ac:dyDescent="0.25">
      <c r="F4" s="3" t="s">
        <v>544</v>
      </c>
    </row>
    <row r="5" spans="6:7" x14ac:dyDescent="0.25">
      <c r="F5" s="3" t="s">
        <v>492</v>
      </c>
    </row>
    <row r="6" spans="6:7" x14ac:dyDescent="0.25">
      <c r="F6" s="3" t="s">
        <v>493</v>
      </c>
    </row>
    <row r="7" spans="6:7" x14ac:dyDescent="0.25">
      <c r="F7" s="3" t="s">
        <v>494</v>
      </c>
    </row>
    <row r="8" spans="6:7" x14ac:dyDescent="0.25">
      <c r="F8" s="3" t="s">
        <v>488</v>
      </c>
    </row>
    <row r="9" spans="6:7" x14ac:dyDescent="0.25">
      <c r="F9" s="3" t="s">
        <v>495</v>
      </c>
    </row>
    <row r="10" spans="6:7" x14ac:dyDescent="0.25">
      <c r="F10" s="3" t="s">
        <v>497</v>
      </c>
    </row>
    <row r="11" spans="6:7" x14ac:dyDescent="0.25">
      <c r="F11" s="3" t="s">
        <v>496</v>
      </c>
    </row>
    <row r="12" spans="6:7" x14ac:dyDescent="0.25">
      <c r="F12" s="3" t="s">
        <v>498</v>
      </c>
      <c r="G12" s="4" t="s">
        <v>545</v>
      </c>
    </row>
    <row r="13" spans="6:7" x14ac:dyDescent="0.25">
      <c r="F13" s="3" t="s">
        <v>503</v>
      </c>
    </row>
    <row r="14" spans="6:7" x14ac:dyDescent="0.25">
      <c r="F14" s="3" t="s">
        <v>508</v>
      </c>
    </row>
    <row r="15" spans="6:7" x14ac:dyDescent="0.25">
      <c r="F15" s="3" t="s">
        <v>509</v>
      </c>
    </row>
    <row r="16" spans="6:7" x14ac:dyDescent="0.25">
      <c r="F16" s="3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DB64-55B3-45A2-9902-801E9FE0B58A}">
  <dimension ref="A1:BD430"/>
  <sheetViews>
    <sheetView workbookViewId="0"/>
  </sheetViews>
  <sheetFormatPr defaultRowHeight="15.75" x14ac:dyDescent="0.25"/>
  <cols>
    <col min="1" max="2" width="11.5" bestFit="1" customWidth="1"/>
  </cols>
  <sheetData>
    <row r="1" spans="1:56" x14ac:dyDescent="0.25">
      <c r="A1" t="s">
        <v>3</v>
      </c>
      <c r="B1" t="s">
        <v>7</v>
      </c>
      <c r="C1" t="s">
        <v>9</v>
      </c>
      <c r="D1" t="s">
        <v>10</v>
      </c>
      <c r="E1" t="s">
        <v>8</v>
      </c>
      <c r="F1" t="s">
        <v>7</v>
      </c>
      <c r="G1" t="s">
        <v>6</v>
      </c>
      <c r="H1" t="s">
        <v>0</v>
      </c>
      <c r="I1" t="s">
        <v>1</v>
      </c>
      <c r="J1" t="s">
        <v>2</v>
      </c>
      <c r="K1" t="s">
        <v>5</v>
      </c>
      <c r="L1" t="s">
        <v>4</v>
      </c>
      <c r="M1" t="s">
        <v>3</v>
      </c>
      <c r="N1" t="s">
        <v>14</v>
      </c>
      <c r="O1" t="s">
        <v>11</v>
      </c>
      <c r="P1" t="s">
        <v>12</v>
      </c>
      <c r="Q1" t="s">
        <v>13</v>
      </c>
      <c r="R1" t="s">
        <v>41</v>
      </c>
      <c r="S1" t="s">
        <v>22</v>
      </c>
      <c r="T1" t="s">
        <v>16</v>
      </c>
      <c r="U1" t="s">
        <v>17</v>
      </c>
      <c r="V1" t="s">
        <v>36</v>
      </c>
      <c r="W1" t="s">
        <v>25</v>
      </c>
      <c r="X1" t="s">
        <v>19</v>
      </c>
      <c r="Y1" t="s">
        <v>21</v>
      </c>
      <c r="Z1" t="s">
        <v>20</v>
      </c>
      <c r="AA1" t="s">
        <v>26</v>
      </c>
      <c r="AB1" t="s">
        <v>28</v>
      </c>
      <c r="AC1" t="s">
        <v>29</v>
      </c>
      <c r="AD1" t="s">
        <v>30</v>
      </c>
      <c r="AE1" t="s">
        <v>24</v>
      </c>
      <c r="AF1" t="s">
        <v>42</v>
      </c>
      <c r="AG1" t="s">
        <v>35</v>
      </c>
      <c r="AH1" t="s">
        <v>34</v>
      </c>
      <c r="AI1" t="s">
        <v>33</v>
      </c>
      <c r="AJ1" t="s">
        <v>27</v>
      </c>
      <c r="AK1" t="s">
        <v>50</v>
      </c>
      <c r="AL1" t="s">
        <v>39</v>
      </c>
      <c r="AM1" t="s">
        <v>40</v>
      </c>
      <c r="AN1" t="s">
        <v>23</v>
      </c>
      <c r="AO1" t="s">
        <v>43</v>
      </c>
      <c r="AP1" t="s">
        <v>31</v>
      </c>
      <c r="AQ1" t="s">
        <v>44</v>
      </c>
      <c r="AR1" t="s">
        <v>32</v>
      </c>
      <c r="AS1" t="s">
        <v>45</v>
      </c>
      <c r="AT1" t="s">
        <v>51</v>
      </c>
      <c r="AU1" t="s">
        <v>46</v>
      </c>
      <c r="AV1" t="s">
        <v>47</v>
      </c>
      <c r="AW1" t="s">
        <v>18</v>
      </c>
      <c r="AX1" t="s">
        <v>48</v>
      </c>
      <c r="AY1" t="s">
        <v>49</v>
      </c>
      <c r="AZ1" t="s">
        <v>52</v>
      </c>
      <c r="BA1" t="s">
        <v>53</v>
      </c>
      <c r="BB1" t="s">
        <v>15</v>
      </c>
      <c r="BC1" t="s">
        <v>37</v>
      </c>
      <c r="BD1" t="s">
        <v>38</v>
      </c>
    </row>
    <row r="2" spans="1:56" x14ac:dyDescent="0.25">
      <c r="A2" t="str" cm="1">
        <f t="array" ref="A2">_xlfn.XLOOKUP(RIGHT(M2,8),TeamIdentity!C:C,TeamIdentity!A:A,NONE)</f>
        <v>Bears</v>
      </c>
      <c r="B2" t="str" cm="1">
        <f t="array" ref="B2">_xlfn.XLOOKUP(RIGHT(F2,8),TeamIdentity!C:C,TeamIdentity!A:A,NONE)</f>
        <v>Raiders</v>
      </c>
      <c r="C2" t="s">
        <v>54</v>
      </c>
      <c r="D2" t="s">
        <v>54</v>
      </c>
      <c r="E2" t="s">
        <v>54</v>
      </c>
      <c r="F2" t="s">
        <v>525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523</v>
      </c>
      <c r="N2">
        <v>90329</v>
      </c>
      <c r="O2">
        <v>0</v>
      </c>
      <c r="P2">
        <v>90328</v>
      </c>
      <c r="Q2">
        <v>0</v>
      </c>
      <c r="R2" t="s">
        <v>70</v>
      </c>
      <c r="S2">
        <v>0</v>
      </c>
      <c r="T2">
        <v>0</v>
      </c>
      <c r="U2">
        <v>1260</v>
      </c>
      <c r="V2" t="s">
        <v>57</v>
      </c>
      <c r="W2">
        <v>0</v>
      </c>
      <c r="X2">
        <v>0</v>
      </c>
      <c r="Y2">
        <v>0</v>
      </c>
      <c r="Z2">
        <v>0</v>
      </c>
      <c r="AA2" t="s">
        <v>67</v>
      </c>
      <c r="AB2">
        <v>0</v>
      </c>
      <c r="AC2">
        <v>0</v>
      </c>
      <c r="AD2">
        <v>0</v>
      </c>
      <c r="AE2">
        <v>0</v>
      </c>
      <c r="AF2" t="s">
        <v>65</v>
      </c>
      <c r="AG2">
        <v>0</v>
      </c>
      <c r="AH2">
        <v>0</v>
      </c>
      <c r="AI2">
        <v>0</v>
      </c>
      <c r="AJ2">
        <v>0</v>
      </c>
      <c r="AK2" t="b">
        <v>0</v>
      </c>
      <c r="AL2" t="s">
        <v>58</v>
      </c>
      <c r="AM2" t="s">
        <v>58</v>
      </c>
      <c r="AN2" t="s">
        <v>66</v>
      </c>
      <c r="AO2">
        <v>14</v>
      </c>
      <c r="AP2">
        <v>0</v>
      </c>
      <c r="AQ2">
        <v>1</v>
      </c>
      <c r="AR2">
        <v>11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s">
        <v>61</v>
      </c>
      <c r="BA2" t="s">
        <v>57</v>
      </c>
      <c r="BB2" t="s">
        <v>55</v>
      </c>
      <c r="BC2" t="s">
        <v>58</v>
      </c>
      <c r="BD2" t="s">
        <v>58</v>
      </c>
    </row>
    <row r="3" spans="1:56" x14ac:dyDescent="0.25">
      <c r="A3" t="str" cm="1">
        <f t="array" ref="A3">_xlfn.XLOOKUP(RIGHT(M3,8),TeamIdentity!C:C,TeamIdentity!A:A,NONE)</f>
        <v>Cowboys</v>
      </c>
      <c r="B3" t="str" cm="1">
        <f t="array" ref="B3">_xlfn.XLOOKUP(RIGHT(F3,8),TeamIdentity!C:C,TeamIdentity!A:A,NONE)</f>
        <v>Bills</v>
      </c>
      <c r="C3" t="s">
        <v>54</v>
      </c>
      <c r="D3" t="s">
        <v>54</v>
      </c>
      <c r="E3" t="s">
        <v>54</v>
      </c>
      <c r="F3" t="s">
        <v>524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541</v>
      </c>
      <c r="N3">
        <v>90319</v>
      </c>
      <c r="O3">
        <v>0</v>
      </c>
      <c r="P3">
        <v>90318</v>
      </c>
      <c r="Q3">
        <v>0</v>
      </c>
      <c r="R3" t="s">
        <v>70</v>
      </c>
      <c r="S3">
        <v>0</v>
      </c>
      <c r="T3">
        <v>0</v>
      </c>
      <c r="U3">
        <v>1200</v>
      </c>
      <c r="V3" t="s">
        <v>57</v>
      </c>
      <c r="W3">
        <v>0</v>
      </c>
      <c r="X3">
        <v>0</v>
      </c>
      <c r="Y3">
        <v>0</v>
      </c>
      <c r="Z3">
        <v>0</v>
      </c>
      <c r="AA3" t="s">
        <v>67</v>
      </c>
      <c r="AB3">
        <v>0</v>
      </c>
      <c r="AC3">
        <v>0</v>
      </c>
      <c r="AD3">
        <v>0</v>
      </c>
      <c r="AE3">
        <v>0</v>
      </c>
      <c r="AF3" t="s">
        <v>63</v>
      </c>
      <c r="AG3">
        <v>0</v>
      </c>
      <c r="AH3">
        <v>0</v>
      </c>
      <c r="AI3">
        <v>0</v>
      </c>
      <c r="AJ3">
        <v>0</v>
      </c>
      <c r="AK3" t="b">
        <v>0</v>
      </c>
      <c r="AL3" t="s">
        <v>58</v>
      </c>
      <c r="AM3" t="s">
        <v>58</v>
      </c>
      <c r="AN3" t="s">
        <v>66</v>
      </c>
      <c r="AO3">
        <v>14</v>
      </c>
      <c r="AP3">
        <v>0</v>
      </c>
      <c r="AQ3">
        <v>10</v>
      </c>
      <c r="AR3">
        <v>11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s">
        <v>61</v>
      </c>
      <c r="BA3" t="s">
        <v>57</v>
      </c>
      <c r="BB3" t="s">
        <v>55</v>
      </c>
      <c r="BC3" t="s">
        <v>58</v>
      </c>
      <c r="BD3" t="s">
        <v>58</v>
      </c>
    </row>
    <row r="4" spans="1:56" x14ac:dyDescent="0.25">
      <c r="A4" t="str" cm="1">
        <f t="array" ref="A4">_xlfn.XLOOKUP(RIGHT(M4,8),TeamIdentity!C:C,TeamIdentity!A:A,NONE)</f>
        <v>Seahawks</v>
      </c>
      <c r="B4" t="str" cm="1">
        <f t="array" ref="B4">_xlfn.XLOOKUP(RIGHT(F4,8),TeamIdentity!C:C,TeamIdentity!A:A,NONE)</f>
        <v>Bengals</v>
      </c>
      <c r="C4" t="s">
        <v>54</v>
      </c>
      <c r="D4" t="s">
        <v>54</v>
      </c>
      <c r="E4" t="s">
        <v>54</v>
      </c>
      <c r="F4" t="s">
        <v>532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527</v>
      </c>
      <c r="N4">
        <v>90325</v>
      </c>
      <c r="O4">
        <v>0</v>
      </c>
      <c r="P4">
        <v>90324</v>
      </c>
      <c r="Q4">
        <v>0</v>
      </c>
      <c r="R4" t="s">
        <v>70</v>
      </c>
      <c r="S4">
        <v>0</v>
      </c>
      <c r="T4">
        <v>0</v>
      </c>
      <c r="U4">
        <v>1380</v>
      </c>
      <c r="V4" t="s">
        <v>57</v>
      </c>
      <c r="W4">
        <v>0</v>
      </c>
      <c r="X4">
        <v>0</v>
      </c>
      <c r="Y4">
        <v>0</v>
      </c>
      <c r="Z4">
        <v>0</v>
      </c>
      <c r="AA4" t="s">
        <v>67</v>
      </c>
      <c r="AB4">
        <v>0</v>
      </c>
      <c r="AC4">
        <v>0</v>
      </c>
      <c r="AD4">
        <v>0</v>
      </c>
      <c r="AE4">
        <v>0</v>
      </c>
      <c r="AF4" t="s">
        <v>63</v>
      </c>
      <c r="AG4">
        <v>0</v>
      </c>
      <c r="AH4">
        <v>0</v>
      </c>
      <c r="AI4">
        <v>0</v>
      </c>
      <c r="AJ4">
        <v>0</v>
      </c>
      <c r="AK4" t="b">
        <v>0</v>
      </c>
      <c r="AL4" t="s">
        <v>58</v>
      </c>
      <c r="AM4" t="s">
        <v>58</v>
      </c>
      <c r="AN4" t="s">
        <v>66</v>
      </c>
      <c r="AO4">
        <v>14</v>
      </c>
      <c r="AP4">
        <v>0</v>
      </c>
      <c r="AQ4">
        <v>15</v>
      </c>
      <c r="AR4">
        <v>11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s">
        <v>61</v>
      </c>
      <c r="BA4" t="s">
        <v>57</v>
      </c>
      <c r="BB4" t="s">
        <v>55</v>
      </c>
      <c r="BC4" t="s">
        <v>58</v>
      </c>
      <c r="BD4" t="s">
        <v>58</v>
      </c>
    </row>
    <row r="5" spans="1:56" x14ac:dyDescent="0.25">
      <c r="A5" t="str" cm="1">
        <f t="array" ref="A5">_xlfn.XLOOKUP(RIGHT(M5,8),TeamIdentity!C:C,TeamIdentity!A:A,NONE)</f>
        <v>Falcons</v>
      </c>
      <c r="B5" t="str" cm="1">
        <f t="array" ref="B5">_xlfn.XLOOKUP(RIGHT(F5,8),TeamIdentity!C:C,TeamIdentity!A:A,NONE)</f>
        <v>Browns</v>
      </c>
      <c r="C5" t="s">
        <v>54</v>
      </c>
      <c r="D5" t="s">
        <v>54</v>
      </c>
      <c r="E5" t="s">
        <v>54</v>
      </c>
      <c r="F5" t="s">
        <v>530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515</v>
      </c>
      <c r="N5">
        <v>90301</v>
      </c>
      <c r="O5">
        <v>0</v>
      </c>
      <c r="P5">
        <v>90300</v>
      </c>
      <c r="Q5">
        <v>0</v>
      </c>
      <c r="R5" t="s">
        <v>70</v>
      </c>
      <c r="S5">
        <v>0</v>
      </c>
      <c r="T5">
        <v>0</v>
      </c>
      <c r="U5">
        <v>1140</v>
      </c>
      <c r="V5" t="s">
        <v>57</v>
      </c>
      <c r="W5">
        <v>0</v>
      </c>
      <c r="X5">
        <v>0</v>
      </c>
      <c r="Y5">
        <v>0</v>
      </c>
      <c r="Z5">
        <v>0</v>
      </c>
      <c r="AA5" t="s">
        <v>67</v>
      </c>
      <c r="AB5">
        <v>0</v>
      </c>
      <c r="AC5">
        <v>0</v>
      </c>
      <c r="AD5">
        <v>0</v>
      </c>
      <c r="AE5">
        <v>0</v>
      </c>
      <c r="AF5" t="s">
        <v>69</v>
      </c>
      <c r="AG5">
        <v>0</v>
      </c>
      <c r="AH5">
        <v>0</v>
      </c>
      <c r="AI5">
        <v>0</v>
      </c>
      <c r="AJ5">
        <v>0</v>
      </c>
      <c r="AK5" t="b">
        <v>0</v>
      </c>
      <c r="AL5" t="s">
        <v>58</v>
      </c>
      <c r="AM5" t="s">
        <v>58</v>
      </c>
      <c r="AN5" t="s">
        <v>66</v>
      </c>
      <c r="AO5">
        <v>14</v>
      </c>
      <c r="AP5">
        <v>0</v>
      </c>
      <c r="AQ5">
        <v>2</v>
      </c>
      <c r="AR5">
        <v>11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s">
        <v>61</v>
      </c>
      <c r="BA5" t="s">
        <v>57</v>
      </c>
      <c r="BB5" t="s">
        <v>55</v>
      </c>
      <c r="BC5" t="s">
        <v>58</v>
      </c>
      <c r="BD5" t="s">
        <v>58</v>
      </c>
    </row>
    <row r="6" spans="1:56" x14ac:dyDescent="0.25">
      <c r="A6" t="str" cm="1">
        <f t="array" ref="A6">_xlfn.XLOOKUP(RIGHT(M6,8),TeamIdentity!C:C,TeamIdentity!A:A,NONE)</f>
        <v>Panthers</v>
      </c>
      <c r="B6" t="str" cm="1">
        <f t="array" ref="B6">_xlfn.XLOOKUP(RIGHT(F6,8),TeamIdentity!C:C,TeamIdentity!A:A,NONE)</f>
        <v>Jets</v>
      </c>
      <c r="C6" t="s">
        <v>54</v>
      </c>
      <c r="D6" t="s">
        <v>54</v>
      </c>
      <c r="E6" t="s">
        <v>54</v>
      </c>
      <c r="F6" t="s">
        <v>522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511</v>
      </c>
      <c r="N6">
        <v>90315</v>
      </c>
      <c r="O6">
        <v>0</v>
      </c>
      <c r="P6">
        <v>90314</v>
      </c>
      <c r="Q6">
        <v>0</v>
      </c>
      <c r="R6" t="s">
        <v>70</v>
      </c>
      <c r="S6">
        <v>0</v>
      </c>
      <c r="T6">
        <v>0</v>
      </c>
      <c r="U6">
        <v>1200</v>
      </c>
      <c r="V6" t="s">
        <v>57</v>
      </c>
      <c r="W6">
        <v>0</v>
      </c>
      <c r="X6">
        <v>0</v>
      </c>
      <c r="Y6">
        <v>0</v>
      </c>
      <c r="Z6">
        <v>0</v>
      </c>
      <c r="AA6" t="s">
        <v>67</v>
      </c>
      <c r="AB6">
        <v>0</v>
      </c>
      <c r="AC6">
        <v>0</v>
      </c>
      <c r="AD6">
        <v>0</v>
      </c>
      <c r="AE6">
        <v>0</v>
      </c>
      <c r="AF6" t="s">
        <v>63</v>
      </c>
      <c r="AG6">
        <v>0</v>
      </c>
      <c r="AH6">
        <v>0</v>
      </c>
      <c r="AI6">
        <v>0</v>
      </c>
      <c r="AJ6">
        <v>0</v>
      </c>
      <c r="AK6" t="b">
        <v>0</v>
      </c>
      <c r="AL6" t="s">
        <v>58</v>
      </c>
      <c r="AM6" t="s">
        <v>58</v>
      </c>
      <c r="AN6" t="s">
        <v>66</v>
      </c>
      <c r="AO6">
        <v>14</v>
      </c>
      <c r="AP6">
        <v>0</v>
      </c>
      <c r="AQ6">
        <v>11</v>
      </c>
      <c r="AR6">
        <v>11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s">
        <v>61</v>
      </c>
      <c r="BA6" t="s">
        <v>57</v>
      </c>
      <c r="BB6" t="s">
        <v>55</v>
      </c>
      <c r="BC6" t="s">
        <v>58</v>
      </c>
      <c r="BD6" t="s">
        <v>58</v>
      </c>
    </row>
    <row r="7" spans="1:56" x14ac:dyDescent="0.25">
      <c r="A7" t="str" cm="1">
        <f t="array" ref="A7">_xlfn.XLOOKUP(RIGHT(M7,8),TeamIdentity!C:C,TeamIdentity!A:A,NONE)</f>
        <v>Jaguars</v>
      </c>
      <c r="B7" t="str" cm="1">
        <f t="array" ref="B7">_xlfn.XLOOKUP(RIGHT(F7,8),TeamIdentity!C:C,TeamIdentity!A:A,NONE)</f>
        <v>Commanders</v>
      </c>
      <c r="C7" t="s">
        <v>54</v>
      </c>
      <c r="D7" t="s">
        <v>54</v>
      </c>
      <c r="E7" t="s">
        <v>54</v>
      </c>
      <c r="F7" t="s">
        <v>521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536</v>
      </c>
      <c r="N7">
        <v>90317</v>
      </c>
      <c r="O7">
        <v>0</v>
      </c>
      <c r="P7">
        <v>90316</v>
      </c>
      <c r="Q7">
        <v>0</v>
      </c>
      <c r="R7" t="s">
        <v>70</v>
      </c>
      <c r="S7">
        <v>0</v>
      </c>
      <c r="T7">
        <v>0</v>
      </c>
      <c r="U7">
        <v>1200</v>
      </c>
      <c r="V7" t="s">
        <v>57</v>
      </c>
      <c r="W7">
        <v>0</v>
      </c>
      <c r="X7">
        <v>0</v>
      </c>
      <c r="Y7">
        <v>0</v>
      </c>
      <c r="Z7">
        <v>0</v>
      </c>
      <c r="AA7" t="s">
        <v>67</v>
      </c>
      <c r="AB7">
        <v>0</v>
      </c>
      <c r="AC7">
        <v>0</v>
      </c>
      <c r="AD7">
        <v>0</v>
      </c>
      <c r="AE7">
        <v>0</v>
      </c>
      <c r="AF7" t="s">
        <v>63</v>
      </c>
      <c r="AG7">
        <v>0</v>
      </c>
      <c r="AH7">
        <v>0</v>
      </c>
      <c r="AI7">
        <v>0</v>
      </c>
      <c r="AJ7">
        <v>0</v>
      </c>
      <c r="AK7" t="b">
        <v>0</v>
      </c>
      <c r="AL7" t="s">
        <v>58</v>
      </c>
      <c r="AM7" t="s">
        <v>58</v>
      </c>
      <c r="AN7" t="s">
        <v>66</v>
      </c>
      <c r="AO7">
        <v>14</v>
      </c>
      <c r="AP7">
        <v>0</v>
      </c>
      <c r="AQ7">
        <v>12</v>
      </c>
      <c r="AR7">
        <v>11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s">
        <v>61</v>
      </c>
      <c r="BA7" t="s">
        <v>57</v>
      </c>
      <c r="BB7" t="s">
        <v>55</v>
      </c>
      <c r="BC7" t="s">
        <v>58</v>
      </c>
      <c r="BD7" t="s">
        <v>58</v>
      </c>
    </row>
    <row r="8" spans="1:56" x14ac:dyDescent="0.25">
      <c r="A8" t="str" cm="1">
        <f t="array" ref="A8">_xlfn.XLOOKUP(RIGHT(M8,8),TeamIdentity!C:C,TeamIdentity!A:A,NONE)</f>
        <v>Dolphins</v>
      </c>
      <c r="B8" t="str" cm="1">
        <f t="array" ref="B8">_xlfn.XLOOKUP(RIGHT(F8,8),TeamIdentity!C:C,TeamIdentity!A:A,NONE)</f>
        <v>49ers</v>
      </c>
      <c r="C8" t="s">
        <v>54</v>
      </c>
      <c r="D8" t="s">
        <v>54</v>
      </c>
      <c r="E8" t="s">
        <v>54</v>
      </c>
      <c r="F8" t="s">
        <v>533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516</v>
      </c>
      <c r="N8">
        <v>90299</v>
      </c>
      <c r="O8">
        <v>0</v>
      </c>
      <c r="P8">
        <v>90298</v>
      </c>
      <c r="Q8">
        <v>0</v>
      </c>
      <c r="R8" t="s">
        <v>70</v>
      </c>
      <c r="S8">
        <v>0</v>
      </c>
      <c r="T8">
        <v>0</v>
      </c>
      <c r="U8">
        <v>1140</v>
      </c>
      <c r="V8" t="s">
        <v>57</v>
      </c>
      <c r="W8">
        <v>0</v>
      </c>
      <c r="X8">
        <v>0</v>
      </c>
      <c r="Y8">
        <v>0</v>
      </c>
      <c r="Z8">
        <v>0</v>
      </c>
      <c r="AA8" t="s">
        <v>67</v>
      </c>
      <c r="AB8">
        <v>0</v>
      </c>
      <c r="AC8">
        <v>0</v>
      </c>
      <c r="AD8">
        <v>0</v>
      </c>
      <c r="AE8">
        <v>0</v>
      </c>
      <c r="AF8" t="s">
        <v>69</v>
      </c>
      <c r="AG8">
        <v>0</v>
      </c>
      <c r="AH8">
        <v>0</v>
      </c>
      <c r="AI8">
        <v>0</v>
      </c>
      <c r="AJ8">
        <v>0</v>
      </c>
      <c r="AK8" t="b">
        <v>0</v>
      </c>
      <c r="AL8" t="s">
        <v>58</v>
      </c>
      <c r="AM8" t="s">
        <v>58</v>
      </c>
      <c r="AN8" t="s">
        <v>66</v>
      </c>
      <c r="AO8">
        <v>14</v>
      </c>
      <c r="AP8">
        <v>0</v>
      </c>
      <c r="AQ8">
        <v>3</v>
      </c>
      <c r="AR8">
        <v>11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s">
        <v>61</v>
      </c>
      <c r="BA8" t="s">
        <v>57</v>
      </c>
      <c r="BB8" t="s">
        <v>55</v>
      </c>
      <c r="BC8" t="s">
        <v>58</v>
      </c>
      <c r="BD8" t="s">
        <v>58</v>
      </c>
    </row>
    <row r="9" spans="1:56" x14ac:dyDescent="0.25">
      <c r="A9" t="str" cm="1">
        <f t="array" ref="A9">_xlfn.XLOOKUP(RIGHT(M9,8),TeamIdentity!C:C,TeamIdentity!A:A,NONE)</f>
        <v>Lions</v>
      </c>
      <c r="B9" t="str" cm="1">
        <f t="array" ref="B9">_xlfn.XLOOKUP(RIGHT(F9,8),TeamIdentity!C:C,TeamIdentity!A:A,NONE)</f>
        <v>Jaguars</v>
      </c>
      <c r="C9" t="s">
        <v>54</v>
      </c>
      <c r="D9" t="s">
        <v>54</v>
      </c>
      <c r="E9" t="s">
        <v>54</v>
      </c>
      <c r="F9" t="s">
        <v>536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513</v>
      </c>
      <c r="N9">
        <v>-1</v>
      </c>
      <c r="O9">
        <v>0</v>
      </c>
      <c r="P9">
        <v>-1</v>
      </c>
      <c r="Q9">
        <v>0</v>
      </c>
      <c r="R9" t="s">
        <v>70</v>
      </c>
      <c r="S9">
        <v>0</v>
      </c>
      <c r="T9">
        <v>0</v>
      </c>
      <c r="U9">
        <v>1200</v>
      </c>
      <c r="V9" t="s">
        <v>57</v>
      </c>
      <c r="W9">
        <v>0</v>
      </c>
      <c r="X9">
        <v>0</v>
      </c>
      <c r="Y9">
        <v>0</v>
      </c>
      <c r="Z9">
        <v>0</v>
      </c>
      <c r="AA9" t="s">
        <v>67</v>
      </c>
      <c r="AB9">
        <v>0</v>
      </c>
      <c r="AC9">
        <v>0</v>
      </c>
      <c r="AD9">
        <v>0</v>
      </c>
      <c r="AE9">
        <v>0</v>
      </c>
      <c r="AF9" t="s">
        <v>69</v>
      </c>
      <c r="AG9">
        <v>0</v>
      </c>
      <c r="AH9">
        <v>0</v>
      </c>
      <c r="AI9">
        <v>0</v>
      </c>
      <c r="AJ9">
        <v>0</v>
      </c>
      <c r="AK9" t="b">
        <v>0</v>
      </c>
      <c r="AL9" t="s">
        <v>58</v>
      </c>
      <c r="AM9" t="s">
        <v>58</v>
      </c>
      <c r="AN9" t="s">
        <v>66</v>
      </c>
      <c r="AO9">
        <v>14</v>
      </c>
      <c r="AP9">
        <v>1</v>
      </c>
      <c r="AQ9">
        <v>9</v>
      </c>
      <c r="AR9">
        <v>11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s">
        <v>61</v>
      </c>
      <c r="BA9" t="s">
        <v>57</v>
      </c>
      <c r="BB9" t="s">
        <v>55</v>
      </c>
      <c r="BC9" t="s">
        <v>58</v>
      </c>
      <c r="BD9" t="s">
        <v>58</v>
      </c>
    </row>
    <row r="10" spans="1:56" x14ac:dyDescent="0.25">
      <c r="A10" t="str" cm="1">
        <f t="array" ref="A10">_xlfn.XLOOKUP(RIGHT(M10,8),TeamIdentity!C:C,TeamIdentity!A:A,NONE)</f>
        <v>Eagles</v>
      </c>
      <c r="B10" t="str" cm="1">
        <f t="array" ref="B10">_xlfn.XLOOKUP(RIGHT(F10,8),TeamIdentity!C:C,TeamIdentity!A:A,NONE)</f>
        <v>Ravens</v>
      </c>
      <c r="C10" t="s">
        <v>54</v>
      </c>
      <c r="D10" t="s">
        <v>54</v>
      </c>
      <c r="E10" t="s">
        <v>54</v>
      </c>
      <c r="F10" t="s">
        <v>520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519</v>
      </c>
      <c r="N10">
        <v>90309</v>
      </c>
      <c r="O10">
        <v>0</v>
      </c>
      <c r="P10">
        <v>90308</v>
      </c>
      <c r="Q10">
        <v>0</v>
      </c>
      <c r="R10" t="s">
        <v>70</v>
      </c>
      <c r="S10">
        <v>0</v>
      </c>
      <c r="T10">
        <v>0</v>
      </c>
      <c r="U10">
        <v>1140</v>
      </c>
      <c r="V10" t="s">
        <v>57</v>
      </c>
      <c r="W10">
        <v>0</v>
      </c>
      <c r="X10">
        <v>0</v>
      </c>
      <c r="Y10">
        <v>0</v>
      </c>
      <c r="Z10">
        <v>0</v>
      </c>
      <c r="AA10" t="s">
        <v>67</v>
      </c>
      <c r="AB10">
        <v>0</v>
      </c>
      <c r="AC10">
        <v>0</v>
      </c>
      <c r="AD10">
        <v>0</v>
      </c>
      <c r="AE10">
        <v>0</v>
      </c>
      <c r="AF10" t="s">
        <v>63</v>
      </c>
      <c r="AG10">
        <v>0</v>
      </c>
      <c r="AH10">
        <v>0</v>
      </c>
      <c r="AI10">
        <v>0</v>
      </c>
      <c r="AJ10">
        <v>0</v>
      </c>
      <c r="AK10" t="b">
        <v>0</v>
      </c>
      <c r="AL10" t="s">
        <v>58</v>
      </c>
      <c r="AM10" t="s">
        <v>58</v>
      </c>
      <c r="AN10" t="s">
        <v>66</v>
      </c>
      <c r="AO10">
        <v>14</v>
      </c>
      <c r="AP10">
        <v>0</v>
      </c>
      <c r="AQ10">
        <v>7</v>
      </c>
      <c r="AR10">
        <v>11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s">
        <v>61</v>
      </c>
      <c r="BA10" t="s">
        <v>57</v>
      </c>
      <c r="BB10" t="s">
        <v>55</v>
      </c>
      <c r="BC10" t="s">
        <v>58</v>
      </c>
      <c r="BD10" t="s">
        <v>58</v>
      </c>
    </row>
    <row r="11" spans="1:56" x14ac:dyDescent="0.25">
      <c r="A11" t="str" cm="1">
        <f t="array" ref="A11">_xlfn.XLOOKUP(RIGHT(M11,8),TeamIdentity!C:C,TeamIdentity!A:A,NONE)</f>
        <v>Cardinals</v>
      </c>
      <c r="B11" t="str" cm="1">
        <f t="array" ref="B11">_xlfn.XLOOKUP(RIGHT(F11,8),TeamIdentity!C:C,TeamIdentity!A:A,NONE)</f>
        <v>Colts</v>
      </c>
      <c r="C11" t="s">
        <v>54</v>
      </c>
      <c r="D11" t="s">
        <v>54</v>
      </c>
      <c r="E11" t="s">
        <v>54</v>
      </c>
      <c r="F11" t="s">
        <v>540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538</v>
      </c>
      <c r="N11">
        <v>90307</v>
      </c>
      <c r="O11">
        <v>0</v>
      </c>
      <c r="P11">
        <v>90306</v>
      </c>
      <c r="Q11">
        <v>0</v>
      </c>
      <c r="R11" t="s">
        <v>70</v>
      </c>
      <c r="S11">
        <v>0</v>
      </c>
      <c r="T11">
        <v>0</v>
      </c>
      <c r="U11">
        <v>1320</v>
      </c>
      <c r="V11" t="s">
        <v>57</v>
      </c>
      <c r="W11">
        <v>0</v>
      </c>
      <c r="X11">
        <v>0</v>
      </c>
      <c r="Y11">
        <v>0</v>
      </c>
      <c r="Z11">
        <v>0</v>
      </c>
      <c r="AA11" t="s">
        <v>67</v>
      </c>
      <c r="AB11">
        <v>0</v>
      </c>
      <c r="AC11">
        <v>0</v>
      </c>
      <c r="AD11">
        <v>0</v>
      </c>
      <c r="AE11">
        <v>0</v>
      </c>
      <c r="AF11" t="s">
        <v>69</v>
      </c>
      <c r="AG11">
        <v>0</v>
      </c>
      <c r="AH11">
        <v>0</v>
      </c>
      <c r="AI11">
        <v>0</v>
      </c>
      <c r="AJ11">
        <v>0</v>
      </c>
      <c r="AK11" t="b">
        <v>0</v>
      </c>
      <c r="AL11" t="s">
        <v>58</v>
      </c>
      <c r="AM11" t="s">
        <v>58</v>
      </c>
      <c r="AN11" t="s">
        <v>66</v>
      </c>
      <c r="AO11">
        <v>14</v>
      </c>
      <c r="AP11">
        <v>0</v>
      </c>
      <c r="AQ11">
        <v>5</v>
      </c>
      <c r="AR11">
        <v>11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s">
        <v>61</v>
      </c>
      <c r="BA11" t="s">
        <v>57</v>
      </c>
      <c r="BB11" t="s">
        <v>55</v>
      </c>
      <c r="BC11" t="s">
        <v>58</v>
      </c>
      <c r="BD11" t="s">
        <v>58</v>
      </c>
    </row>
    <row r="12" spans="1:56" x14ac:dyDescent="0.25">
      <c r="A12" t="str" cm="1">
        <f t="array" ref="A12">_xlfn.XLOOKUP(RIGHT(M12,8),TeamIdentity!C:C,TeamIdentity!A:A,NONE)</f>
        <v>Patriots</v>
      </c>
      <c r="B12" t="str" cm="1">
        <f t="array" ref="B12">_xlfn.XLOOKUP(RIGHT(F12,8),TeamIdentity!C:C,TeamIdentity!A:A,NONE)</f>
        <v>Packers</v>
      </c>
      <c r="C12" t="s">
        <v>54</v>
      </c>
      <c r="D12" t="s">
        <v>54</v>
      </c>
      <c r="E12" t="s">
        <v>54</v>
      </c>
      <c r="F12" t="s">
        <v>529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512</v>
      </c>
      <c r="N12">
        <v>90303</v>
      </c>
      <c r="O12">
        <v>0</v>
      </c>
      <c r="P12">
        <v>90302</v>
      </c>
      <c r="Q12">
        <v>0</v>
      </c>
      <c r="R12" t="s">
        <v>70</v>
      </c>
      <c r="S12">
        <v>0</v>
      </c>
      <c r="T12">
        <v>0</v>
      </c>
      <c r="U12">
        <v>1200</v>
      </c>
      <c r="V12" t="s">
        <v>57</v>
      </c>
      <c r="W12">
        <v>0</v>
      </c>
      <c r="X12">
        <v>0</v>
      </c>
      <c r="Y12">
        <v>0</v>
      </c>
      <c r="Z12">
        <v>0</v>
      </c>
      <c r="AA12" t="s">
        <v>67</v>
      </c>
      <c r="AB12">
        <v>0</v>
      </c>
      <c r="AC12">
        <v>0</v>
      </c>
      <c r="AD12">
        <v>0</v>
      </c>
      <c r="AE12">
        <v>0</v>
      </c>
      <c r="AF12" t="s">
        <v>69</v>
      </c>
      <c r="AG12">
        <v>0</v>
      </c>
      <c r="AH12">
        <v>0</v>
      </c>
      <c r="AI12">
        <v>0</v>
      </c>
      <c r="AJ12">
        <v>0</v>
      </c>
      <c r="AK12" t="b">
        <v>0</v>
      </c>
      <c r="AL12" t="s">
        <v>58</v>
      </c>
      <c r="AM12" t="s">
        <v>58</v>
      </c>
      <c r="AN12" t="s">
        <v>66</v>
      </c>
      <c r="AO12">
        <v>14</v>
      </c>
      <c r="AP12">
        <v>0</v>
      </c>
      <c r="AQ12">
        <v>4</v>
      </c>
      <c r="AR12">
        <v>11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s">
        <v>61</v>
      </c>
      <c r="BA12" t="s">
        <v>57</v>
      </c>
      <c r="BB12" t="s">
        <v>55</v>
      </c>
      <c r="BC12" t="s">
        <v>58</v>
      </c>
      <c r="BD12" t="s">
        <v>58</v>
      </c>
    </row>
    <row r="13" spans="1:56" x14ac:dyDescent="0.25">
      <c r="A13" t="str" cm="1">
        <f t="array" ref="A13">_xlfn.XLOOKUP(RIGHT(M13,8),TeamIdentity!C:C,TeamIdentity!A:A,NONE)</f>
        <v>Steelers</v>
      </c>
      <c r="B13" t="str" cm="1">
        <f t="array" ref="B13">_xlfn.XLOOKUP(RIGHT(F13,8),TeamIdentity!C:C,TeamIdentity!A:A,NONE)</f>
        <v>Giants</v>
      </c>
      <c r="C13" t="s">
        <v>54</v>
      </c>
      <c r="D13" t="s">
        <v>54</v>
      </c>
      <c r="E13" t="s">
        <v>54</v>
      </c>
      <c r="F13" t="s">
        <v>514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518</v>
      </c>
      <c r="N13">
        <v>90311</v>
      </c>
      <c r="O13">
        <v>0</v>
      </c>
      <c r="P13">
        <v>90310</v>
      </c>
      <c r="Q13">
        <v>0</v>
      </c>
      <c r="R13" t="s">
        <v>70</v>
      </c>
      <c r="S13">
        <v>0</v>
      </c>
      <c r="T13">
        <v>0</v>
      </c>
      <c r="U13">
        <v>1140</v>
      </c>
      <c r="V13" t="s">
        <v>57</v>
      </c>
      <c r="W13">
        <v>0</v>
      </c>
      <c r="X13">
        <v>0</v>
      </c>
      <c r="Y13">
        <v>0</v>
      </c>
      <c r="Z13">
        <v>0</v>
      </c>
      <c r="AA13" t="s">
        <v>67</v>
      </c>
      <c r="AB13">
        <v>0</v>
      </c>
      <c r="AC13">
        <v>0</v>
      </c>
      <c r="AD13">
        <v>0</v>
      </c>
      <c r="AE13">
        <v>0</v>
      </c>
      <c r="AF13" t="s">
        <v>63</v>
      </c>
      <c r="AG13">
        <v>0</v>
      </c>
      <c r="AH13">
        <v>0</v>
      </c>
      <c r="AI13">
        <v>0</v>
      </c>
      <c r="AJ13">
        <v>0</v>
      </c>
      <c r="AK13" t="b">
        <v>0</v>
      </c>
      <c r="AL13" t="s">
        <v>58</v>
      </c>
      <c r="AM13" t="s">
        <v>58</v>
      </c>
      <c r="AN13" t="s">
        <v>66</v>
      </c>
      <c r="AO13">
        <v>14</v>
      </c>
      <c r="AP13">
        <v>0</v>
      </c>
      <c r="AQ13">
        <v>8</v>
      </c>
      <c r="AR13">
        <v>11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s">
        <v>61</v>
      </c>
      <c r="BA13" t="s">
        <v>57</v>
      </c>
      <c r="BB13" t="s">
        <v>55</v>
      </c>
      <c r="BC13" t="s">
        <v>58</v>
      </c>
      <c r="BD13" t="s">
        <v>58</v>
      </c>
    </row>
    <row r="14" spans="1:56" x14ac:dyDescent="0.25">
      <c r="A14" t="str" cm="1">
        <f t="array" ref="A14">_xlfn.XLOOKUP(RIGHT(M14,8),TeamIdentity!C:C,TeamIdentity!A:A,NONE)</f>
        <v>49ers</v>
      </c>
      <c r="B14" t="str" cm="1">
        <f t="array" ref="B14">_xlfn.XLOOKUP(RIGHT(F14,8),TeamIdentity!C:C,TeamIdentity!A:A,NONE)</f>
        <v>49ers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>
        <v>-1</v>
      </c>
      <c r="O14">
        <v>0</v>
      </c>
      <c r="P14">
        <v>-1</v>
      </c>
      <c r="Q14">
        <v>0</v>
      </c>
      <c r="R14" t="s">
        <v>58</v>
      </c>
      <c r="S14">
        <v>0</v>
      </c>
      <c r="T14">
        <v>0</v>
      </c>
      <c r="U14">
        <v>2047</v>
      </c>
      <c r="V14" t="s">
        <v>57</v>
      </c>
      <c r="W14">
        <v>0</v>
      </c>
      <c r="X14">
        <v>0</v>
      </c>
      <c r="Y14">
        <v>0</v>
      </c>
      <c r="Z14">
        <v>0</v>
      </c>
      <c r="AA14" t="s">
        <v>67</v>
      </c>
      <c r="AB14">
        <v>0</v>
      </c>
      <c r="AC14">
        <v>0</v>
      </c>
      <c r="AD14">
        <v>0</v>
      </c>
      <c r="AE14">
        <v>0</v>
      </c>
      <c r="AF14" t="s">
        <v>60</v>
      </c>
      <c r="AG14">
        <v>0</v>
      </c>
      <c r="AH14">
        <v>0</v>
      </c>
      <c r="AI14">
        <v>0</v>
      </c>
      <c r="AJ14">
        <v>0</v>
      </c>
      <c r="AK14" t="b">
        <v>0</v>
      </c>
      <c r="AL14" t="s">
        <v>58</v>
      </c>
      <c r="AM14" t="s">
        <v>58</v>
      </c>
      <c r="AN14" t="s">
        <v>66</v>
      </c>
      <c r="AO14">
        <v>14</v>
      </c>
      <c r="AP14">
        <v>0</v>
      </c>
      <c r="AQ14">
        <v>31</v>
      </c>
      <c r="AR14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1</v>
      </c>
      <c r="AY14" t="b">
        <v>0</v>
      </c>
      <c r="AZ14" t="s">
        <v>61</v>
      </c>
      <c r="BA14" t="s">
        <v>57</v>
      </c>
      <c r="BB14" t="s">
        <v>55</v>
      </c>
      <c r="BC14" t="s">
        <v>58</v>
      </c>
      <c r="BD14" t="s">
        <v>58</v>
      </c>
    </row>
    <row r="15" spans="1:56" x14ac:dyDescent="0.25">
      <c r="A15" t="str" cm="1">
        <f t="array" ref="A15">_xlfn.XLOOKUP(RIGHT(M15,8),TeamIdentity!C:C,TeamIdentity!A:A,NONE)</f>
        <v>Rams</v>
      </c>
      <c r="B15" t="str" cm="1">
        <f t="array" ref="B15">_xlfn.XLOOKUP(RIGHT(F15,8),TeamIdentity!C:C,TeamIdentity!A:A,NONE)</f>
        <v>Broncos</v>
      </c>
      <c r="C15" t="s">
        <v>54</v>
      </c>
      <c r="D15" t="s">
        <v>54</v>
      </c>
      <c r="E15" t="s">
        <v>54</v>
      </c>
      <c r="F15" t="s">
        <v>539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542</v>
      </c>
      <c r="N15">
        <v>90305</v>
      </c>
      <c r="O15">
        <v>0</v>
      </c>
      <c r="P15">
        <v>90304</v>
      </c>
      <c r="Q15">
        <v>0</v>
      </c>
      <c r="R15" t="s">
        <v>70</v>
      </c>
      <c r="S15">
        <v>0</v>
      </c>
      <c r="T15">
        <v>0</v>
      </c>
      <c r="U15">
        <v>1320</v>
      </c>
      <c r="V15" t="s">
        <v>57</v>
      </c>
      <c r="W15">
        <v>0</v>
      </c>
      <c r="X15">
        <v>0</v>
      </c>
      <c r="Y15">
        <v>0</v>
      </c>
      <c r="Z15">
        <v>0</v>
      </c>
      <c r="AA15" t="s">
        <v>67</v>
      </c>
      <c r="AB15">
        <v>0</v>
      </c>
      <c r="AC15">
        <v>0</v>
      </c>
      <c r="AD15">
        <v>0</v>
      </c>
      <c r="AE15">
        <v>0</v>
      </c>
      <c r="AF15" t="s">
        <v>69</v>
      </c>
      <c r="AG15">
        <v>0</v>
      </c>
      <c r="AH15">
        <v>0</v>
      </c>
      <c r="AI15">
        <v>0</v>
      </c>
      <c r="AJ15">
        <v>0</v>
      </c>
      <c r="AK15" t="b">
        <v>0</v>
      </c>
      <c r="AL15" t="s">
        <v>58</v>
      </c>
      <c r="AM15" t="s">
        <v>58</v>
      </c>
      <c r="AN15" t="s">
        <v>66</v>
      </c>
      <c r="AO15">
        <v>14</v>
      </c>
      <c r="AP15">
        <v>0</v>
      </c>
      <c r="AQ15">
        <v>6</v>
      </c>
      <c r="AR15">
        <v>11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s">
        <v>61</v>
      </c>
      <c r="BA15" t="s">
        <v>57</v>
      </c>
      <c r="BB15" t="s">
        <v>55</v>
      </c>
      <c r="BC15" t="s">
        <v>58</v>
      </c>
      <c r="BD15" t="s">
        <v>58</v>
      </c>
    </row>
    <row r="16" spans="1:56" x14ac:dyDescent="0.25">
      <c r="A16" t="str" cm="1">
        <f t="array" ref="A16">_xlfn.XLOOKUP(RIGHT(M16,8),TeamIdentity!C:C,TeamIdentity!A:A,NONE)</f>
        <v>Steelers</v>
      </c>
      <c r="B16" t="str" cm="1">
        <f t="array" ref="B16">_xlfn.XLOOKUP(RIGHT(F16,8),TeamIdentity!C:C,TeamIdentity!A:A,NONE)</f>
        <v>Rams</v>
      </c>
      <c r="C16" t="s">
        <v>54</v>
      </c>
      <c r="D16" t="s">
        <v>54</v>
      </c>
      <c r="E16" t="s">
        <v>54</v>
      </c>
      <c r="F16" t="s">
        <v>542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518</v>
      </c>
      <c r="N16">
        <v>-1</v>
      </c>
      <c r="O16">
        <v>0</v>
      </c>
      <c r="P16">
        <v>-1</v>
      </c>
      <c r="Q16">
        <v>0</v>
      </c>
      <c r="R16" t="s">
        <v>70</v>
      </c>
      <c r="S16">
        <v>0</v>
      </c>
      <c r="T16">
        <v>0</v>
      </c>
      <c r="U16">
        <v>1380</v>
      </c>
      <c r="V16" t="s">
        <v>57</v>
      </c>
      <c r="W16">
        <v>0</v>
      </c>
      <c r="X16">
        <v>0</v>
      </c>
      <c r="Y16">
        <v>0</v>
      </c>
      <c r="Z16">
        <v>0</v>
      </c>
      <c r="AA16" t="s">
        <v>67</v>
      </c>
      <c r="AB16">
        <v>0</v>
      </c>
      <c r="AC16">
        <v>0</v>
      </c>
      <c r="AD16">
        <v>0</v>
      </c>
      <c r="AE16">
        <v>0</v>
      </c>
      <c r="AF16" t="s">
        <v>63</v>
      </c>
      <c r="AG16">
        <v>0</v>
      </c>
      <c r="AH16">
        <v>0</v>
      </c>
      <c r="AI16">
        <v>0</v>
      </c>
      <c r="AJ16">
        <v>0</v>
      </c>
      <c r="AK16" t="b">
        <v>0</v>
      </c>
      <c r="AL16" t="s">
        <v>58</v>
      </c>
      <c r="AM16" t="s">
        <v>58</v>
      </c>
      <c r="AN16" t="s">
        <v>66</v>
      </c>
      <c r="AO16">
        <v>14</v>
      </c>
      <c r="AP16">
        <v>2</v>
      </c>
      <c r="AQ16">
        <v>14</v>
      </c>
      <c r="AR16">
        <v>11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s">
        <v>61</v>
      </c>
      <c r="BA16" t="s">
        <v>57</v>
      </c>
      <c r="BB16" t="s">
        <v>55</v>
      </c>
      <c r="BC16" t="s">
        <v>58</v>
      </c>
      <c r="BD16" t="s">
        <v>58</v>
      </c>
    </row>
    <row r="17" spans="1:56" x14ac:dyDescent="0.25">
      <c r="A17" t="str" cm="1">
        <f t="array" ref="A17">_xlfn.XLOOKUP(RIGHT(M17,8),TeamIdentity!C:C,TeamIdentity!A:A,NONE)</f>
        <v>Texans</v>
      </c>
      <c r="B17" t="str" cm="1">
        <f t="array" ref="B17">_xlfn.XLOOKUP(RIGHT(F17,8),TeamIdentity!C:C,TeamIdentity!A:A,NONE)</f>
        <v>Giants</v>
      </c>
      <c r="C17" t="s">
        <v>54</v>
      </c>
      <c r="D17" t="s">
        <v>54</v>
      </c>
      <c r="E17" t="s">
        <v>54</v>
      </c>
      <c r="F17" t="s">
        <v>514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517</v>
      </c>
      <c r="N17">
        <v>-1</v>
      </c>
      <c r="O17">
        <v>0</v>
      </c>
      <c r="P17">
        <v>-1</v>
      </c>
      <c r="Q17">
        <v>0</v>
      </c>
      <c r="R17" t="s">
        <v>70</v>
      </c>
      <c r="S17">
        <v>0</v>
      </c>
      <c r="T17">
        <v>0</v>
      </c>
      <c r="U17">
        <v>1200</v>
      </c>
      <c r="V17" t="s">
        <v>57</v>
      </c>
      <c r="W17">
        <v>0</v>
      </c>
      <c r="X17">
        <v>0</v>
      </c>
      <c r="Y17">
        <v>0</v>
      </c>
      <c r="Z17">
        <v>0</v>
      </c>
      <c r="AA17" t="s">
        <v>67</v>
      </c>
      <c r="AB17">
        <v>0</v>
      </c>
      <c r="AC17">
        <v>0</v>
      </c>
      <c r="AD17">
        <v>0</v>
      </c>
      <c r="AE17">
        <v>0</v>
      </c>
      <c r="AF17" t="s">
        <v>60</v>
      </c>
      <c r="AG17">
        <v>0</v>
      </c>
      <c r="AH17">
        <v>0</v>
      </c>
      <c r="AI17">
        <v>0</v>
      </c>
      <c r="AJ17">
        <v>0</v>
      </c>
      <c r="AK17" t="b">
        <v>0</v>
      </c>
      <c r="AL17" t="s">
        <v>58</v>
      </c>
      <c r="AM17" t="s">
        <v>58</v>
      </c>
      <c r="AN17" t="s">
        <v>66</v>
      </c>
      <c r="AO17">
        <v>14</v>
      </c>
      <c r="AP17">
        <v>2</v>
      </c>
      <c r="AQ17">
        <v>0</v>
      </c>
      <c r="AR17">
        <v>11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s">
        <v>61</v>
      </c>
      <c r="BA17" t="s">
        <v>57</v>
      </c>
      <c r="BB17" t="s">
        <v>55</v>
      </c>
      <c r="BC17" t="s">
        <v>58</v>
      </c>
      <c r="BD17" t="s">
        <v>58</v>
      </c>
    </row>
    <row r="18" spans="1:56" x14ac:dyDescent="0.25">
      <c r="A18" t="str" cm="1">
        <f t="array" ref="A18">_xlfn.XLOOKUP(RIGHT(M18,8),TeamIdentity!C:C,TeamIdentity!A:A,NONE)</f>
        <v>Giants</v>
      </c>
      <c r="B18" t="str" cm="1">
        <f t="array" ref="B18">_xlfn.XLOOKUP(RIGHT(F18,8),TeamIdentity!C:C,TeamIdentity!A:A,NONE)</f>
        <v>Broncos</v>
      </c>
      <c r="C18" t="s">
        <v>54</v>
      </c>
      <c r="D18" t="s">
        <v>54</v>
      </c>
      <c r="E18" t="s">
        <v>54</v>
      </c>
      <c r="F18" t="s">
        <v>539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514</v>
      </c>
      <c r="N18">
        <v>-1</v>
      </c>
      <c r="O18">
        <v>0</v>
      </c>
      <c r="P18">
        <v>-1</v>
      </c>
      <c r="Q18">
        <v>0</v>
      </c>
      <c r="R18" t="s">
        <v>70</v>
      </c>
      <c r="S18">
        <v>0</v>
      </c>
      <c r="T18">
        <v>0</v>
      </c>
      <c r="U18">
        <v>1140</v>
      </c>
      <c r="V18" t="s">
        <v>57</v>
      </c>
      <c r="W18">
        <v>0</v>
      </c>
      <c r="X18">
        <v>0</v>
      </c>
      <c r="Y18">
        <v>0</v>
      </c>
      <c r="Z18">
        <v>0</v>
      </c>
      <c r="AA18" t="s">
        <v>67</v>
      </c>
      <c r="AB18">
        <v>0</v>
      </c>
      <c r="AC18">
        <v>0</v>
      </c>
      <c r="AD18">
        <v>0</v>
      </c>
      <c r="AE18">
        <v>0</v>
      </c>
      <c r="AF18" t="s">
        <v>68</v>
      </c>
      <c r="AG18">
        <v>0</v>
      </c>
      <c r="AH18">
        <v>0</v>
      </c>
      <c r="AI18">
        <v>0</v>
      </c>
      <c r="AJ18">
        <v>0</v>
      </c>
      <c r="AK18" t="b">
        <v>0</v>
      </c>
      <c r="AL18" t="s">
        <v>58</v>
      </c>
      <c r="AM18" t="s">
        <v>58</v>
      </c>
      <c r="AN18" t="s">
        <v>66</v>
      </c>
      <c r="AO18">
        <v>14</v>
      </c>
      <c r="AP18">
        <v>1</v>
      </c>
      <c r="AQ18">
        <v>4</v>
      </c>
      <c r="AR18">
        <v>11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s">
        <v>61</v>
      </c>
      <c r="BA18" t="s">
        <v>57</v>
      </c>
      <c r="BB18" t="s">
        <v>55</v>
      </c>
      <c r="BC18" t="s">
        <v>58</v>
      </c>
      <c r="BD18" t="s">
        <v>58</v>
      </c>
    </row>
    <row r="19" spans="1:56" x14ac:dyDescent="0.25">
      <c r="A19" t="str" cm="1">
        <f t="array" ref="A19">_xlfn.XLOOKUP(RIGHT(M19,8),TeamIdentity!C:C,TeamIdentity!A:A,NONE)</f>
        <v>Bengals</v>
      </c>
      <c r="B19" t="str" cm="1">
        <f t="array" ref="B19">_xlfn.XLOOKUP(RIGHT(F19,8),TeamIdentity!C:C,TeamIdentity!A:A,NONE)</f>
        <v>Vikings</v>
      </c>
      <c r="C19" t="s">
        <v>54</v>
      </c>
      <c r="D19" t="s">
        <v>54</v>
      </c>
      <c r="E19" t="s">
        <v>54</v>
      </c>
      <c r="F19" t="s">
        <v>526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532</v>
      </c>
      <c r="N19">
        <v>-1</v>
      </c>
      <c r="O19">
        <v>0</v>
      </c>
      <c r="P19">
        <v>-1</v>
      </c>
      <c r="Q19">
        <v>0</v>
      </c>
      <c r="R19" t="s">
        <v>70</v>
      </c>
      <c r="S19">
        <v>0</v>
      </c>
      <c r="T19">
        <v>0</v>
      </c>
      <c r="U19">
        <v>1260</v>
      </c>
      <c r="V19" t="s">
        <v>57</v>
      </c>
      <c r="W19">
        <v>0</v>
      </c>
      <c r="X19">
        <v>0</v>
      </c>
      <c r="Y19">
        <v>0</v>
      </c>
      <c r="Z19">
        <v>0</v>
      </c>
      <c r="AA19" t="s">
        <v>67</v>
      </c>
      <c r="AB19">
        <v>0</v>
      </c>
      <c r="AC19">
        <v>0</v>
      </c>
      <c r="AD19">
        <v>0</v>
      </c>
      <c r="AE19">
        <v>0</v>
      </c>
      <c r="AF19" t="s">
        <v>65</v>
      </c>
      <c r="AG19">
        <v>0</v>
      </c>
      <c r="AH19">
        <v>0</v>
      </c>
      <c r="AI19">
        <v>0</v>
      </c>
      <c r="AJ19">
        <v>0</v>
      </c>
      <c r="AK19" t="b">
        <v>0</v>
      </c>
      <c r="AL19" t="s">
        <v>58</v>
      </c>
      <c r="AM19" t="s">
        <v>58</v>
      </c>
      <c r="AN19" t="s">
        <v>66</v>
      </c>
      <c r="AO19">
        <v>14</v>
      </c>
      <c r="AP19">
        <v>1</v>
      </c>
      <c r="AQ19">
        <v>3</v>
      </c>
      <c r="AR19">
        <v>11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s">
        <v>61</v>
      </c>
      <c r="BA19" t="s">
        <v>57</v>
      </c>
      <c r="BB19" t="s">
        <v>55</v>
      </c>
      <c r="BC19" t="s">
        <v>58</v>
      </c>
      <c r="BD19" t="s">
        <v>58</v>
      </c>
    </row>
    <row r="20" spans="1:56" x14ac:dyDescent="0.25">
      <c r="A20" t="str" cm="1">
        <f t="array" ref="A20">_xlfn.XLOOKUP(RIGHT(M20,8),TeamIdentity!C:C,TeamIdentity!A:A,NONE)</f>
        <v>Raiders</v>
      </c>
      <c r="B20" t="str" cm="1">
        <f t="array" ref="B20">_xlfn.XLOOKUP(RIGHT(F20,8),TeamIdentity!C:C,TeamIdentity!A:A,NONE)</f>
        <v>Packers</v>
      </c>
      <c r="C20" t="s">
        <v>54</v>
      </c>
      <c r="D20" t="s">
        <v>54</v>
      </c>
      <c r="E20" t="s">
        <v>54</v>
      </c>
      <c r="F20" t="s">
        <v>529</v>
      </c>
      <c r="G20" t="s">
        <v>54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525</v>
      </c>
      <c r="N20">
        <v>-1</v>
      </c>
      <c r="O20">
        <v>0</v>
      </c>
      <c r="P20">
        <v>-1</v>
      </c>
      <c r="Q20">
        <v>0</v>
      </c>
      <c r="R20" t="s">
        <v>70</v>
      </c>
      <c r="S20">
        <v>0</v>
      </c>
      <c r="T20">
        <v>0</v>
      </c>
      <c r="U20">
        <v>1260</v>
      </c>
      <c r="V20" t="s">
        <v>57</v>
      </c>
      <c r="W20">
        <v>0</v>
      </c>
      <c r="X20">
        <v>0</v>
      </c>
      <c r="Y20">
        <v>0</v>
      </c>
      <c r="Z20">
        <v>0</v>
      </c>
      <c r="AA20" t="s">
        <v>67</v>
      </c>
      <c r="AB20">
        <v>0</v>
      </c>
      <c r="AC20">
        <v>0</v>
      </c>
      <c r="AD20">
        <v>0</v>
      </c>
      <c r="AE20">
        <v>0</v>
      </c>
      <c r="AF20" t="s">
        <v>68</v>
      </c>
      <c r="AG20">
        <v>0</v>
      </c>
      <c r="AH20">
        <v>0</v>
      </c>
      <c r="AI20">
        <v>0</v>
      </c>
      <c r="AJ20">
        <v>0</v>
      </c>
      <c r="AK20" t="b">
        <v>0</v>
      </c>
      <c r="AL20" t="s">
        <v>58</v>
      </c>
      <c r="AM20" t="s">
        <v>58</v>
      </c>
      <c r="AN20" t="s">
        <v>66</v>
      </c>
      <c r="AO20">
        <v>14</v>
      </c>
      <c r="AP20">
        <v>1</v>
      </c>
      <c r="AQ20">
        <v>7</v>
      </c>
      <c r="AR20">
        <v>11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s">
        <v>61</v>
      </c>
      <c r="BA20" t="s">
        <v>57</v>
      </c>
      <c r="BB20" t="s">
        <v>55</v>
      </c>
      <c r="BC20" t="s">
        <v>58</v>
      </c>
      <c r="BD20" t="s">
        <v>58</v>
      </c>
    </row>
    <row r="21" spans="1:56" x14ac:dyDescent="0.25">
      <c r="A21" t="str" cm="1">
        <f t="array" ref="A21">_xlfn.XLOOKUP(RIGHT(M21,8),TeamIdentity!C:C,TeamIdentity!A:A,NONE)</f>
        <v>Lions</v>
      </c>
      <c r="B21" t="str" cm="1">
        <f t="array" ref="B21">_xlfn.XLOOKUP(RIGHT(F21,8),TeamIdentity!C:C,TeamIdentity!A:A,NONE)</f>
        <v>Chargers</v>
      </c>
      <c r="C21" t="s">
        <v>54</v>
      </c>
      <c r="D21" t="s">
        <v>54</v>
      </c>
      <c r="E21" t="s">
        <v>54</v>
      </c>
      <c r="F21" t="s">
        <v>528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513</v>
      </c>
      <c r="N21">
        <v>90313</v>
      </c>
      <c r="O21">
        <v>0</v>
      </c>
      <c r="P21">
        <v>90312</v>
      </c>
      <c r="Q21">
        <v>0</v>
      </c>
      <c r="R21" t="s">
        <v>70</v>
      </c>
      <c r="S21">
        <v>0</v>
      </c>
      <c r="T21">
        <v>0</v>
      </c>
      <c r="U21">
        <v>1140</v>
      </c>
      <c r="V21" t="s">
        <v>57</v>
      </c>
      <c r="W21">
        <v>0</v>
      </c>
      <c r="X21">
        <v>0</v>
      </c>
      <c r="Y21">
        <v>0</v>
      </c>
      <c r="Z21">
        <v>0</v>
      </c>
      <c r="AA21" t="s">
        <v>67</v>
      </c>
      <c r="AB21">
        <v>0</v>
      </c>
      <c r="AC21">
        <v>0</v>
      </c>
      <c r="AD21">
        <v>0</v>
      </c>
      <c r="AE21">
        <v>0</v>
      </c>
      <c r="AF21" t="s">
        <v>63</v>
      </c>
      <c r="AG21">
        <v>0</v>
      </c>
      <c r="AH21">
        <v>0</v>
      </c>
      <c r="AI21">
        <v>0</v>
      </c>
      <c r="AJ21">
        <v>0</v>
      </c>
      <c r="AK21" t="b">
        <v>0</v>
      </c>
      <c r="AL21" t="s">
        <v>58</v>
      </c>
      <c r="AM21" t="s">
        <v>58</v>
      </c>
      <c r="AN21" t="s">
        <v>66</v>
      </c>
      <c r="AO21">
        <v>14</v>
      </c>
      <c r="AP21">
        <v>0</v>
      </c>
      <c r="AQ21">
        <v>9</v>
      </c>
      <c r="AR21">
        <v>11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s">
        <v>61</v>
      </c>
      <c r="BA21" t="s">
        <v>57</v>
      </c>
      <c r="BB21" t="s">
        <v>55</v>
      </c>
      <c r="BC21" t="s">
        <v>58</v>
      </c>
      <c r="BD21" t="s">
        <v>58</v>
      </c>
    </row>
    <row r="22" spans="1:56" x14ac:dyDescent="0.25">
      <c r="A22" t="str" cm="1">
        <f t="array" ref="A22">_xlfn.XLOOKUP(RIGHT(M22,8),TeamIdentity!C:C,TeamIdentity!A:A,NONE)</f>
        <v>Texans</v>
      </c>
      <c r="B22" t="str" cm="1">
        <f t="array" ref="B22">_xlfn.XLOOKUP(RIGHT(F22,8),TeamIdentity!C:C,TeamIdentity!A:A,NONE)</f>
        <v>Chiefs</v>
      </c>
      <c r="C22" t="s">
        <v>54</v>
      </c>
      <c r="D22" t="s">
        <v>54</v>
      </c>
      <c r="E22" t="s">
        <v>54</v>
      </c>
      <c r="F22" t="s">
        <v>535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517</v>
      </c>
      <c r="N22">
        <v>90321</v>
      </c>
      <c r="O22">
        <v>0</v>
      </c>
      <c r="P22">
        <v>90320</v>
      </c>
      <c r="Q22">
        <v>0</v>
      </c>
      <c r="R22" t="s">
        <v>70</v>
      </c>
      <c r="S22">
        <v>0</v>
      </c>
      <c r="T22">
        <v>0</v>
      </c>
      <c r="U22">
        <v>1200</v>
      </c>
      <c r="V22" t="s">
        <v>57</v>
      </c>
      <c r="W22">
        <v>0</v>
      </c>
      <c r="X22">
        <v>0</v>
      </c>
      <c r="Y22">
        <v>0</v>
      </c>
      <c r="Z22">
        <v>0</v>
      </c>
      <c r="AA22" t="s">
        <v>67</v>
      </c>
      <c r="AB22">
        <v>0</v>
      </c>
      <c r="AC22">
        <v>0</v>
      </c>
      <c r="AD22">
        <v>0</v>
      </c>
      <c r="AE22">
        <v>0</v>
      </c>
      <c r="AF22" t="s">
        <v>63</v>
      </c>
      <c r="AG22">
        <v>0</v>
      </c>
      <c r="AH22">
        <v>0</v>
      </c>
      <c r="AI22">
        <v>0</v>
      </c>
      <c r="AJ22">
        <v>0</v>
      </c>
      <c r="AK22" t="b">
        <v>0</v>
      </c>
      <c r="AL22" t="s">
        <v>58</v>
      </c>
      <c r="AM22" t="s">
        <v>58</v>
      </c>
      <c r="AN22" t="s">
        <v>66</v>
      </c>
      <c r="AO22">
        <v>14</v>
      </c>
      <c r="AP22">
        <v>0</v>
      </c>
      <c r="AQ22">
        <v>13</v>
      </c>
      <c r="AR22">
        <v>11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s">
        <v>61</v>
      </c>
      <c r="BA22" t="s">
        <v>57</v>
      </c>
      <c r="BB22" t="s">
        <v>55</v>
      </c>
      <c r="BC22" t="s">
        <v>58</v>
      </c>
      <c r="BD22" t="s">
        <v>58</v>
      </c>
    </row>
    <row r="23" spans="1:56" x14ac:dyDescent="0.25">
      <c r="A23" t="str" cm="1">
        <f t="array" ref="A23">_xlfn.XLOOKUP(RIGHT(M23,8),TeamIdentity!C:C,TeamIdentity!A:A,NONE)</f>
        <v>Cardinals</v>
      </c>
      <c r="B23" t="str" cm="1">
        <f t="array" ref="B23">_xlfn.XLOOKUP(RIGHT(F23,8),TeamIdentity!C:C,TeamIdentity!A:A,NONE)</f>
        <v>Dolphins</v>
      </c>
      <c r="C23" t="s">
        <v>54</v>
      </c>
      <c r="D23" t="s">
        <v>54</v>
      </c>
      <c r="E23" t="s">
        <v>54</v>
      </c>
      <c r="F23" t="s">
        <v>516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538</v>
      </c>
      <c r="N23">
        <v>-1</v>
      </c>
      <c r="O23">
        <v>0</v>
      </c>
      <c r="P23">
        <v>-1</v>
      </c>
      <c r="Q23">
        <v>0</v>
      </c>
      <c r="R23" t="s">
        <v>70</v>
      </c>
      <c r="S23">
        <v>0</v>
      </c>
      <c r="T23">
        <v>0</v>
      </c>
      <c r="U23">
        <v>1260</v>
      </c>
      <c r="V23" t="s">
        <v>57</v>
      </c>
      <c r="W23">
        <v>0</v>
      </c>
      <c r="X23">
        <v>0</v>
      </c>
      <c r="Y23">
        <v>0</v>
      </c>
      <c r="Z23">
        <v>0</v>
      </c>
      <c r="AA23" t="s">
        <v>67</v>
      </c>
      <c r="AB23">
        <v>0</v>
      </c>
      <c r="AC23">
        <v>0</v>
      </c>
      <c r="AD23">
        <v>0</v>
      </c>
      <c r="AE23">
        <v>0</v>
      </c>
      <c r="AF23" t="s">
        <v>63</v>
      </c>
      <c r="AG23">
        <v>0</v>
      </c>
      <c r="AH23">
        <v>0</v>
      </c>
      <c r="AI23">
        <v>0</v>
      </c>
      <c r="AJ23">
        <v>0</v>
      </c>
      <c r="AK23" t="b">
        <v>0</v>
      </c>
      <c r="AL23" t="s">
        <v>58</v>
      </c>
      <c r="AM23" t="s">
        <v>58</v>
      </c>
      <c r="AN23" t="s">
        <v>66</v>
      </c>
      <c r="AO23">
        <v>14</v>
      </c>
      <c r="AP23">
        <v>1</v>
      </c>
      <c r="AQ23">
        <v>13</v>
      </c>
      <c r="AR23">
        <v>11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s">
        <v>61</v>
      </c>
      <c r="BA23" t="s">
        <v>57</v>
      </c>
      <c r="BB23" t="s">
        <v>55</v>
      </c>
      <c r="BC23" t="s">
        <v>58</v>
      </c>
      <c r="BD23" t="s">
        <v>58</v>
      </c>
    </row>
    <row r="24" spans="1:56" x14ac:dyDescent="0.25">
      <c r="A24" t="str" cm="1">
        <f t="array" ref="A24">_xlfn.XLOOKUP(RIGHT(M24,8),TeamIdentity!C:C,TeamIdentity!A:A,NONE)</f>
        <v>49ers</v>
      </c>
      <c r="B24" t="str" cm="1">
        <f t="array" ref="B24">_xlfn.XLOOKUP(RIGHT(F24,8),TeamIdentity!C:C,TeamIdentity!A:A,NONE)</f>
        <v>Chargers</v>
      </c>
      <c r="C24" t="s">
        <v>54</v>
      </c>
      <c r="D24" t="s">
        <v>54</v>
      </c>
      <c r="E24" t="s">
        <v>54</v>
      </c>
      <c r="F24" t="s">
        <v>528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533</v>
      </c>
      <c r="N24">
        <v>-1</v>
      </c>
      <c r="O24">
        <v>0</v>
      </c>
      <c r="P24">
        <v>-1</v>
      </c>
      <c r="Q24">
        <v>0</v>
      </c>
      <c r="R24" t="s">
        <v>70</v>
      </c>
      <c r="S24">
        <v>0</v>
      </c>
      <c r="T24">
        <v>0</v>
      </c>
      <c r="U24">
        <v>1380</v>
      </c>
      <c r="V24" t="s">
        <v>57</v>
      </c>
      <c r="W24">
        <v>0</v>
      </c>
      <c r="X24">
        <v>0</v>
      </c>
      <c r="Y24">
        <v>0</v>
      </c>
      <c r="Z24">
        <v>0</v>
      </c>
      <c r="AA24" t="s">
        <v>67</v>
      </c>
      <c r="AB24">
        <v>0</v>
      </c>
      <c r="AC24">
        <v>0</v>
      </c>
      <c r="AD24">
        <v>0</v>
      </c>
      <c r="AE24">
        <v>0</v>
      </c>
      <c r="AF24" t="s">
        <v>63</v>
      </c>
      <c r="AG24">
        <v>0</v>
      </c>
      <c r="AH24">
        <v>0</v>
      </c>
      <c r="AI24">
        <v>0</v>
      </c>
      <c r="AJ24">
        <v>0</v>
      </c>
      <c r="AK24" t="b">
        <v>0</v>
      </c>
      <c r="AL24" t="s">
        <v>58</v>
      </c>
      <c r="AM24" t="s">
        <v>58</v>
      </c>
      <c r="AN24" t="s">
        <v>66</v>
      </c>
      <c r="AO24">
        <v>14</v>
      </c>
      <c r="AP24">
        <v>1</v>
      </c>
      <c r="AQ24">
        <v>15</v>
      </c>
      <c r="AR24">
        <v>11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s">
        <v>61</v>
      </c>
      <c r="BA24" t="s">
        <v>57</v>
      </c>
      <c r="BB24" t="s">
        <v>55</v>
      </c>
      <c r="BC24" t="s">
        <v>58</v>
      </c>
      <c r="BD24" t="s">
        <v>58</v>
      </c>
    </row>
    <row r="25" spans="1:56" x14ac:dyDescent="0.25">
      <c r="A25" t="str" cm="1">
        <f t="array" ref="A25">_xlfn.XLOOKUP(RIGHT(M25,8),TeamIdentity!C:C,TeamIdentity!A:A,NONE)</f>
        <v>Steelers</v>
      </c>
      <c r="B25" t="str" cm="1">
        <f t="array" ref="B25">_xlfn.XLOOKUP(RIGHT(F25,8),TeamIdentity!C:C,TeamIdentity!A:A,NONE)</f>
        <v>Buccaneers</v>
      </c>
      <c r="C25" t="s">
        <v>54</v>
      </c>
      <c r="D25" t="s">
        <v>54</v>
      </c>
      <c r="E25" t="s">
        <v>54</v>
      </c>
      <c r="F25" t="s">
        <v>531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518</v>
      </c>
      <c r="N25">
        <v>-1</v>
      </c>
      <c r="O25">
        <v>0</v>
      </c>
      <c r="P25">
        <v>-1</v>
      </c>
      <c r="Q25">
        <v>0</v>
      </c>
      <c r="R25" t="s">
        <v>70</v>
      </c>
      <c r="S25">
        <v>0</v>
      </c>
      <c r="T25">
        <v>0</v>
      </c>
      <c r="U25">
        <v>1140</v>
      </c>
      <c r="V25" t="s">
        <v>57</v>
      </c>
      <c r="W25">
        <v>0</v>
      </c>
      <c r="X25">
        <v>0</v>
      </c>
      <c r="Y25">
        <v>0</v>
      </c>
      <c r="Z25">
        <v>0</v>
      </c>
      <c r="AA25" t="s">
        <v>67</v>
      </c>
      <c r="AB25">
        <v>0</v>
      </c>
      <c r="AC25">
        <v>0</v>
      </c>
      <c r="AD25">
        <v>0</v>
      </c>
      <c r="AE25">
        <v>0</v>
      </c>
      <c r="AF25" t="s">
        <v>60</v>
      </c>
      <c r="AG25">
        <v>0</v>
      </c>
      <c r="AH25">
        <v>0</v>
      </c>
      <c r="AI25">
        <v>0</v>
      </c>
      <c r="AJ25">
        <v>0</v>
      </c>
      <c r="AK25" t="b">
        <v>0</v>
      </c>
      <c r="AL25" t="s">
        <v>58</v>
      </c>
      <c r="AM25" t="s">
        <v>58</v>
      </c>
      <c r="AN25" t="s">
        <v>66</v>
      </c>
      <c r="AO25">
        <v>14</v>
      </c>
      <c r="AP25">
        <v>1</v>
      </c>
      <c r="AQ25">
        <v>0</v>
      </c>
      <c r="AR25">
        <v>11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s">
        <v>61</v>
      </c>
      <c r="BA25" t="s">
        <v>57</v>
      </c>
      <c r="BB25" t="s">
        <v>55</v>
      </c>
      <c r="BC25" t="s">
        <v>58</v>
      </c>
      <c r="BD25" t="s">
        <v>58</v>
      </c>
    </row>
    <row r="26" spans="1:56" x14ac:dyDescent="0.25">
      <c r="A26" t="str" cm="1">
        <f t="array" ref="A26">_xlfn.XLOOKUP(RIGHT(M26,8),TeamIdentity!C:C,TeamIdentity!A:A,NONE)</f>
        <v>Bears</v>
      </c>
      <c r="B26" t="str" cm="1">
        <f t="array" ref="B26">_xlfn.XLOOKUP(RIGHT(F26,8),TeamIdentity!C:C,TeamIdentity!A:A,NONE)</f>
        <v>Patriots</v>
      </c>
      <c r="C26" t="s">
        <v>54</v>
      </c>
      <c r="D26" t="s">
        <v>54</v>
      </c>
      <c r="E26" t="s">
        <v>54</v>
      </c>
      <c r="F26" t="s">
        <v>512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523</v>
      </c>
      <c r="N26">
        <v>-1</v>
      </c>
      <c r="O26">
        <v>0</v>
      </c>
      <c r="P26">
        <v>-1</v>
      </c>
      <c r="Q26">
        <v>0</v>
      </c>
      <c r="R26" t="s">
        <v>70</v>
      </c>
      <c r="S26">
        <v>0</v>
      </c>
      <c r="T26">
        <v>0</v>
      </c>
      <c r="U26">
        <v>1200</v>
      </c>
      <c r="V26" t="s">
        <v>57</v>
      </c>
      <c r="W26">
        <v>0</v>
      </c>
      <c r="X26">
        <v>0</v>
      </c>
      <c r="Y26">
        <v>0</v>
      </c>
      <c r="Z26">
        <v>0</v>
      </c>
      <c r="AA26" t="s">
        <v>67</v>
      </c>
      <c r="AB26">
        <v>0</v>
      </c>
      <c r="AC26">
        <v>0</v>
      </c>
      <c r="AD26">
        <v>0</v>
      </c>
      <c r="AE26">
        <v>0</v>
      </c>
      <c r="AF26" t="s">
        <v>68</v>
      </c>
      <c r="AG26">
        <v>0</v>
      </c>
      <c r="AH26">
        <v>0</v>
      </c>
      <c r="AI26">
        <v>0</v>
      </c>
      <c r="AJ26">
        <v>0</v>
      </c>
      <c r="AK26" t="b">
        <v>0</v>
      </c>
      <c r="AL26" t="s">
        <v>58</v>
      </c>
      <c r="AM26" t="s">
        <v>58</v>
      </c>
      <c r="AN26" t="s">
        <v>66</v>
      </c>
      <c r="AO26">
        <v>14</v>
      </c>
      <c r="AP26">
        <v>1</v>
      </c>
      <c r="AQ26">
        <v>5</v>
      </c>
      <c r="AR26">
        <v>11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s">
        <v>61</v>
      </c>
      <c r="BA26" t="s">
        <v>57</v>
      </c>
      <c r="BB26" t="s">
        <v>55</v>
      </c>
      <c r="BC26" t="s">
        <v>58</v>
      </c>
      <c r="BD26" t="s">
        <v>58</v>
      </c>
    </row>
    <row r="27" spans="1:56" x14ac:dyDescent="0.25">
      <c r="A27" t="str" cm="1">
        <f t="array" ref="A27">_xlfn.XLOOKUP(RIGHT(M27,8),TeamIdentity!C:C,TeamIdentity!A:A,NONE)</f>
        <v>Vikings</v>
      </c>
      <c r="B27" t="str" cm="1">
        <f t="array" ref="B27">_xlfn.XLOOKUP(RIGHT(F27,8),TeamIdentity!C:C,TeamIdentity!A:A,NONE)</f>
        <v>Saints</v>
      </c>
      <c r="C27" t="s">
        <v>54</v>
      </c>
      <c r="D27" t="s">
        <v>54</v>
      </c>
      <c r="E27" t="s">
        <v>54</v>
      </c>
      <c r="F27" t="s">
        <v>537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526</v>
      </c>
      <c r="N27">
        <v>90327</v>
      </c>
      <c r="O27">
        <v>0</v>
      </c>
      <c r="P27">
        <v>90326</v>
      </c>
      <c r="Q27">
        <v>0</v>
      </c>
      <c r="R27" t="s">
        <v>70</v>
      </c>
      <c r="S27">
        <v>0</v>
      </c>
      <c r="T27">
        <v>0</v>
      </c>
      <c r="U27">
        <v>1200</v>
      </c>
      <c r="V27" t="s">
        <v>57</v>
      </c>
      <c r="W27">
        <v>0</v>
      </c>
      <c r="X27">
        <v>0</v>
      </c>
      <c r="Y27">
        <v>0</v>
      </c>
      <c r="Z27">
        <v>0</v>
      </c>
      <c r="AA27" t="s">
        <v>67</v>
      </c>
      <c r="AB27">
        <v>0</v>
      </c>
      <c r="AC27">
        <v>0</v>
      </c>
      <c r="AD27">
        <v>0</v>
      </c>
      <c r="AE27">
        <v>0</v>
      </c>
      <c r="AF27" t="s">
        <v>60</v>
      </c>
      <c r="AG27">
        <v>0</v>
      </c>
      <c r="AH27">
        <v>0</v>
      </c>
      <c r="AI27">
        <v>0</v>
      </c>
      <c r="AJ27">
        <v>0</v>
      </c>
      <c r="AK27" t="b">
        <v>0</v>
      </c>
      <c r="AL27" t="s">
        <v>58</v>
      </c>
      <c r="AM27" t="s">
        <v>58</v>
      </c>
      <c r="AN27" t="s">
        <v>66</v>
      </c>
      <c r="AO27">
        <v>14</v>
      </c>
      <c r="AP27">
        <v>0</v>
      </c>
      <c r="AQ27">
        <v>0</v>
      </c>
      <c r="AR27">
        <v>11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s">
        <v>61</v>
      </c>
      <c r="BA27" t="s">
        <v>57</v>
      </c>
      <c r="BB27" t="s">
        <v>55</v>
      </c>
      <c r="BC27" t="s">
        <v>58</v>
      </c>
      <c r="BD27" t="s">
        <v>58</v>
      </c>
    </row>
    <row r="28" spans="1:56" x14ac:dyDescent="0.25">
      <c r="A28" t="str" cm="1">
        <f t="array" ref="A28">_xlfn.XLOOKUP(RIGHT(M28,8),TeamIdentity!C:C,TeamIdentity!A:A,NONE)</f>
        <v>Bengals</v>
      </c>
      <c r="B28" t="str" cm="1">
        <f t="array" ref="B28">_xlfn.XLOOKUP(RIGHT(F28,8),TeamIdentity!C:C,TeamIdentity!A:A,NONE)</f>
        <v>Cowboys</v>
      </c>
      <c r="C28" t="s">
        <v>54</v>
      </c>
      <c r="D28" t="s">
        <v>54</v>
      </c>
      <c r="E28" t="s">
        <v>54</v>
      </c>
      <c r="F28" t="s">
        <v>541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532</v>
      </c>
      <c r="N28">
        <v>-1</v>
      </c>
      <c r="O28">
        <v>0</v>
      </c>
      <c r="P28">
        <v>-1</v>
      </c>
      <c r="Q28">
        <v>0</v>
      </c>
      <c r="R28" t="s">
        <v>70</v>
      </c>
      <c r="S28">
        <v>0</v>
      </c>
      <c r="T28">
        <v>0</v>
      </c>
      <c r="U28">
        <v>1260</v>
      </c>
      <c r="V28" t="s">
        <v>57</v>
      </c>
      <c r="W28">
        <v>0</v>
      </c>
      <c r="X28">
        <v>0</v>
      </c>
      <c r="Y28">
        <v>0</v>
      </c>
      <c r="Z28">
        <v>0</v>
      </c>
      <c r="AA28" t="s">
        <v>67</v>
      </c>
      <c r="AB28">
        <v>0</v>
      </c>
      <c r="AC28">
        <v>0</v>
      </c>
      <c r="AD28">
        <v>0</v>
      </c>
      <c r="AE28">
        <v>0</v>
      </c>
      <c r="AF28" t="s">
        <v>63</v>
      </c>
      <c r="AG28">
        <v>0</v>
      </c>
      <c r="AH28">
        <v>0</v>
      </c>
      <c r="AI28">
        <v>0</v>
      </c>
      <c r="AJ28">
        <v>0</v>
      </c>
      <c r="AK28" t="b">
        <v>0</v>
      </c>
      <c r="AL28" t="s">
        <v>58</v>
      </c>
      <c r="AM28" t="s">
        <v>58</v>
      </c>
      <c r="AN28" t="s">
        <v>66</v>
      </c>
      <c r="AO28">
        <v>14</v>
      </c>
      <c r="AP28">
        <v>2</v>
      </c>
      <c r="AQ28">
        <v>12</v>
      </c>
      <c r="AR28">
        <v>11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s">
        <v>61</v>
      </c>
      <c r="BA28" t="s">
        <v>57</v>
      </c>
      <c r="BB28" t="s">
        <v>55</v>
      </c>
      <c r="BC28" t="s">
        <v>58</v>
      </c>
      <c r="BD28" t="s">
        <v>58</v>
      </c>
    </row>
    <row r="29" spans="1:56" x14ac:dyDescent="0.25">
      <c r="A29" t="str" cm="1">
        <f t="array" ref="A29">_xlfn.XLOOKUP(RIGHT(M29,8),TeamIdentity!C:C,TeamIdentity!A:A,NONE)</f>
        <v>Seahawks</v>
      </c>
      <c r="B29" t="str" cm="1">
        <f t="array" ref="B29">_xlfn.XLOOKUP(RIGHT(F29,8),TeamIdentity!C:C,TeamIdentity!A:A,NONE)</f>
        <v>Ravens</v>
      </c>
      <c r="C29" t="s">
        <v>54</v>
      </c>
      <c r="D29" t="s">
        <v>54</v>
      </c>
      <c r="E29" t="s">
        <v>54</v>
      </c>
      <c r="F29" t="s">
        <v>520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527</v>
      </c>
      <c r="N29">
        <v>-1</v>
      </c>
      <c r="O29">
        <v>0</v>
      </c>
      <c r="P29">
        <v>-1</v>
      </c>
      <c r="Q29">
        <v>0</v>
      </c>
      <c r="R29" t="s">
        <v>70</v>
      </c>
      <c r="S29">
        <v>0</v>
      </c>
      <c r="T29">
        <v>0</v>
      </c>
      <c r="U29">
        <v>1320</v>
      </c>
      <c r="V29" t="s">
        <v>57</v>
      </c>
      <c r="W29">
        <v>0</v>
      </c>
      <c r="X29">
        <v>0</v>
      </c>
      <c r="Y29">
        <v>0</v>
      </c>
      <c r="Z29">
        <v>0</v>
      </c>
      <c r="AA29" t="s">
        <v>67</v>
      </c>
      <c r="AB29">
        <v>0</v>
      </c>
      <c r="AC29">
        <v>0</v>
      </c>
      <c r="AD29">
        <v>0</v>
      </c>
      <c r="AE29">
        <v>0</v>
      </c>
      <c r="AF29" t="s">
        <v>63</v>
      </c>
      <c r="AG29">
        <v>0</v>
      </c>
      <c r="AH29">
        <v>0</v>
      </c>
      <c r="AI29">
        <v>0</v>
      </c>
      <c r="AJ29">
        <v>0</v>
      </c>
      <c r="AK29" t="b">
        <v>0</v>
      </c>
      <c r="AL29" t="s">
        <v>58</v>
      </c>
      <c r="AM29" t="s">
        <v>58</v>
      </c>
      <c r="AN29" t="s">
        <v>66</v>
      </c>
      <c r="AO29">
        <v>14</v>
      </c>
      <c r="AP29">
        <v>1</v>
      </c>
      <c r="AQ29">
        <v>14</v>
      </c>
      <c r="AR29">
        <v>11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s">
        <v>61</v>
      </c>
      <c r="BA29" t="s">
        <v>57</v>
      </c>
      <c r="BB29" t="s">
        <v>55</v>
      </c>
      <c r="BC29" t="s">
        <v>58</v>
      </c>
      <c r="BD29" t="s">
        <v>58</v>
      </c>
    </row>
    <row r="30" spans="1:56" x14ac:dyDescent="0.25">
      <c r="A30" t="str" cm="1">
        <f t="array" ref="A30">_xlfn.XLOOKUP(RIGHT(M30,8),TeamIdentity!C:C,TeamIdentity!A:A,NONE)</f>
        <v>Browns</v>
      </c>
      <c r="B30" t="str" cm="1">
        <f t="array" ref="B30">_xlfn.XLOOKUP(RIGHT(F30,8),TeamIdentity!C:C,TeamIdentity!A:A,NONE)</f>
        <v>Cowboys</v>
      </c>
      <c r="C30" t="s">
        <v>54</v>
      </c>
      <c r="D30" t="s">
        <v>54</v>
      </c>
      <c r="E30" t="s">
        <v>54</v>
      </c>
      <c r="F30" t="s">
        <v>541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530</v>
      </c>
      <c r="N30">
        <v>-1</v>
      </c>
      <c r="O30">
        <v>0</v>
      </c>
      <c r="P30">
        <v>-1</v>
      </c>
      <c r="Q30">
        <v>0</v>
      </c>
      <c r="R30" t="s">
        <v>70</v>
      </c>
      <c r="S30">
        <v>0</v>
      </c>
      <c r="T30">
        <v>0</v>
      </c>
      <c r="U30">
        <v>1200</v>
      </c>
      <c r="V30" t="s">
        <v>57</v>
      </c>
      <c r="W30">
        <v>0</v>
      </c>
      <c r="X30">
        <v>0</v>
      </c>
      <c r="Y30">
        <v>0</v>
      </c>
      <c r="Z30">
        <v>0</v>
      </c>
      <c r="AA30" t="s">
        <v>67</v>
      </c>
      <c r="AB30">
        <v>0</v>
      </c>
      <c r="AC30">
        <v>0</v>
      </c>
      <c r="AD30">
        <v>0</v>
      </c>
      <c r="AE30">
        <v>0</v>
      </c>
      <c r="AF30" t="s">
        <v>68</v>
      </c>
      <c r="AG30">
        <v>0</v>
      </c>
      <c r="AH30">
        <v>0</v>
      </c>
      <c r="AI30">
        <v>0</v>
      </c>
      <c r="AJ30">
        <v>0</v>
      </c>
      <c r="AK30" t="b">
        <v>0</v>
      </c>
      <c r="AL30" t="s">
        <v>58</v>
      </c>
      <c r="AM30" t="s">
        <v>58</v>
      </c>
      <c r="AN30" t="s">
        <v>66</v>
      </c>
      <c r="AO30">
        <v>14</v>
      </c>
      <c r="AP30">
        <v>1</v>
      </c>
      <c r="AQ30">
        <v>6</v>
      </c>
      <c r="AR30">
        <v>11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s">
        <v>61</v>
      </c>
      <c r="BA30" t="s">
        <v>57</v>
      </c>
      <c r="BB30" t="s">
        <v>55</v>
      </c>
      <c r="BC30" t="s">
        <v>58</v>
      </c>
      <c r="BD30" t="s">
        <v>58</v>
      </c>
    </row>
    <row r="31" spans="1:56" x14ac:dyDescent="0.25">
      <c r="A31" t="str" cm="1">
        <f t="array" ref="A31">_xlfn.XLOOKUP(RIGHT(M31,8),TeamIdentity!C:C,TeamIdentity!A:A,NONE)</f>
        <v>Saints</v>
      </c>
      <c r="B31" t="str" cm="1">
        <f t="array" ref="B31">_xlfn.XLOOKUP(RIGHT(F31,8),TeamIdentity!C:C,TeamIdentity!A:A,NONE)</f>
        <v>Colts</v>
      </c>
      <c r="C31" t="s">
        <v>54</v>
      </c>
      <c r="D31" t="s">
        <v>54</v>
      </c>
      <c r="E31" t="s">
        <v>54</v>
      </c>
      <c r="F31" t="s">
        <v>540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537</v>
      </c>
      <c r="N31">
        <v>-1</v>
      </c>
      <c r="O31">
        <v>0</v>
      </c>
      <c r="P31">
        <v>-1</v>
      </c>
      <c r="Q31">
        <v>0</v>
      </c>
      <c r="R31" t="s">
        <v>70</v>
      </c>
      <c r="S31">
        <v>0</v>
      </c>
      <c r="T31">
        <v>0</v>
      </c>
      <c r="U31">
        <v>1200</v>
      </c>
      <c r="V31" t="s">
        <v>57</v>
      </c>
      <c r="W31">
        <v>0</v>
      </c>
      <c r="X31">
        <v>0</v>
      </c>
      <c r="Y31">
        <v>0</v>
      </c>
      <c r="Z31">
        <v>0</v>
      </c>
      <c r="AA31" t="s">
        <v>67</v>
      </c>
      <c r="AB31">
        <v>0</v>
      </c>
      <c r="AC31">
        <v>0</v>
      </c>
      <c r="AD31">
        <v>0</v>
      </c>
      <c r="AE31">
        <v>0</v>
      </c>
      <c r="AF31" t="s">
        <v>60</v>
      </c>
      <c r="AG31">
        <v>0</v>
      </c>
      <c r="AH31">
        <v>0</v>
      </c>
      <c r="AI31">
        <v>0</v>
      </c>
      <c r="AJ31">
        <v>0</v>
      </c>
      <c r="AK31" t="b">
        <v>0</v>
      </c>
      <c r="AL31" t="s">
        <v>58</v>
      </c>
      <c r="AM31" t="s">
        <v>58</v>
      </c>
      <c r="AN31" t="s">
        <v>66</v>
      </c>
      <c r="AO31">
        <v>14</v>
      </c>
      <c r="AP31">
        <v>1</v>
      </c>
      <c r="AQ31">
        <v>1</v>
      </c>
      <c r="AR31">
        <v>11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s">
        <v>61</v>
      </c>
      <c r="BA31" t="s">
        <v>57</v>
      </c>
      <c r="BB31" t="s">
        <v>55</v>
      </c>
      <c r="BC31" t="s">
        <v>58</v>
      </c>
      <c r="BD31" t="s">
        <v>58</v>
      </c>
    </row>
    <row r="32" spans="1:56" x14ac:dyDescent="0.25">
      <c r="A32" t="str" cm="1">
        <f t="array" ref="A32">_xlfn.XLOOKUP(RIGHT(M32,8),TeamIdentity!C:C,TeamIdentity!A:A,NONE)</f>
        <v>Chiefs</v>
      </c>
      <c r="B32" t="str" cm="1">
        <f t="array" ref="B32">_xlfn.XLOOKUP(RIGHT(F32,8),TeamIdentity!C:C,TeamIdentity!A:A,NONE)</f>
        <v>Vikings</v>
      </c>
      <c r="C32" t="s">
        <v>54</v>
      </c>
      <c r="D32" t="s">
        <v>54</v>
      </c>
      <c r="E32" t="s">
        <v>54</v>
      </c>
      <c r="F32" t="s">
        <v>526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535</v>
      </c>
      <c r="N32">
        <v>-1</v>
      </c>
      <c r="O32">
        <v>0</v>
      </c>
      <c r="P32">
        <v>-1</v>
      </c>
      <c r="Q32">
        <v>0</v>
      </c>
      <c r="R32" t="s">
        <v>70</v>
      </c>
      <c r="S32">
        <v>0</v>
      </c>
      <c r="T32">
        <v>0</v>
      </c>
      <c r="U32">
        <v>1200</v>
      </c>
      <c r="V32" t="s">
        <v>57</v>
      </c>
      <c r="W32">
        <v>0</v>
      </c>
      <c r="X32">
        <v>0</v>
      </c>
      <c r="Y32">
        <v>0</v>
      </c>
      <c r="Z32">
        <v>0</v>
      </c>
      <c r="AA32" t="s">
        <v>67</v>
      </c>
      <c r="AB32">
        <v>0</v>
      </c>
      <c r="AC32">
        <v>0</v>
      </c>
      <c r="AD32">
        <v>0</v>
      </c>
      <c r="AE32">
        <v>0</v>
      </c>
      <c r="AF32" t="s">
        <v>68</v>
      </c>
      <c r="AG32">
        <v>0</v>
      </c>
      <c r="AH32">
        <v>0</v>
      </c>
      <c r="AI32">
        <v>0</v>
      </c>
      <c r="AJ32">
        <v>0</v>
      </c>
      <c r="AK32" t="b">
        <v>0</v>
      </c>
      <c r="AL32" t="s">
        <v>58</v>
      </c>
      <c r="AM32" t="s">
        <v>58</v>
      </c>
      <c r="AN32" t="s">
        <v>66</v>
      </c>
      <c r="AO32">
        <v>14</v>
      </c>
      <c r="AP32">
        <v>2</v>
      </c>
      <c r="AQ32">
        <v>4</v>
      </c>
      <c r="AR32">
        <v>11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s">
        <v>61</v>
      </c>
      <c r="BA32" t="s">
        <v>57</v>
      </c>
      <c r="BB32" t="s">
        <v>55</v>
      </c>
      <c r="BC32" t="s">
        <v>58</v>
      </c>
      <c r="BD32" t="s">
        <v>58</v>
      </c>
    </row>
    <row r="33" spans="1:56" x14ac:dyDescent="0.25">
      <c r="A33" t="str" cm="1">
        <f t="array" ref="A33">_xlfn.XLOOKUP(RIGHT(M33,8),TeamIdentity!C:C,TeamIdentity!A:A,NONE)</f>
        <v>Chiefs</v>
      </c>
      <c r="B33" t="str" cm="1">
        <f t="array" ref="B33">_xlfn.XLOOKUP(RIGHT(F33,8),TeamIdentity!C:C,TeamIdentity!A:A,NONE)</f>
        <v>Panthers</v>
      </c>
      <c r="C33" t="s">
        <v>54</v>
      </c>
      <c r="D33" t="s">
        <v>54</v>
      </c>
      <c r="E33" t="s">
        <v>54</v>
      </c>
      <c r="F33" t="s">
        <v>511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535</v>
      </c>
      <c r="N33">
        <v>-1</v>
      </c>
      <c r="O33">
        <v>0</v>
      </c>
      <c r="P33">
        <v>-1</v>
      </c>
      <c r="Q33">
        <v>0</v>
      </c>
      <c r="R33" t="s">
        <v>70</v>
      </c>
      <c r="S33">
        <v>0</v>
      </c>
      <c r="T33">
        <v>0</v>
      </c>
      <c r="U33">
        <v>1200</v>
      </c>
      <c r="V33" t="s">
        <v>57</v>
      </c>
      <c r="W33">
        <v>0</v>
      </c>
      <c r="X33">
        <v>0</v>
      </c>
      <c r="Y33">
        <v>0</v>
      </c>
      <c r="Z33">
        <v>0</v>
      </c>
      <c r="AA33" t="s">
        <v>67</v>
      </c>
      <c r="AB33">
        <v>0</v>
      </c>
      <c r="AC33">
        <v>0</v>
      </c>
      <c r="AD33">
        <v>0</v>
      </c>
      <c r="AE33">
        <v>0</v>
      </c>
      <c r="AF33" t="s">
        <v>69</v>
      </c>
      <c r="AG33">
        <v>0</v>
      </c>
      <c r="AH33">
        <v>0</v>
      </c>
      <c r="AI33">
        <v>0</v>
      </c>
      <c r="AJ33">
        <v>0</v>
      </c>
      <c r="AK33" t="b">
        <v>0</v>
      </c>
      <c r="AL33" t="s">
        <v>58</v>
      </c>
      <c r="AM33" t="s">
        <v>58</v>
      </c>
      <c r="AN33" t="s">
        <v>66</v>
      </c>
      <c r="AO33">
        <v>14</v>
      </c>
      <c r="AP33">
        <v>1</v>
      </c>
      <c r="AQ33">
        <v>10</v>
      </c>
      <c r="AR33">
        <v>11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s">
        <v>61</v>
      </c>
      <c r="BA33" t="s">
        <v>57</v>
      </c>
      <c r="BB33" t="s">
        <v>55</v>
      </c>
      <c r="BC33" t="s">
        <v>58</v>
      </c>
      <c r="BD33" t="s">
        <v>58</v>
      </c>
    </row>
    <row r="34" spans="1:56" x14ac:dyDescent="0.25">
      <c r="A34" t="str" cm="1">
        <f t="array" ref="A34">_xlfn.XLOOKUP(RIGHT(M34,8),TeamIdentity!C:C,TeamIdentity!A:A,NONE)</f>
        <v>Colts</v>
      </c>
      <c r="B34" t="str" cm="1">
        <f t="array" ref="B34">_xlfn.XLOOKUP(RIGHT(F34,8),TeamIdentity!C:C,TeamIdentity!A:A,NONE)</f>
        <v>Texans</v>
      </c>
      <c r="C34" t="s">
        <v>54</v>
      </c>
      <c r="D34" t="s">
        <v>54</v>
      </c>
      <c r="E34" t="s">
        <v>54</v>
      </c>
      <c r="F34" t="s">
        <v>517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540</v>
      </c>
      <c r="N34">
        <v>-1</v>
      </c>
      <c r="O34">
        <v>0</v>
      </c>
      <c r="P34">
        <v>-1</v>
      </c>
      <c r="Q34">
        <v>0</v>
      </c>
      <c r="R34" t="s">
        <v>70</v>
      </c>
      <c r="S34">
        <v>0</v>
      </c>
      <c r="T34">
        <v>0</v>
      </c>
      <c r="U34">
        <v>780</v>
      </c>
      <c r="V34" t="s">
        <v>57</v>
      </c>
      <c r="W34">
        <v>0</v>
      </c>
      <c r="X34">
        <v>0</v>
      </c>
      <c r="Y34">
        <v>0</v>
      </c>
      <c r="Z34">
        <v>0</v>
      </c>
      <c r="AA34" t="s">
        <v>67</v>
      </c>
      <c r="AB34">
        <v>0</v>
      </c>
      <c r="AC34">
        <v>0</v>
      </c>
      <c r="AD34">
        <v>0</v>
      </c>
      <c r="AE34">
        <v>0</v>
      </c>
      <c r="AF34" t="s">
        <v>60</v>
      </c>
      <c r="AG34">
        <v>0</v>
      </c>
      <c r="AH34">
        <v>0</v>
      </c>
      <c r="AI34">
        <v>0</v>
      </c>
      <c r="AJ34">
        <v>0</v>
      </c>
      <c r="AK34" t="b">
        <v>0</v>
      </c>
      <c r="AL34" t="s">
        <v>58</v>
      </c>
      <c r="AM34" t="s">
        <v>58</v>
      </c>
      <c r="AN34" t="s">
        <v>71</v>
      </c>
      <c r="AO34">
        <v>14</v>
      </c>
      <c r="AP34">
        <v>0</v>
      </c>
      <c r="AQ34">
        <v>0</v>
      </c>
      <c r="AR34">
        <v>11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s">
        <v>61</v>
      </c>
      <c r="BA34" t="s">
        <v>57</v>
      </c>
      <c r="BB34" t="s">
        <v>55</v>
      </c>
      <c r="BC34" t="s">
        <v>58</v>
      </c>
      <c r="BD34" t="s">
        <v>58</v>
      </c>
    </row>
    <row r="35" spans="1:56" x14ac:dyDescent="0.25">
      <c r="A35" t="str" cm="1">
        <f t="array" ref="A35">_xlfn.XLOOKUP(RIGHT(M35,8),TeamIdentity!C:C,TeamIdentity!A:A,NONE)</f>
        <v>Titans</v>
      </c>
      <c r="B35" t="str" cm="1">
        <f t="array" ref="B35">_xlfn.XLOOKUP(RIGHT(F35,8),TeamIdentity!C:C,TeamIdentity!A:A,NONE)</f>
        <v>Saints</v>
      </c>
      <c r="C35" t="s">
        <v>54</v>
      </c>
      <c r="D35" t="s">
        <v>54</v>
      </c>
      <c r="E35" t="s">
        <v>54</v>
      </c>
      <c r="F35" t="s">
        <v>537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534</v>
      </c>
      <c r="N35">
        <v>-1</v>
      </c>
      <c r="O35">
        <v>0</v>
      </c>
      <c r="P35">
        <v>-1</v>
      </c>
      <c r="Q35">
        <v>0</v>
      </c>
      <c r="R35" t="s">
        <v>70</v>
      </c>
      <c r="S35">
        <v>0</v>
      </c>
      <c r="T35">
        <v>0</v>
      </c>
      <c r="U35">
        <v>1200</v>
      </c>
      <c r="V35" t="s">
        <v>57</v>
      </c>
      <c r="W35">
        <v>0</v>
      </c>
      <c r="X35">
        <v>0</v>
      </c>
      <c r="Y35">
        <v>0</v>
      </c>
      <c r="Z35">
        <v>0</v>
      </c>
      <c r="AA35" t="s">
        <v>67</v>
      </c>
      <c r="AB35">
        <v>0</v>
      </c>
      <c r="AC35">
        <v>0</v>
      </c>
      <c r="AD35">
        <v>0</v>
      </c>
      <c r="AE35">
        <v>0</v>
      </c>
      <c r="AF35" t="s">
        <v>63</v>
      </c>
      <c r="AG35">
        <v>0</v>
      </c>
      <c r="AH35">
        <v>0</v>
      </c>
      <c r="AI35">
        <v>0</v>
      </c>
      <c r="AJ35">
        <v>0</v>
      </c>
      <c r="AK35" t="b">
        <v>0</v>
      </c>
      <c r="AL35" t="s">
        <v>58</v>
      </c>
      <c r="AM35" t="s">
        <v>58</v>
      </c>
      <c r="AN35" t="s">
        <v>66</v>
      </c>
      <c r="AO35">
        <v>14</v>
      </c>
      <c r="AP35">
        <v>2</v>
      </c>
      <c r="AQ35">
        <v>10</v>
      </c>
      <c r="AR35">
        <v>11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s">
        <v>61</v>
      </c>
      <c r="BA35" t="s">
        <v>57</v>
      </c>
      <c r="BB35" t="s">
        <v>55</v>
      </c>
      <c r="BC35" t="s">
        <v>58</v>
      </c>
      <c r="BD35" t="s">
        <v>58</v>
      </c>
    </row>
    <row r="36" spans="1:56" x14ac:dyDescent="0.25">
      <c r="A36" t="str" cm="1">
        <f t="array" ref="A36">_xlfn.XLOOKUP(RIGHT(M36,8),TeamIdentity!C:C,TeamIdentity!A:A,NONE)</f>
        <v>Panthers</v>
      </c>
      <c r="B36" t="str" cm="1">
        <f t="array" ref="B36">_xlfn.XLOOKUP(RIGHT(F36,8),TeamIdentity!C:C,TeamIdentity!A:A,NONE)</f>
        <v>Saints</v>
      </c>
      <c r="C36" t="s">
        <v>54</v>
      </c>
      <c r="D36" t="s">
        <v>54</v>
      </c>
      <c r="E36" t="s">
        <v>54</v>
      </c>
      <c r="F36" t="s">
        <v>537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511</v>
      </c>
      <c r="N36">
        <v>-1</v>
      </c>
      <c r="O36">
        <v>0</v>
      </c>
      <c r="P36">
        <v>-1</v>
      </c>
      <c r="Q36">
        <v>0</v>
      </c>
      <c r="R36" t="s">
        <v>70</v>
      </c>
      <c r="S36">
        <v>0</v>
      </c>
      <c r="T36">
        <v>0</v>
      </c>
      <c r="U36">
        <v>780</v>
      </c>
      <c r="V36" t="s">
        <v>57</v>
      </c>
      <c r="W36">
        <v>0</v>
      </c>
      <c r="X36">
        <v>0</v>
      </c>
      <c r="Y36">
        <v>0</v>
      </c>
      <c r="Z36">
        <v>0</v>
      </c>
      <c r="AA36" t="s">
        <v>67</v>
      </c>
      <c r="AB36">
        <v>0</v>
      </c>
      <c r="AC36">
        <v>0</v>
      </c>
      <c r="AD36">
        <v>0</v>
      </c>
      <c r="AE36">
        <v>0</v>
      </c>
      <c r="AF36" t="s">
        <v>60</v>
      </c>
      <c r="AG36">
        <v>0</v>
      </c>
      <c r="AH36">
        <v>0</v>
      </c>
      <c r="AI36">
        <v>0</v>
      </c>
      <c r="AJ36">
        <v>0</v>
      </c>
      <c r="AK36" t="b">
        <v>0</v>
      </c>
      <c r="AL36" t="s">
        <v>58</v>
      </c>
      <c r="AM36" t="s">
        <v>58</v>
      </c>
      <c r="AN36" t="s">
        <v>71</v>
      </c>
      <c r="AO36">
        <v>14</v>
      </c>
      <c r="AP36">
        <v>0</v>
      </c>
      <c r="AQ36">
        <v>1</v>
      </c>
      <c r="AR36">
        <v>11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s">
        <v>61</v>
      </c>
      <c r="BA36" t="s">
        <v>57</v>
      </c>
      <c r="BB36" t="s">
        <v>55</v>
      </c>
      <c r="BC36" t="s">
        <v>58</v>
      </c>
      <c r="BD36" t="s">
        <v>58</v>
      </c>
    </row>
    <row r="37" spans="1:56" x14ac:dyDescent="0.25">
      <c r="A37" t="str" cm="1">
        <f t="array" ref="A37">_xlfn.XLOOKUP(RIGHT(M37,8),TeamIdentity!C:C,TeamIdentity!A:A,NONE)</f>
        <v>Browns</v>
      </c>
      <c r="B37" t="str" cm="1">
        <f t="array" ref="B37">_xlfn.XLOOKUP(RIGHT(F37,8),TeamIdentity!C:C,TeamIdentity!A:A,NONE)</f>
        <v>Panthers</v>
      </c>
      <c r="C37" t="s">
        <v>54</v>
      </c>
      <c r="D37" t="s">
        <v>54</v>
      </c>
      <c r="E37" t="s">
        <v>54</v>
      </c>
      <c r="F37" t="s">
        <v>511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530</v>
      </c>
      <c r="N37">
        <v>-1</v>
      </c>
      <c r="O37">
        <v>0</v>
      </c>
      <c r="P37">
        <v>-1</v>
      </c>
      <c r="Q37">
        <v>0</v>
      </c>
      <c r="R37" t="s">
        <v>70</v>
      </c>
      <c r="S37">
        <v>0</v>
      </c>
      <c r="T37">
        <v>0</v>
      </c>
      <c r="U37">
        <v>1200</v>
      </c>
      <c r="V37" t="s">
        <v>57</v>
      </c>
      <c r="W37">
        <v>0</v>
      </c>
      <c r="X37">
        <v>0</v>
      </c>
      <c r="Y37">
        <v>0</v>
      </c>
      <c r="Z37">
        <v>0</v>
      </c>
      <c r="AA37" t="s">
        <v>67</v>
      </c>
      <c r="AB37">
        <v>0</v>
      </c>
      <c r="AC37">
        <v>0</v>
      </c>
      <c r="AD37">
        <v>0</v>
      </c>
      <c r="AE37">
        <v>0</v>
      </c>
      <c r="AF37" t="s">
        <v>68</v>
      </c>
      <c r="AG37">
        <v>0</v>
      </c>
      <c r="AH37">
        <v>0</v>
      </c>
      <c r="AI37">
        <v>0</v>
      </c>
      <c r="AJ37">
        <v>0</v>
      </c>
      <c r="AK37" t="b">
        <v>0</v>
      </c>
      <c r="AL37" t="s">
        <v>58</v>
      </c>
      <c r="AM37" t="s">
        <v>58</v>
      </c>
      <c r="AN37" t="s">
        <v>66</v>
      </c>
      <c r="AO37">
        <v>14</v>
      </c>
      <c r="AP37">
        <v>2</v>
      </c>
      <c r="AQ37">
        <v>5</v>
      </c>
      <c r="AR37">
        <v>11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s">
        <v>61</v>
      </c>
      <c r="BA37" t="s">
        <v>57</v>
      </c>
      <c r="BB37" t="s">
        <v>55</v>
      </c>
      <c r="BC37" t="s">
        <v>58</v>
      </c>
      <c r="BD37" t="s">
        <v>58</v>
      </c>
    </row>
    <row r="38" spans="1:56" x14ac:dyDescent="0.25">
      <c r="A38" t="str" cm="1">
        <f t="array" ref="A38">_xlfn.XLOOKUP(RIGHT(M38,8),TeamIdentity!C:C,TeamIdentity!A:A,NONE)</f>
        <v>Ravens</v>
      </c>
      <c r="B38" t="str" cm="1">
        <f t="array" ref="B38">_xlfn.XLOOKUP(RIGHT(F38,8),TeamIdentity!C:C,TeamIdentity!A:A,NONE)</f>
        <v>Bears</v>
      </c>
      <c r="C38" t="s">
        <v>54</v>
      </c>
      <c r="D38" t="s">
        <v>54</v>
      </c>
      <c r="E38" t="s">
        <v>54</v>
      </c>
      <c r="F38" t="s">
        <v>523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520</v>
      </c>
      <c r="N38">
        <v>-1</v>
      </c>
      <c r="O38">
        <v>0</v>
      </c>
      <c r="P38">
        <v>-1</v>
      </c>
      <c r="Q38">
        <v>0</v>
      </c>
      <c r="R38" t="s">
        <v>70</v>
      </c>
      <c r="S38">
        <v>0</v>
      </c>
      <c r="T38">
        <v>0</v>
      </c>
      <c r="U38">
        <v>1140</v>
      </c>
      <c r="V38" t="s">
        <v>57</v>
      </c>
      <c r="W38">
        <v>0</v>
      </c>
      <c r="X38">
        <v>0</v>
      </c>
      <c r="Y38">
        <v>0</v>
      </c>
      <c r="Z38">
        <v>0</v>
      </c>
      <c r="AA38" t="s">
        <v>67</v>
      </c>
      <c r="AB38">
        <v>0</v>
      </c>
      <c r="AC38">
        <v>0</v>
      </c>
      <c r="AD38">
        <v>0</v>
      </c>
      <c r="AE38">
        <v>0</v>
      </c>
      <c r="AF38" t="s">
        <v>68</v>
      </c>
      <c r="AG38">
        <v>0</v>
      </c>
      <c r="AH38">
        <v>0</v>
      </c>
      <c r="AI38">
        <v>0</v>
      </c>
      <c r="AJ38">
        <v>0</v>
      </c>
      <c r="AK38" t="b">
        <v>0</v>
      </c>
      <c r="AL38" t="s">
        <v>58</v>
      </c>
      <c r="AM38" t="s">
        <v>58</v>
      </c>
      <c r="AN38" t="s">
        <v>66</v>
      </c>
      <c r="AO38">
        <v>14</v>
      </c>
      <c r="AP38">
        <v>2</v>
      </c>
      <c r="AQ38">
        <v>3</v>
      </c>
      <c r="AR38">
        <v>11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s">
        <v>61</v>
      </c>
      <c r="BA38" t="s">
        <v>57</v>
      </c>
      <c r="BB38" t="s">
        <v>55</v>
      </c>
      <c r="BC38" t="s">
        <v>58</v>
      </c>
      <c r="BD38" t="s">
        <v>58</v>
      </c>
    </row>
    <row r="39" spans="1:56" x14ac:dyDescent="0.25">
      <c r="A39" t="str" cm="1">
        <f t="array" ref="A39">_xlfn.XLOOKUP(RIGHT(M39,8),TeamIdentity!C:C,TeamIdentity!A:A,NONE)</f>
        <v>Raiders</v>
      </c>
      <c r="B39" t="str" cm="1">
        <f t="array" ref="B39">_xlfn.XLOOKUP(RIGHT(F39,8),TeamIdentity!C:C,TeamIdentity!A:A,NONE)</f>
        <v>Falcons</v>
      </c>
      <c r="C39" t="s">
        <v>54</v>
      </c>
      <c r="D39" t="s">
        <v>54</v>
      </c>
      <c r="E39" t="s">
        <v>54</v>
      </c>
      <c r="F39" t="s">
        <v>515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525</v>
      </c>
      <c r="N39">
        <v>-1</v>
      </c>
      <c r="O39">
        <v>0</v>
      </c>
      <c r="P39">
        <v>-1</v>
      </c>
      <c r="Q39">
        <v>0</v>
      </c>
      <c r="R39" t="s">
        <v>70</v>
      </c>
      <c r="S39">
        <v>0</v>
      </c>
      <c r="T39">
        <v>0</v>
      </c>
      <c r="U39">
        <v>1260</v>
      </c>
      <c r="V39" t="s">
        <v>57</v>
      </c>
      <c r="W39">
        <v>0</v>
      </c>
      <c r="X39">
        <v>0</v>
      </c>
      <c r="Y39">
        <v>0</v>
      </c>
      <c r="Z39">
        <v>0</v>
      </c>
      <c r="AA39" t="s">
        <v>67</v>
      </c>
      <c r="AB39">
        <v>0</v>
      </c>
      <c r="AC39">
        <v>0</v>
      </c>
      <c r="AD39">
        <v>0</v>
      </c>
      <c r="AE39">
        <v>0</v>
      </c>
      <c r="AF39" t="s">
        <v>65</v>
      </c>
      <c r="AG39">
        <v>0</v>
      </c>
      <c r="AH39">
        <v>0</v>
      </c>
      <c r="AI39">
        <v>0</v>
      </c>
      <c r="AJ39">
        <v>0</v>
      </c>
      <c r="AK39" t="b">
        <v>0</v>
      </c>
      <c r="AL39" t="s">
        <v>58</v>
      </c>
      <c r="AM39" t="s">
        <v>58</v>
      </c>
      <c r="AN39" t="s">
        <v>66</v>
      </c>
      <c r="AO39">
        <v>14</v>
      </c>
      <c r="AP39">
        <v>2</v>
      </c>
      <c r="AQ39">
        <v>2</v>
      </c>
      <c r="AR39">
        <v>11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s">
        <v>61</v>
      </c>
      <c r="BA39" t="s">
        <v>57</v>
      </c>
      <c r="BB39" t="s">
        <v>55</v>
      </c>
      <c r="BC39" t="s">
        <v>58</v>
      </c>
      <c r="BD39" t="s">
        <v>58</v>
      </c>
    </row>
    <row r="40" spans="1:56" x14ac:dyDescent="0.25">
      <c r="A40" t="str" cm="1">
        <f t="array" ref="A40">_xlfn.XLOOKUP(RIGHT(M40,8),TeamIdentity!C:C,TeamIdentity!A:A,NONE)</f>
        <v>Dolphins</v>
      </c>
      <c r="B40" t="str" cm="1">
        <f t="array" ref="B40">_xlfn.XLOOKUP(RIGHT(F40,8),TeamIdentity!C:C,TeamIdentity!A:A,NONE)</f>
        <v>Packers</v>
      </c>
      <c r="C40" t="s">
        <v>54</v>
      </c>
      <c r="D40" t="s">
        <v>54</v>
      </c>
      <c r="E40" t="s">
        <v>54</v>
      </c>
      <c r="F40" t="s">
        <v>529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516</v>
      </c>
      <c r="N40">
        <v>-1</v>
      </c>
      <c r="O40">
        <v>0</v>
      </c>
      <c r="P40">
        <v>-1</v>
      </c>
      <c r="Q40">
        <v>0</v>
      </c>
      <c r="R40" t="s">
        <v>70</v>
      </c>
      <c r="S40">
        <v>0</v>
      </c>
      <c r="T40">
        <v>0</v>
      </c>
      <c r="U40">
        <v>1200</v>
      </c>
      <c r="V40" t="s">
        <v>57</v>
      </c>
      <c r="W40">
        <v>0</v>
      </c>
      <c r="X40">
        <v>0</v>
      </c>
      <c r="Y40">
        <v>0</v>
      </c>
      <c r="Z40">
        <v>0</v>
      </c>
      <c r="AA40" t="s">
        <v>67</v>
      </c>
      <c r="AB40">
        <v>0</v>
      </c>
      <c r="AC40">
        <v>0</v>
      </c>
      <c r="AD40">
        <v>0</v>
      </c>
      <c r="AE40">
        <v>0</v>
      </c>
      <c r="AF40" t="s">
        <v>63</v>
      </c>
      <c r="AG40">
        <v>0</v>
      </c>
      <c r="AH40">
        <v>0</v>
      </c>
      <c r="AI40">
        <v>0</v>
      </c>
      <c r="AJ40">
        <v>0</v>
      </c>
      <c r="AK40" t="b">
        <v>0</v>
      </c>
      <c r="AL40" t="s">
        <v>58</v>
      </c>
      <c r="AM40" t="s">
        <v>58</v>
      </c>
      <c r="AN40" t="s">
        <v>66</v>
      </c>
      <c r="AO40">
        <v>14</v>
      </c>
      <c r="AP40">
        <v>2</v>
      </c>
      <c r="AQ40">
        <v>11</v>
      </c>
      <c r="AR40">
        <v>11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s">
        <v>61</v>
      </c>
      <c r="BA40" t="s">
        <v>57</v>
      </c>
      <c r="BB40" t="s">
        <v>55</v>
      </c>
      <c r="BC40" t="s">
        <v>58</v>
      </c>
      <c r="BD40" t="s">
        <v>58</v>
      </c>
    </row>
    <row r="41" spans="1:56" x14ac:dyDescent="0.25">
      <c r="A41" t="str" cm="1">
        <f t="array" ref="A41">_xlfn.XLOOKUP(RIGHT(M41,8),TeamIdentity!C:C,TeamIdentity!A:A,NONE)</f>
        <v>Chargers</v>
      </c>
      <c r="B41" t="str" cm="1">
        <f t="array" ref="B41">_xlfn.XLOOKUP(RIGHT(F41,8),TeamIdentity!C:C,TeamIdentity!A:A,NONE)</f>
        <v>Eagles</v>
      </c>
      <c r="C41" t="s">
        <v>54</v>
      </c>
      <c r="D41" t="s">
        <v>54</v>
      </c>
      <c r="E41" t="s">
        <v>54</v>
      </c>
      <c r="F41" t="s">
        <v>519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528</v>
      </c>
      <c r="N41">
        <v>-1</v>
      </c>
      <c r="O41">
        <v>0</v>
      </c>
      <c r="P41">
        <v>-1</v>
      </c>
      <c r="Q41">
        <v>0</v>
      </c>
      <c r="R41" t="s">
        <v>70</v>
      </c>
      <c r="S41">
        <v>0</v>
      </c>
      <c r="T41">
        <v>0</v>
      </c>
      <c r="U41">
        <v>1380</v>
      </c>
      <c r="V41" t="s">
        <v>57</v>
      </c>
      <c r="W41">
        <v>0</v>
      </c>
      <c r="X41">
        <v>0</v>
      </c>
      <c r="Y41">
        <v>0</v>
      </c>
      <c r="Z41">
        <v>0</v>
      </c>
      <c r="AA41" t="s">
        <v>67</v>
      </c>
      <c r="AB41">
        <v>0</v>
      </c>
      <c r="AC41">
        <v>0</v>
      </c>
      <c r="AD41">
        <v>0</v>
      </c>
      <c r="AE41">
        <v>0</v>
      </c>
      <c r="AF41" t="s">
        <v>63</v>
      </c>
      <c r="AG41">
        <v>0</v>
      </c>
      <c r="AH41">
        <v>0</v>
      </c>
      <c r="AI41">
        <v>0</v>
      </c>
      <c r="AJ41">
        <v>0</v>
      </c>
      <c r="AK41" t="b">
        <v>0</v>
      </c>
      <c r="AL41" t="s">
        <v>58</v>
      </c>
      <c r="AM41" t="s">
        <v>58</v>
      </c>
      <c r="AN41" t="s">
        <v>66</v>
      </c>
      <c r="AO41">
        <v>14</v>
      </c>
      <c r="AP41">
        <v>2</v>
      </c>
      <c r="AQ41">
        <v>15</v>
      </c>
      <c r="AR41">
        <v>11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s">
        <v>61</v>
      </c>
      <c r="BA41" t="s">
        <v>57</v>
      </c>
      <c r="BB41" t="s">
        <v>55</v>
      </c>
      <c r="BC41" t="s">
        <v>58</v>
      </c>
      <c r="BD41" t="s">
        <v>58</v>
      </c>
    </row>
    <row r="42" spans="1:56" x14ac:dyDescent="0.25">
      <c r="A42" t="str" cm="1">
        <f t="array" ref="A42">_xlfn.XLOOKUP(RIGHT(M42,8),TeamIdentity!C:C,TeamIdentity!A:A,NONE)</f>
        <v>Bills</v>
      </c>
      <c r="B42" t="str" cm="1">
        <f t="array" ref="B42">_xlfn.XLOOKUP(RIGHT(F42,8),TeamIdentity!C:C,TeamIdentity!A:A,NONE)</f>
        <v>Lions</v>
      </c>
      <c r="C42" t="s">
        <v>54</v>
      </c>
      <c r="D42" t="s">
        <v>54</v>
      </c>
      <c r="E42" t="s">
        <v>54</v>
      </c>
      <c r="F42" t="s">
        <v>513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524</v>
      </c>
      <c r="N42">
        <v>-1</v>
      </c>
      <c r="O42">
        <v>0</v>
      </c>
      <c r="P42">
        <v>-1</v>
      </c>
      <c r="Q42">
        <v>0</v>
      </c>
      <c r="R42" t="s">
        <v>70</v>
      </c>
      <c r="S42">
        <v>0</v>
      </c>
      <c r="T42">
        <v>0</v>
      </c>
      <c r="U42">
        <v>1200</v>
      </c>
      <c r="V42" t="s">
        <v>57</v>
      </c>
      <c r="W42">
        <v>0</v>
      </c>
      <c r="X42">
        <v>0</v>
      </c>
      <c r="Y42">
        <v>0</v>
      </c>
      <c r="Z42">
        <v>0</v>
      </c>
      <c r="AA42" t="s">
        <v>67</v>
      </c>
      <c r="AB42">
        <v>0</v>
      </c>
      <c r="AC42">
        <v>0</v>
      </c>
      <c r="AD42">
        <v>0</v>
      </c>
      <c r="AE42">
        <v>0</v>
      </c>
      <c r="AF42" t="s">
        <v>68</v>
      </c>
      <c r="AG42">
        <v>0</v>
      </c>
      <c r="AH42">
        <v>0</v>
      </c>
      <c r="AI42">
        <v>0</v>
      </c>
      <c r="AJ42">
        <v>0</v>
      </c>
      <c r="AK42" t="b">
        <v>0</v>
      </c>
      <c r="AL42" t="s">
        <v>58</v>
      </c>
      <c r="AM42" t="s">
        <v>58</v>
      </c>
      <c r="AN42" t="s">
        <v>66</v>
      </c>
      <c r="AO42">
        <v>14</v>
      </c>
      <c r="AP42">
        <v>2</v>
      </c>
      <c r="AQ42">
        <v>6</v>
      </c>
      <c r="AR42">
        <v>11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s">
        <v>61</v>
      </c>
      <c r="BA42" t="s">
        <v>57</v>
      </c>
      <c r="BB42" t="s">
        <v>55</v>
      </c>
      <c r="BC42" t="s">
        <v>58</v>
      </c>
      <c r="BD42" t="s">
        <v>58</v>
      </c>
    </row>
    <row r="43" spans="1:56" x14ac:dyDescent="0.25">
      <c r="A43" t="str" cm="1">
        <f t="array" ref="A43">_xlfn.XLOOKUP(RIGHT(M43,8),TeamIdentity!C:C,TeamIdentity!A:A,NONE)</f>
        <v>Commanders</v>
      </c>
      <c r="B43" t="str" cm="1">
        <f t="array" ref="B43">_xlfn.XLOOKUP(RIGHT(F43,8),TeamIdentity!C:C,TeamIdentity!A:A,NONE)</f>
        <v>Bills</v>
      </c>
      <c r="C43" t="s">
        <v>54</v>
      </c>
      <c r="D43" t="s">
        <v>54</v>
      </c>
      <c r="E43" t="s">
        <v>54</v>
      </c>
      <c r="F43" t="s">
        <v>524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521</v>
      </c>
      <c r="N43">
        <v>-1</v>
      </c>
      <c r="O43">
        <v>0</v>
      </c>
      <c r="P43">
        <v>-1</v>
      </c>
      <c r="Q43">
        <v>0</v>
      </c>
      <c r="R43" t="s">
        <v>70</v>
      </c>
      <c r="S43">
        <v>0</v>
      </c>
      <c r="T43">
        <v>0</v>
      </c>
      <c r="U43">
        <v>1140</v>
      </c>
      <c r="V43" t="s">
        <v>57</v>
      </c>
      <c r="W43">
        <v>0</v>
      </c>
      <c r="X43">
        <v>0</v>
      </c>
      <c r="Y43">
        <v>0</v>
      </c>
      <c r="Z43">
        <v>0</v>
      </c>
      <c r="AA43" t="s">
        <v>67</v>
      </c>
      <c r="AB43">
        <v>0</v>
      </c>
      <c r="AC43">
        <v>0</v>
      </c>
      <c r="AD43">
        <v>0</v>
      </c>
      <c r="AE43">
        <v>0</v>
      </c>
      <c r="AF43" t="s">
        <v>63</v>
      </c>
      <c r="AG43">
        <v>0</v>
      </c>
      <c r="AH43">
        <v>0</v>
      </c>
      <c r="AI43">
        <v>0</v>
      </c>
      <c r="AJ43">
        <v>0</v>
      </c>
      <c r="AK43" t="b">
        <v>0</v>
      </c>
      <c r="AL43" t="s">
        <v>58</v>
      </c>
      <c r="AM43" t="s">
        <v>58</v>
      </c>
      <c r="AN43" t="s">
        <v>66</v>
      </c>
      <c r="AO43">
        <v>14</v>
      </c>
      <c r="AP43">
        <v>1</v>
      </c>
      <c r="AQ43">
        <v>11</v>
      </c>
      <c r="AR43">
        <v>11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s">
        <v>61</v>
      </c>
      <c r="BA43" t="s">
        <v>57</v>
      </c>
      <c r="BB43" t="s">
        <v>55</v>
      </c>
      <c r="BC43" t="s">
        <v>58</v>
      </c>
      <c r="BD43" t="s">
        <v>58</v>
      </c>
    </row>
    <row r="44" spans="1:56" x14ac:dyDescent="0.25">
      <c r="A44" t="str" cm="1">
        <f t="array" ref="A44">_xlfn.XLOOKUP(RIGHT(M44,8),TeamIdentity!C:C,TeamIdentity!A:A,NONE)</f>
        <v>Jets</v>
      </c>
      <c r="B44" t="str" cm="1">
        <f t="array" ref="B44">_xlfn.XLOOKUP(RIGHT(F44,8),TeamIdentity!C:C,TeamIdentity!A:A,NONE)</f>
        <v>49ers</v>
      </c>
      <c r="C44" t="s">
        <v>54</v>
      </c>
      <c r="D44" t="s">
        <v>54</v>
      </c>
      <c r="E44" t="s">
        <v>54</v>
      </c>
      <c r="F44" t="s">
        <v>533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522</v>
      </c>
      <c r="N44">
        <v>-1</v>
      </c>
      <c r="O44">
        <v>0</v>
      </c>
      <c r="P44">
        <v>-1</v>
      </c>
      <c r="Q44">
        <v>0</v>
      </c>
      <c r="R44" t="s">
        <v>70</v>
      </c>
      <c r="S44">
        <v>0</v>
      </c>
      <c r="T44">
        <v>0</v>
      </c>
      <c r="U44">
        <v>1200</v>
      </c>
      <c r="V44" t="s">
        <v>57</v>
      </c>
      <c r="W44">
        <v>0</v>
      </c>
      <c r="X44">
        <v>0</v>
      </c>
      <c r="Y44">
        <v>0</v>
      </c>
      <c r="Z44">
        <v>0</v>
      </c>
      <c r="AA44" t="s">
        <v>67</v>
      </c>
      <c r="AB44">
        <v>0</v>
      </c>
      <c r="AC44">
        <v>0</v>
      </c>
      <c r="AD44">
        <v>0</v>
      </c>
      <c r="AE44">
        <v>0</v>
      </c>
      <c r="AF44" t="s">
        <v>68</v>
      </c>
      <c r="AG44">
        <v>0</v>
      </c>
      <c r="AH44">
        <v>0</v>
      </c>
      <c r="AI44">
        <v>0</v>
      </c>
      <c r="AJ44">
        <v>0</v>
      </c>
      <c r="AK44" t="b">
        <v>0</v>
      </c>
      <c r="AL44" t="s">
        <v>58</v>
      </c>
      <c r="AM44" t="s">
        <v>58</v>
      </c>
      <c r="AN44" t="s">
        <v>66</v>
      </c>
      <c r="AO44">
        <v>14</v>
      </c>
      <c r="AP44">
        <v>2</v>
      </c>
      <c r="AQ44">
        <v>7</v>
      </c>
      <c r="AR44">
        <v>11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s">
        <v>61</v>
      </c>
      <c r="BA44" t="s">
        <v>57</v>
      </c>
      <c r="BB44" t="s">
        <v>55</v>
      </c>
      <c r="BC44" t="s">
        <v>58</v>
      </c>
      <c r="BD44" t="s">
        <v>58</v>
      </c>
    </row>
    <row r="45" spans="1:56" x14ac:dyDescent="0.25">
      <c r="A45" t="str" cm="1">
        <f t="array" ref="A45">_xlfn.XLOOKUP(RIGHT(M45,8),TeamIdentity!C:C,TeamIdentity!A:A,NONE)</f>
        <v>Texans</v>
      </c>
      <c r="B45" t="str" cm="1">
        <f t="array" ref="B45">_xlfn.XLOOKUP(RIGHT(F45,8),TeamIdentity!C:C,TeamIdentity!A:A,NONE)</f>
        <v>Rams</v>
      </c>
      <c r="C45" t="s">
        <v>54</v>
      </c>
      <c r="D45" t="s">
        <v>54</v>
      </c>
      <c r="E45" t="s">
        <v>54</v>
      </c>
      <c r="F45" t="s">
        <v>542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517</v>
      </c>
      <c r="N45">
        <v>-1</v>
      </c>
      <c r="O45">
        <v>0</v>
      </c>
      <c r="P45">
        <v>-1</v>
      </c>
      <c r="Q45">
        <v>0</v>
      </c>
      <c r="R45" t="s">
        <v>70</v>
      </c>
      <c r="S45">
        <v>0</v>
      </c>
      <c r="T45">
        <v>0</v>
      </c>
      <c r="U45">
        <v>1200</v>
      </c>
      <c r="V45" t="s">
        <v>57</v>
      </c>
      <c r="W45">
        <v>0</v>
      </c>
      <c r="X45">
        <v>0</v>
      </c>
      <c r="Y45">
        <v>0</v>
      </c>
      <c r="Z45">
        <v>0</v>
      </c>
      <c r="AA45" t="s">
        <v>67</v>
      </c>
      <c r="AB45">
        <v>0</v>
      </c>
      <c r="AC45">
        <v>0</v>
      </c>
      <c r="AD45">
        <v>0</v>
      </c>
      <c r="AE45">
        <v>0</v>
      </c>
      <c r="AF45" t="s">
        <v>63</v>
      </c>
      <c r="AG45">
        <v>0</v>
      </c>
      <c r="AH45">
        <v>0</v>
      </c>
      <c r="AI45">
        <v>0</v>
      </c>
      <c r="AJ45">
        <v>0</v>
      </c>
      <c r="AK45" t="b">
        <v>0</v>
      </c>
      <c r="AL45" t="s">
        <v>58</v>
      </c>
      <c r="AM45" t="s">
        <v>58</v>
      </c>
      <c r="AN45" t="s">
        <v>66</v>
      </c>
      <c r="AO45">
        <v>14</v>
      </c>
      <c r="AP45">
        <v>1</v>
      </c>
      <c r="AQ45">
        <v>12</v>
      </c>
      <c r="AR45">
        <v>11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s">
        <v>61</v>
      </c>
      <c r="BA45" t="s">
        <v>57</v>
      </c>
      <c r="BB45" t="s">
        <v>55</v>
      </c>
      <c r="BC45" t="s">
        <v>58</v>
      </c>
      <c r="BD45" t="s">
        <v>58</v>
      </c>
    </row>
    <row r="46" spans="1:56" x14ac:dyDescent="0.25">
      <c r="A46" t="str" cm="1">
        <f t="array" ref="A46">_xlfn.XLOOKUP(RIGHT(M46,8),TeamIdentity!C:C,TeamIdentity!A:A,NONE)</f>
        <v>Titans</v>
      </c>
      <c r="B46" t="str" cm="1">
        <f t="array" ref="B46">_xlfn.XLOOKUP(RIGHT(F46,8),TeamIdentity!C:C,TeamIdentity!A:A,NONE)</f>
        <v>Buccaneers</v>
      </c>
      <c r="C46" t="s">
        <v>54</v>
      </c>
      <c r="D46" t="s">
        <v>54</v>
      </c>
      <c r="E46" t="s">
        <v>54</v>
      </c>
      <c r="F46" t="s">
        <v>531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534</v>
      </c>
      <c r="N46">
        <v>90323</v>
      </c>
      <c r="O46">
        <v>0</v>
      </c>
      <c r="P46">
        <v>90322</v>
      </c>
      <c r="Q46">
        <v>0</v>
      </c>
      <c r="R46" t="s">
        <v>70</v>
      </c>
      <c r="S46">
        <v>0</v>
      </c>
      <c r="T46">
        <v>0</v>
      </c>
      <c r="U46">
        <v>1260</v>
      </c>
      <c r="V46" t="s">
        <v>57</v>
      </c>
      <c r="W46">
        <v>0</v>
      </c>
      <c r="X46">
        <v>0</v>
      </c>
      <c r="Y46">
        <v>0</v>
      </c>
      <c r="Z46">
        <v>0</v>
      </c>
      <c r="AA46" t="s">
        <v>67</v>
      </c>
      <c r="AB46">
        <v>0</v>
      </c>
      <c r="AC46">
        <v>0</v>
      </c>
      <c r="AD46">
        <v>0</v>
      </c>
      <c r="AE46">
        <v>0</v>
      </c>
      <c r="AF46" t="s">
        <v>63</v>
      </c>
      <c r="AG46">
        <v>0</v>
      </c>
      <c r="AH46">
        <v>0</v>
      </c>
      <c r="AI46">
        <v>0</v>
      </c>
      <c r="AJ46">
        <v>0</v>
      </c>
      <c r="AK46" t="b">
        <v>0</v>
      </c>
      <c r="AL46" t="s">
        <v>58</v>
      </c>
      <c r="AM46" t="s">
        <v>58</v>
      </c>
      <c r="AN46" t="s">
        <v>66</v>
      </c>
      <c r="AO46">
        <v>14</v>
      </c>
      <c r="AP46">
        <v>0</v>
      </c>
      <c r="AQ46">
        <v>14</v>
      </c>
      <c r="AR46">
        <v>11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s">
        <v>61</v>
      </c>
      <c r="BA46" t="s">
        <v>57</v>
      </c>
      <c r="BB46" t="s">
        <v>55</v>
      </c>
      <c r="BC46" t="s">
        <v>58</v>
      </c>
      <c r="BD46" t="s">
        <v>58</v>
      </c>
    </row>
    <row r="47" spans="1:56" x14ac:dyDescent="0.25">
      <c r="A47" t="str" cm="1">
        <f t="array" ref="A47">_xlfn.XLOOKUP(RIGHT(M47,8),TeamIdentity!C:C,TeamIdentity!A:A,NONE)</f>
        <v>Falcons</v>
      </c>
      <c r="B47" t="str" cm="1">
        <f t="array" ref="B47">_xlfn.XLOOKUP(RIGHT(F47,8),TeamIdentity!C:C,TeamIdentity!A:A,NONE)</f>
        <v>Titans</v>
      </c>
      <c r="C47" t="s">
        <v>54</v>
      </c>
      <c r="D47" t="s">
        <v>54</v>
      </c>
      <c r="E47" t="s">
        <v>54</v>
      </c>
      <c r="F47" t="s">
        <v>534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515</v>
      </c>
      <c r="N47">
        <v>-1</v>
      </c>
      <c r="O47">
        <v>0</v>
      </c>
      <c r="P47">
        <v>-1</v>
      </c>
      <c r="Q47">
        <v>0</v>
      </c>
      <c r="R47" t="s">
        <v>70</v>
      </c>
      <c r="S47">
        <v>0</v>
      </c>
      <c r="T47">
        <v>0</v>
      </c>
      <c r="U47">
        <v>1140</v>
      </c>
      <c r="V47" t="s">
        <v>57</v>
      </c>
      <c r="W47">
        <v>0</v>
      </c>
      <c r="X47">
        <v>0</v>
      </c>
      <c r="Y47">
        <v>0</v>
      </c>
      <c r="Z47">
        <v>0</v>
      </c>
      <c r="AA47" t="s">
        <v>67</v>
      </c>
      <c r="AB47">
        <v>0</v>
      </c>
      <c r="AC47">
        <v>0</v>
      </c>
      <c r="AD47">
        <v>0</v>
      </c>
      <c r="AE47">
        <v>0</v>
      </c>
      <c r="AF47" t="s">
        <v>69</v>
      </c>
      <c r="AG47">
        <v>0</v>
      </c>
      <c r="AH47">
        <v>0</v>
      </c>
      <c r="AI47">
        <v>0</v>
      </c>
      <c r="AJ47">
        <v>0</v>
      </c>
      <c r="AK47" t="b">
        <v>0</v>
      </c>
      <c r="AL47" t="s">
        <v>58</v>
      </c>
      <c r="AM47" t="s">
        <v>58</v>
      </c>
      <c r="AN47" t="s">
        <v>66</v>
      </c>
      <c r="AO47">
        <v>14</v>
      </c>
      <c r="AP47">
        <v>1</v>
      </c>
      <c r="AQ47">
        <v>8</v>
      </c>
      <c r="AR47">
        <v>11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s">
        <v>61</v>
      </c>
      <c r="BA47" t="s">
        <v>57</v>
      </c>
      <c r="BB47" t="s">
        <v>55</v>
      </c>
      <c r="BC47" t="s">
        <v>58</v>
      </c>
      <c r="BD47" t="s">
        <v>58</v>
      </c>
    </row>
    <row r="48" spans="1:56" x14ac:dyDescent="0.25">
      <c r="A48" t="str" cm="1">
        <f t="array" ref="A48">_xlfn.XLOOKUP(RIGHT(M48,8),TeamIdentity!C:C,TeamIdentity!A:A,NONE)</f>
        <v>Lions</v>
      </c>
      <c r="B48" t="str" cm="1">
        <f t="array" ref="B48">_xlfn.XLOOKUP(RIGHT(F48,8),TeamIdentity!C:C,TeamIdentity!A:A,NONE)</f>
        <v>Vikings</v>
      </c>
      <c r="C48" t="s">
        <v>54</v>
      </c>
      <c r="D48" t="s">
        <v>54</v>
      </c>
      <c r="E48" t="s">
        <v>54</v>
      </c>
      <c r="F48" t="s">
        <v>526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513</v>
      </c>
      <c r="N48">
        <v>-1</v>
      </c>
      <c r="O48">
        <v>0</v>
      </c>
      <c r="P48">
        <v>-1</v>
      </c>
      <c r="Q48">
        <v>0</v>
      </c>
      <c r="R48" t="s">
        <v>70</v>
      </c>
      <c r="S48">
        <v>0</v>
      </c>
      <c r="T48">
        <v>0</v>
      </c>
      <c r="U48">
        <v>1140</v>
      </c>
      <c r="V48" t="s">
        <v>57</v>
      </c>
      <c r="W48">
        <v>0</v>
      </c>
      <c r="X48">
        <v>0</v>
      </c>
      <c r="Y48">
        <v>0</v>
      </c>
      <c r="Z48">
        <v>0</v>
      </c>
      <c r="AA48" t="s">
        <v>65</v>
      </c>
      <c r="AB48">
        <v>0</v>
      </c>
      <c r="AC48">
        <v>0</v>
      </c>
      <c r="AD48">
        <v>0</v>
      </c>
      <c r="AE48">
        <v>0</v>
      </c>
      <c r="AF48" t="s">
        <v>65</v>
      </c>
      <c r="AG48">
        <v>0</v>
      </c>
      <c r="AH48">
        <v>0</v>
      </c>
      <c r="AI48">
        <v>0</v>
      </c>
      <c r="AJ48">
        <v>0</v>
      </c>
      <c r="AK48" t="b">
        <v>0</v>
      </c>
      <c r="AL48" t="s">
        <v>58</v>
      </c>
      <c r="AM48" t="s">
        <v>58</v>
      </c>
      <c r="AN48" t="s">
        <v>71</v>
      </c>
      <c r="AO48">
        <v>14</v>
      </c>
      <c r="AP48">
        <v>0</v>
      </c>
      <c r="AQ48">
        <v>13</v>
      </c>
      <c r="AR48">
        <v>11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s">
        <v>61</v>
      </c>
      <c r="BA48" t="s">
        <v>57</v>
      </c>
      <c r="BB48" t="s">
        <v>55</v>
      </c>
      <c r="BC48" t="s">
        <v>58</v>
      </c>
      <c r="BD48" t="s">
        <v>58</v>
      </c>
    </row>
    <row r="49" spans="1:56" x14ac:dyDescent="0.25">
      <c r="A49" t="str" cm="1">
        <f t="array" ref="A49">_xlfn.XLOOKUP(RIGHT(M49,8),TeamIdentity!C:C,TeamIdentity!A:A,NONE)</f>
        <v>Titans</v>
      </c>
      <c r="B49" t="str" cm="1">
        <f t="array" ref="B49">_xlfn.XLOOKUP(RIGHT(F49,8),TeamIdentity!C:C,TeamIdentity!A:A,NONE)</f>
        <v>Falcons</v>
      </c>
      <c r="C49" t="s">
        <v>54</v>
      </c>
      <c r="D49" t="s">
        <v>54</v>
      </c>
      <c r="E49" t="s">
        <v>54</v>
      </c>
      <c r="F49" t="s">
        <v>515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534</v>
      </c>
      <c r="N49">
        <v>-1</v>
      </c>
      <c r="O49">
        <v>0</v>
      </c>
      <c r="P49">
        <v>-1</v>
      </c>
      <c r="Q49">
        <v>0</v>
      </c>
      <c r="R49" t="s">
        <v>70</v>
      </c>
      <c r="S49">
        <v>0</v>
      </c>
      <c r="T49">
        <v>0</v>
      </c>
      <c r="U49">
        <v>975</v>
      </c>
      <c r="V49" t="s">
        <v>57</v>
      </c>
      <c r="W49">
        <v>0</v>
      </c>
      <c r="X49">
        <v>0</v>
      </c>
      <c r="Y49">
        <v>0</v>
      </c>
      <c r="Z49">
        <v>0</v>
      </c>
      <c r="AA49" t="s">
        <v>67</v>
      </c>
      <c r="AB49">
        <v>0</v>
      </c>
      <c r="AC49">
        <v>0</v>
      </c>
      <c r="AD49">
        <v>0</v>
      </c>
      <c r="AE49">
        <v>0</v>
      </c>
      <c r="AF49" t="s">
        <v>60</v>
      </c>
      <c r="AG49">
        <v>0</v>
      </c>
      <c r="AH49">
        <v>0</v>
      </c>
      <c r="AI49">
        <v>0</v>
      </c>
      <c r="AJ49">
        <v>0</v>
      </c>
      <c r="AK49" t="b">
        <v>0</v>
      </c>
      <c r="AL49" t="s">
        <v>58</v>
      </c>
      <c r="AM49" t="s">
        <v>58</v>
      </c>
      <c r="AN49" t="s">
        <v>71</v>
      </c>
      <c r="AO49">
        <v>14</v>
      </c>
      <c r="AP49">
        <v>0</v>
      </c>
      <c r="AQ49">
        <v>9</v>
      </c>
      <c r="AR49">
        <v>11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s">
        <v>61</v>
      </c>
      <c r="BA49" t="s">
        <v>57</v>
      </c>
      <c r="BB49" t="s">
        <v>55</v>
      </c>
      <c r="BC49" t="s">
        <v>58</v>
      </c>
      <c r="BD49" t="s">
        <v>58</v>
      </c>
    </row>
    <row r="50" spans="1:56" x14ac:dyDescent="0.25">
      <c r="A50" t="str" cm="1">
        <f t="array" ref="A50">_xlfn.XLOOKUP(RIGHT(M50,8),TeamIdentity!C:C,TeamIdentity!A:A,NONE)</f>
        <v>Bengals</v>
      </c>
      <c r="B50" t="str" cm="1">
        <f t="array" ref="B50">_xlfn.XLOOKUP(RIGHT(F50,8),TeamIdentity!C:C,TeamIdentity!A:A,NONE)</f>
        <v>49ers</v>
      </c>
      <c r="C50" t="s">
        <v>54</v>
      </c>
      <c r="D50" t="s">
        <v>54</v>
      </c>
      <c r="E50" t="s">
        <v>54</v>
      </c>
      <c r="F50" t="s">
        <v>533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532</v>
      </c>
      <c r="N50">
        <v>-1</v>
      </c>
      <c r="O50">
        <v>0</v>
      </c>
      <c r="P50">
        <v>-1</v>
      </c>
      <c r="Q50">
        <v>0</v>
      </c>
      <c r="R50" t="s">
        <v>70</v>
      </c>
      <c r="S50">
        <v>0</v>
      </c>
      <c r="T50">
        <v>0</v>
      </c>
      <c r="U50">
        <v>780</v>
      </c>
      <c r="V50" t="s">
        <v>57</v>
      </c>
      <c r="W50">
        <v>0</v>
      </c>
      <c r="X50">
        <v>0</v>
      </c>
      <c r="Y50">
        <v>0</v>
      </c>
      <c r="Z50">
        <v>0</v>
      </c>
      <c r="AA50" t="s">
        <v>67</v>
      </c>
      <c r="AB50">
        <v>0</v>
      </c>
      <c r="AC50">
        <v>0</v>
      </c>
      <c r="AD50">
        <v>0</v>
      </c>
      <c r="AE50">
        <v>0</v>
      </c>
      <c r="AF50" t="s">
        <v>60</v>
      </c>
      <c r="AG50">
        <v>0</v>
      </c>
      <c r="AH50">
        <v>0</v>
      </c>
      <c r="AI50">
        <v>0</v>
      </c>
      <c r="AJ50">
        <v>0</v>
      </c>
      <c r="AK50" t="b">
        <v>0</v>
      </c>
      <c r="AL50" t="s">
        <v>58</v>
      </c>
      <c r="AM50" t="s">
        <v>58</v>
      </c>
      <c r="AN50" t="s">
        <v>71</v>
      </c>
      <c r="AO50">
        <v>14</v>
      </c>
      <c r="AP50">
        <v>0</v>
      </c>
      <c r="AQ50">
        <v>2</v>
      </c>
      <c r="AR50">
        <v>11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s">
        <v>61</v>
      </c>
      <c r="BA50" t="s">
        <v>57</v>
      </c>
      <c r="BB50" t="s">
        <v>55</v>
      </c>
      <c r="BC50" t="s">
        <v>58</v>
      </c>
      <c r="BD50" t="s">
        <v>58</v>
      </c>
    </row>
    <row r="51" spans="1:56" x14ac:dyDescent="0.25">
      <c r="A51" t="str" cm="1">
        <f t="array" ref="A51">_xlfn.XLOOKUP(RIGHT(M51,8),TeamIdentity!C:C,TeamIdentity!A:A,NONE)</f>
        <v>Patriots</v>
      </c>
      <c r="B51" t="str" cm="1">
        <f t="array" ref="B51">_xlfn.XLOOKUP(RIGHT(F51,8),TeamIdentity!C:C,TeamIdentity!A:A,NONE)</f>
        <v>Cardinals</v>
      </c>
      <c r="C51" t="s">
        <v>54</v>
      </c>
      <c r="D51" t="s">
        <v>54</v>
      </c>
      <c r="E51" t="s">
        <v>54</v>
      </c>
      <c r="F51" t="s">
        <v>538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512</v>
      </c>
      <c r="N51">
        <v>-1</v>
      </c>
      <c r="O51">
        <v>0</v>
      </c>
      <c r="P51">
        <v>-1</v>
      </c>
      <c r="Q51">
        <v>0</v>
      </c>
      <c r="R51" t="s">
        <v>70</v>
      </c>
      <c r="S51">
        <v>0</v>
      </c>
      <c r="T51">
        <v>0</v>
      </c>
      <c r="U51">
        <v>1140</v>
      </c>
      <c r="V51" t="s">
        <v>57</v>
      </c>
      <c r="W51">
        <v>0</v>
      </c>
      <c r="X51">
        <v>0</v>
      </c>
      <c r="Y51">
        <v>0</v>
      </c>
      <c r="Z51">
        <v>0</v>
      </c>
      <c r="AA51" t="s">
        <v>67</v>
      </c>
      <c r="AB51">
        <v>0</v>
      </c>
      <c r="AC51">
        <v>0</v>
      </c>
      <c r="AD51">
        <v>0</v>
      </c>
      <c r="AE51">
        <v>0</v>
      </c>
      <c r="AF51" t="s">
        <v>69</v>
      </c>
      <c r="AG51">
        <v>0</v>
      </c>
      <c r="AH51">
        <v>0</v>
      </c>
      <c r="AI51">
        <v>0</v>
      </c>
      <c r="AJ51">
        <v>0</v>
      </c>
      <c r="AK51" t="b">
        <v>0</v>
      </c>
      <c r="AL51" t="s">
        <v>58</v>
      </c>
      <c r="AM51" t="s">
        <v>58</v>
      </c>
      <c r="AN51" t="s">
        <v>66</v>
      </c>
      <c r="AO51">
        <v>14</v>
      </c>
      <c r="AP51">
        <v>2</v>
      </c>
      <c r="AQ51">
        <v>8</v>
      </c>
      <c r="AR51">
        <v>11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s">
        <v>61</v>
      </c>
      <c r="BA51" t="s">
        <v>57</v>
      </c>
      <c r="BB51" t="s">
        <v>55</v>
      </c>
      <c r="BC51" t="s">
        <v>58</v>
      </c>
      <c r="BD51" t="s">
        <v>58</v>
      </c>
    </row>
    <row r="52" spans="1:56" x14ac:dyDescent="0.25">
      <c r="A52" t="str" cm="1">
        <f t="array" ref="A52">_xlfn.XLOOKUP(RIGHT(M52,8),TeamIdentity!C:C,TeamIdentity!A:A,NONE)</f>
        <v>Steelers</v>
      </c>
      <c r="B52" t="str" cm="1">
        <f t="array" ref="B52">_xlfn.XLOOKUP(RIGHT(F52,8),TeamIdentity!C:C,TeamIdentity!A:A,NONE)</f>
        <v>Rams</v>
      </c>
      <c r="C52" t="s">
        <v>54</v>
      </c>
      <c r="D52" t="s">
        <v>54</v>
      </c>
      <c r="E52" t="s">
        <v>54</v>
      </c>
      <c r="F52" t="s">
        <v>542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518</v>
      </c>
      <c r="N52">
        <v>-1</v>
      </c>
      <c r="O52">
        <v>0</v>
      </c>
      <c r="P52">
        <v>-1</v>
      </c>
      <c r="Q52">
        <v>0</v>
      </c>
      <c r="R52" t="s">
        <v>70</v>
      </c>
      <c r="S52">
        <v>0</v>
      </c>
      <c r="T52">
        <v>0</v>
      </c>
      <c r="U52">
        <v>780</v>
      </c>
      <c r="V52" t="s">
        <v>57</v>
      </c>
      <c r="W52">
        <v>0</v>
      </c>
      <c r="X52">
        <v>0</v>
      </c>
      <c r="Y52">
        <v>0</v>
      </c>
      <c r="Z52">
        <v>0</v>
      </c>
      <c r="AA52" t="s">
        <v>67</v>
      </c>
      <c r="AB52">
        <v>0</v>
      </c>
      <c r="AC52">
        <v>0</v>
      </c>
      <c r="AD52">
        <v>0</v>
      </c>
      <c r="AE52">
        <v>0</v>
      </c>
      <c r="AF52" t="s">
        <v>60</v>
      </c>
      <c r="AG52">
        <v>0</v>
      </c>
      <c r="AH52">
        <v>0</v>
      </c>
      <c r="AI52">
        <v>0</v>
      </c>
      <c r="AJ52">
        <v>0</v>
      </c>
      <c r="AK52" t="b">
        <v>0</v>
      </c>
      <c r="AL52" t="s">
        <v>58</v>
      </c>
      <c r="AM52" t="s">
        <v>58</v>
      </c>
      <c r="AN52" t="s">
        <v>71</v>
      </c>
      <c r="AO52">
        <v>14</v>
      </c>
      <c r="AP52">
        <v>0</v>
      </c>
      <c r="AQ52">
        <v>3</v>
      </c>
      <c r="AR52">
        <v>11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s">
        <v>61</v>
      </c>
      <c r="BA52" t="s">
        <v>57</v>
      </c>
      <c r="BB52" t="s">
        <v>55</v>
      </c>
      <c r="BC52" t="s">
        <v>58</v>
      </c>
      <c r="BD52" t="s">
        <v>58</v>
      </c>
    </row>
    <row r="53" spans="1:56" x14ac:dyDescent="0.25">
      <c r="A53" t="str" cm="1">
        <f t="array" ref="A53">_xlfn.XLOOKUP(RIGHT(M53,8),TeamIdentity!C:C,TeamIdentity!A:A,NONE)</f>
        <v>Colts</v>
      </c>
      <c r="B53" t="str" cm="1">
        <f t="array" ref="B53">_xlfn.XLOOKUP(RIGHT(F53,8),TeamIdentity!C:C,TeamIdentity!A:A,NONE)</f>
        <v>Commanders</v>
      </c>
      <c r="C53" t="s">
        <v>54</v>
      </c>
      <c r="D53" t="s">
        <v>54</v>
      </c>
      <c r="E53" t="s">
        <v>54</v>
      </c>
      <c r="F53" t="s">
        <v>521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540</v>
      </c>
      <c r="N53">
        <v>-1</v>
      </c>
      <c r="O53">
        <v>0</v>
      </c>
      <c r="P53">
        <v>-1</v>
      </c>
      <c r="Q53">
        <v>0</v>
      </c>
      <c r="R53" t="s">
        <v>70</v>
      </c>
      <c r="S53">
        <v>0</v>
      </c>
      <c r="T53">
        <v>0</v>
      </c>
      <c r="U53">
        <v>1200</v>
      </c>
      <c r="V53" t="s">
        <v>57</v>
      </c>
      <c r="W53">
        <v>0</v>
      </c>
      <c r="X53">
        <v>0</v>
      </c>
      <c r="Y53">
        <v>0</v>
      </c>
      <c r="Z53">
        <v>0</v>
      </c>
      <c r="AA53" t="s">
        <v>67</v>
      </c>
      <c r="AB53">
        <v>0</v>
      </c>
      <c r="AC53">
        <v>0</v>
      </c>
      <c r="AD53">
        <v>0</v>
      </c>
      <c r="AE53">
        <v>0</v>
      </c>
      <c r="AF53" t="s">
        <v>60</v>
      </c>
      <c r="AG53">
        <v>0</v>
      </c>
      <c r="AH53">
        <v>0</v>
      </c>
      <c r="AI53">
        <v>0</v>
      </c>
      <c r="AJ53">
        <v>0</v>
      </c>
      <c r="AK53" t="b">
        <v>0</v>
      </c>
      <c r="AL53" t="s">
        <v>58</v>
      </c>
      <c r="AM53" t="s">
        <v>58</v>
      </c>
      <c r="AN53" t="s">
        <v>66</v>
      </c>
      <c r="AO53">
        <v>14</v>
      </c>
      <c r="AP53">
        <v>2</v>
      </c>
      <c r="AQ53">
        <v>1</v>
      </c>
      <c r="AR53">
        <v>11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s">
        <v>61</v>
      </c>
      <c r="BA53" t="s">
        <v>57</v>
      </c>
      <c r="BB53" t="s">
        <v>55</v>
      </c>
      <c r="BC53" t="s">
        <v>58</v>
      </c>
      <c r="BD53" t="s">
        <v>58</v>
      </c>
    </row>
    <row r="54" spans="1:56" x14ac:dyDescent="0.25">
      <c r="A54" t="str" cm="1">
        <f t="array" ref="A54">_xlfn.XLOOKUP(RIGHT(M54,8),TeamIdentity!C:C,TeamIdentity!A:A,NONE)</f>
        <v>Bears</v>
      </c>
      <c r="B54" t="str" cm="1">
        <f t="array" ref="B54">_xlfn.XLOOKUP(RIGHT(F54,8),TeamIdentity!C:C,TeamIdentity!A:A,NONE)</f>
        <v>Giants</v>
      </c>
      <c r="C54" t="s">
        <v>54</v>
      </c>
      <c r="D54" t="s">
        <v>54</v>
      </c>
      <c r="E54" t="s">
        <v>54</v>
      </c>
      <c r="F54" t="s">
        <v>514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 t="s">
        <v>523</v>
      </c>
      <c r="N54">
        <v>-1</v>
      </c>
      <c r="O54">
        <v>0</v>
      </c>
      <c r="P54">
        <v>-1</v>
      </c>
      <c r="Q54">
        <v>0</v>
      </c>
      <c r="R54" t="s">
        <v>70</v>
      </c>
      <c r="S54">
        <v>0</v>
      </c>
      <c r="T54">
        <v>0</v>
      </c>
      <c r="U54">
        <v>780</v>
      </c>
      <c r="V54" t="s">
        <v>57</v>
      </c>
      <c r="W54">
        <v>0</v>
      </c>
      <c r="X54">
        <v>0</v>
      </c>
      <c r="Y54">
        <v>0</v>
      </c>
      <c r="Z54">
        <v>0</v>
      </c>
      <c r="AA54" t="s">
        <v>67</v>
      </c>
      <c r="AB54">
        <v>0</v>
      </c>
      <c r="AC54">
        <v>0</v>
      </c>
      <c r="AD54">
        <v>0</v>
      </c>
      <c r="AE54">
        <v>0</v>
      </c>
      <c r="AF54" t="s">
        <v>60</v>
      </c>
      <c r="AG54">
        <v>0</v>
      </c>
      <c r="AH54">
        <v>0</v>
      </c>
      <c r="AI54">
        <v>0</v>
      </c>
      <c r="AJ54">
        <v>0</v>
      </c>
      <c r="AK54" t="b">
        <v>0</v>
      </c>
      <c r="AL54" t="s">
        <v>58</v>
      </c>
      <c r="AM54" t="s">
        <v>58</v>
      </c>
      <c r="AN54" t="s">
        <v>71</v>
      </c>
      <c r="AO54">
        <v>14</v>
      </c>
      <c r="AP54">
        <v>0</v>
      </c>
      <c r="AQ54">
        <v>4</v>
      </c>
      <c r="AR54">
        <v>11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s">
        <v>61</v>
      </c>
      <c r="BA54" t="s">
        <v>57</v>
      </c>
      <c r="BB54" t="s">
        <v>55</v>
      </c>
      <c r="BC54" t="s">
        <v>58</v>
      </c>
      <c r="BD54" t="s">
        <v>58</v>
      </c>
    </row>
    <row r="55" spans="1:56" x14ac:dyDescent="0.25">
      <c r="A55" t="str" cm="1">
        <f t="array" ref="A55">_xlfn.XLOOKUP(RIGHT(M55,8),TeamIdentity!C:C,TeamIdentity!A:A,NONE)</f>
        <v>Jaguars</v>
      </c>
      <c r="B55" t="str" cm="1">
        <f t="array" ref="B55">_xlfn.XLOOKUP(RIGHT(F55,8),TeamIdentity!C:C,TeamIdentity!A:A,NONE)</f>
        <v>Buccaneers</v>
      </c>
      <c r="C55" t="s">
        <v>54</v>
      </c>
      <c r="D55" t="s">
        <v>54</v>
      </c>
      <c r="E55" t="s">
        <v>54</v>
      </c>
      <c r="F55" t="s">
        <v>531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536</v>
      </c>
      <c r="N55">
        <v>-1</v>
      </c>
      <c r="O55">
        <v>0</v>
      </c>
      <c r="P55">
        <v>-1</v>
      </c>
      <c r="Q55">
        <v>0</v>
      </c>
      <c r="R55" t="s">
        <v>70</v>
      </c>
      <c r="S55">
        <v>0</v>
      </c>
      <c r="T55">
        <v>0</v>
      </c>
      <c r="U55">
        <v>1140</v>
      </c>
      <c r="V55" t="s">
        <v>57</v>
      </c>
      <c r="W55">
        <v>0</v>
      </c>
      <c r="X55">
        <v>0</v>
      </c>
      <c r="Y55">
        <v>0</v>
      </c>
      <c r="Z55">
        <v>0</v>
      </c>
      <c r="AA55" t="s">
        <v>67</v>
      </c>
      <c r="AB55">
        <v>0</v>
      </c>
      <c r="AC55">
        <v>0</v>
      </c>
      <c r="AD55">
        <v>0</v>
      </c>
      <c r="AE55">
        <v>0</v>
      </c>
      <c r="AF55" t="s">
        <v>63</v>
      </c>
      <c r="AG55">
        <v>0</v>
      </c>
      <c r="AH55">
        <v>0</v>
      </c>
      <c r="AI55">
        <v>0</v>
      </c>
      <c r="AJ55">
        <v>0</v>
      </c>
      <c r="AK55" t="b">
        <v>0</v>
      </c>
      <c r="AL55" t="s">
        <v>58</v>
      </c>
      <c r="AM55" t="s">
        <v>58</v>
      </c>
      <c r="AN55" t="s">
        <v>66</v>
      </c>
      <c r="AO55">
        <v>14</v>
      </c>
      <c r="AP55">
        <v>2</v>
      </c>
      <c r="AQ55">
        <v>9</v>
      </c>
      <c r="AR55">
        <v>11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s">
        <v>61</v>
      </c>
      <c r="BA55" t="s">
        <v>57</v>
      </c>
      <c r="BB55" t="s">
        <v>55</v>
      </c>
      <c r="BC55" t="s">
        <v>58</v>
      </c>
      <c r="BD55" t="s">
        <v>58</v>
      </c>
    </row>
    <row r="56" spans="1:56" x14ac:dyDescent="0.25">
      <c r="A56" t="str" cm="1">
        <f t="array" ref="A56">_xlfn.XLOOKUP(RIGHT(M56,8),TeamIdentity!C:C,TeamIdentity!A:A,NONE)</f>
        <v>Vikings</v>
      </c>
      <c r="B56" t="str" cm="1">
        <f t="array" ref="B56">_xlfn.XLOOKUP(RIGHT(F56,8),TeamIdentity!C:C,TeamIdentity!A:A,NONE)</f>
        <v>Bears</v>
      </c>
      <c r="C56" t="s">
        <v>54</v>
      </c>
      <c r="D56" t="s">
        <v>54</v>
      </c>
      <c r="E56" t="s">
        <v>54</v>
      </c>
      <c r="F56" t="s">
        <v>523</v>
      </c>
      <c r="G56" t="s">
        <v>54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526</v>
      </c>
      <c r="N56">
        <v>-1</v>
      </c>
      <c r="O56">
        <v>0</v>
      </c>
      <c r="P56">
        <v>-1</v>
      </c>
      <c r="Q56">
        <v>0</v>
      </c>
      <c r="R56" t="s">
        <v>70</v>
      </c>
      <c r="S56">
        <v>0</v>
      </c>
      <c r="T56">
        <v>0</v>
      </c>
      <c r="U56">
        <v>780</v>
      </c>
      <c r="V56" t="s">
        <v>57</v>
      </c>
      <c r="W56">
        <v>0</v>
      </c>
      <c r="X56">
        <v>0</v>
      </c>
      <c r="Y56">
        <v>0</v>
      </c>
      <c r="Z56">
        <v>0</v>
      </c>
      <c r="AA56" t="s">
        <v>67</v>
      </c>
      <c r="AB56">
        <v>0</v>
      </c>
      <c r="AC56">
        <v>0</v>
      </c>
      <c r="AD56">
        <v>0</v>
      </c>
      <c r="AE56">
        <v>0</v>
      </c>
      <c r="AF56" t="s">
        <v>60</v>
      </c>
      <c r="AG56">
        <v>0</v>
      </c>
      <c r="AH56">
        <v>0</v>
      </c>
      <c r="AI56">
        <v>0</v>
      </c>
      <c r="AJ56">
        <v>0</v>
      </c>
      <c r="AK56" t="b">
        <v>0</v>
      </c>
      <c r="AL56" t="s">
        <v>58</v>
      </c>
      <c r="AM56" t="s">
        <v>58</v>
      </c>
      <c r="AN56" t="s">
        <v>71</v>
      </c>
      <c r="AO56">
        <v>14</v>
      </c>
      <c r="AP56">
        <v>1</v>
      </c>
      <c r="AQ56">
        <v>0</v>
      </c>
      <c r="AR56">
        <v>11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s">
        <v>61</v>
      </c>
      <c r="BA56" t="s">
        <v>57</v>
      </c>
      <c r="BB56" t="s">
        <v>55</v>
      </c>
      <c r="BC56" t="s">
        <v>58</v>
      </c>
      <c r="BD56" t="s">
        <v>58</v>
      </c>
    </row>
    <row r="57" spans="1:56" x14ac:dyDescent="0.25">
      <c r="A57" t="str" cm="1">
        <f t="array" ref="A57">_xlfn.XLOOKUP(RIGHT(M57,8),TeamIdentity!C:C,TeamIdentity!A:A,NONE)</f>
        <v>Chiefs</v>
      </c>
      <c r="B57" t="str" cm="1">
        <f t="array" ref="B57">_xlfn.XLOOKUP(RIGHT(F57,8),TeamIdentity!C:C,TeamIdentity!A:A,NONE)</f>
        <v>Ravens</v>
      </c>
      <c r="C57" t="s">
        <v>54</v>
      </c>
      <c r="D57" t="s">
        <v>54</v>
      </c>
      <c r="E57" t="s">
        <v>54</v>
      </c>
      <c r="F57" t="s">
        <v>520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535</v>
      </c>
      <c r="N57">
        <v>-1</v>
      </c>
      <c r="O57">
        <v>0</v>
      </c>
      <c r="P57">
        <v>-1</v>
      </c>
      <c r="Q57">
        <v>0</v>
      </c>
      <c r="R57" t="s">
        <v>70</v>
      </c>
      <c r="S57">
        <v>0</v>
      </c>
      <c r="T57">
        <v>0</v>
      </c>
      <c r="U57">
        <v>780</v>
      </c>
      <c r="V57" t="s">
        <v>57</v>
      </c>
      <c r="W57">
        <v>0</v>
      </c>
      <c r="X57">
        <v>0</v>
      </c>
      <c r="Y57">
        <v>0</v>
      </c>
      <c r="Z57">
        <v>0</v>
      </c>
      <c r="AA57" t="s">
        <v>67</v>
      </c>
      <c r="AB57">
        <v>0</v>
      </c>
      <c r="AC57">
        <v>0</v>
      </c>
      <c r="AD57">
        <v>0</v>
      </c>
      <c r="AE57">
        <v>0</v>
      </c>
      <c r="AF57" t="s">
        <v>60</v>
      </c>
      <c r="AG57">
        <v>0</v>
      </c>
      <c r="AH57">
        <v>0</v>
      </c>
      <c r="AI57">
        <v>0</v>
      </c>
      <c r="AJ57">
        <v>0</v>
      </c>
      <c r="AK57" t="b">
        <v>0</v>
      </c>
      <c r="AL57" t="s">
        <v>58</v>
      </c>
      <c r="AM57" t="s">
        <v>58</v>
      </c>
      <c r="AN57" t="s">
        <v>71</v>
      </c>
      <c r="AO57">
        <v>14</v>
      </c>
      <c r="AP57">
        <v>0</v>
      </c>
      <c r="AQ57">
        <v>5</v>
      </c>
      <c r="AR57">
        <v>11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s">
        <v>61</v>
      </c>
      <c r="BA57" t="s">
        <v>57</v>
      </c>
      <c r="BB57" t="s">
        <v>55</v>
      </c>
      <c r="BC57" t="s">
        <v>58</v>
      </c>
      <c r="BD57" t="s">
        <v>58</v>
      </c>
    </row>
    <row r="58" spans="1:56" x14ac:dyDescent="0.25">
      <c r="A58" t="str" cm="1">
        <f t="array" ref="A58">_xlfn.XLOOKUP(RIGHT(M58,8),TeamIdentity!C:C,TeamIdentity!A:A,NONE)</f>
        <v>Chargers</v>
      </c>
      <c r="B58" t="str" cm="1">
        <f t="array" ref="B58">_xlfn.XLOOKUP(RIGHT(F58,8),TeamIdentity!C:C,TeamIdentity!A:A,NONE)</f>
        <v>Bills</v>
      </c>
      <c r="C58" t="s">
        <v>54</v>
      </c>
      <c r="D58" t="s">
        <v>54</v>
      </c>
      <c r="E58" t="s">
        <v>54</v>
      </c>
      <c r="F58" t="s">
        <v>524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528</v>
      </c>
      <c r="N58">
        <v>-1</v>
      </c>
      <c r="O58">
        <v>0</v>
      </c>
      <c r="P58">
        <v>-1</v>
      </c>
      <c r="Q58">
        <v>0</v>
      </c>
      <c r="R58" t="s">
        <v>70</v>
      </c>
      <c r="S58">
        <v>0</v>
      </c>
      <c r="T58">
        <v>0</v>
      </c>
      <c r="U58">
        <v>965</v>
      </c>
      <c r="V58" t="s">
        <v>57</v>
      </c>
      <c r="W58">
        <v>0</v>
      </c>
      <c r="X58">
        <v>0</v>
      </c>
      <c r="Y58">
        <v>0</v>
      </c>
      <c r="Z58">
        <v>0</v>
      </c>
      <c r="AA58" t="s">
        <v>67</v>
      </c>
      <c r="AB58">
        <v>0</v>
      </c>
      <c r="AC58">
        <v>0</v>
      </c>
      <c r="AD58">
        <v>0</v>
      </c>
      <c r="AE58">
        <v>0</v>
      </c>
      <c r="AF58" t="s">
        <v>60</v>
      </c>
      <c r="AG58">
        <v>0</v>
      </c>
      <c r="AH58">
        <v>0</v>
      </c>
      <c r="AI58">
        <v>0</v>
      </c>
      <c r="AJ58">
        <v>0</v>
      </c>
      <c r="AK58" t="b">
        <v>0</v>
      </c>
      <c r="AL58" t="s">
        <v>58</v>
      </c>
      <c r="AM58" t="s">
        <v>58</v>
      </c>
      <c r="AN58" t="s">
        <v>71</v>
      </c>
      <c r="AO58">
        <v>14</v>
      </c>
      <c r="AP58">
        <v>0</v>
      </c>
      <c r="AQ58">
        <v>8</v>
      </c>
      <c r="AR58">
        <v>11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s">
        <v>61</v>
      </c>
      <c r="BA58" t="s">
        <v>57</v>
      </c>
      <c r="BB58" t="s">
        <v>55</v>
      </c>
      <c r="BC58" t="s">
        <v>58</v>
      </c>
      <c r="BD58" t="s">
        <v>58</v>
      </c>
    </row>
    <row r="59" spans="1:56" x14ac:dyDescent="0.25">
      <c r="A59" t="str" cm="1">
        <f t="array" ref="A59">_xlfn.XLOOKUP(RIGHT(M59,8),TeamIdentity!C:C,TeamIdentity!A:A,NONE)</f>
        <v>Cardinals</v>
      </c>
      <c r="B59" t="str" cm="1">
        <f t="array" ref="B59">_xlfn.XLOOKUP(RIGHT(F59,8),TeamIdentity!C:C,TeamIdentity!A:A,NONE)</f>
        <v>Seahawks</v>
      </c>
      <c r="C59" t="s">
        <v>54</v>
      </c>
      <c r="D59" t="s">
        <v>54</v>
      </c>
      <c r="E59" t="s">
        <v>54</v>
      </c>
      <c r="F59" t="s">
        <v>527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538</v>
      </c>
      <c r="N59">
        <v>-1</v>
      </c>
      <c r="O59">
        <v>0</v>
      </c>
      <c r="P59">
        <v>-1</v>
      </c>
      <c r="Q59">
        <v>0</v>
      </c>
      <c r="R59" t="s">
        <v>70</v>
      </c>
      <c r="S59">
        <v>0</v>
      </c>
      <c r="T59">
        <v>0</v>
      </c>
      <c r="U59">
        <v>1335</v>
      </c>
      <c r="V59" t="s">
        <v>57</v>
      </c>
      <c r="W59">
        <v>0</v>
      </c>
      <c r="X59">
        <v>0</v>
      </c>
      <c r="Y59">
        <v>0</v>
      </c>
      <c r="Z59">
        <v>0</v>
      </c>
      <c r="AA59" t="s">
        <v>65</v>
      </c>
      <c r="AB59">
        <v>0</v>
      </c>
      <c r="AC59">
        <v>0</v>
      </c>
      <c r="AD59">
        <v>0</v>
      </c>
      <c r="AE59">
        <v>0</v>
      </c>
      <c r="AF59" t="s">
        <v>65</v>
      </c>
      <c r="AG59">
        <v>0</v>
      </c>
      <c r="AH59">
        <v>0</v>
      </c>
      <c r="AI59">
        <v>0</v>
      </c>
      <c r="AJ59">
        <v>0</v>
      </c>
      <c r="AK59" t="b">
        <v>0</v>
      </c>
      <c r="AL59" t="s">
        <v>58</v>
      </c>
      <c r="AM59" t="s">
        <v>58</v>
      </c>
      <c r="AN59" t="s">
        <v>71</v>
      </c>
      <c r="AO59">
        <v>14</v>
      </c>
      <c r="AP59">
        <v>0</v>
      </c>
      <c r="AQ59">
        <v>14</v>
      </c>
      <c r="AR59">
        <v>11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s">
        <v>61</v>
      </c>
      <c r="BA59" t="s">
        <v>57</v>
      </c>
      <c r="BB59" t="s">
        <v>55</v>
      </c>
      <c r="BC59" t="s">
        <v>58</v>
      </c>
      <c r="BD59" t="s">
        <v>58</v>
      </c>
    </row>
    <row r="60" spans="1:56" x14ac:dyDescent="0.25">
      <c r="A60" t="str" cm="1">
        <f t="array" ref="A60">_xlfn.XLOOKUP(RIGHT(M60,8),TeamIdentity!C:C,TeamIdentity!A:A,NONE)</f>
        <v>Broncos</v>
      </c>
      <c r="B60" t="str" cm="1">
        <f t="array" ref="B60">_xlfn.XLOOKUP(RIGHT(F60,8),TeamIdentity!C:C,TeamIdentity!A:A,NONE)</f>
        <v>Seahawks</v>
      </c>
      <c r="C60" t="s">
        <v>54</v>
      </c>
      <c r="D60" t="s">
        <v>54</v>
      </c>
      <c r="E60" t="s">
        <v>54</v>
      </c>
      <c r="F60" t="s">
        <v>527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539</v>
      </c>
      <c r="N60">
        <v>-1</v>
      </c>
      <c r="O60">
        <v>0</v>
      </c>
      <c r="P60">
        <v>-1</v>
      </c>
      <c r="Q60">
        <v>0</v>
      </c>
      <c r="R60" t="s">
        <v>70</v>
      </c>
      <c r="S60">
        <v>0</v>
      </c>
      <c r="T60">
        <v>0</v>
      </c>
      <c r="U60">
        <v>1320</v>
      </c>
      <c r="V60" t="s">
        <v>57</v>
      </c>
      <c r="W60">
        <v>0</v>
      </c>
      <c r="X60">
        <v>0</v>
      </c>
      <c r="Y60">
        <v>0</v>
      </c>
      <c r="Z60">
        <v>0</v>
      </c>
      <c r="AA60" t="s">
        <v>67</v>
      </c>
      <c r="AB60">
        <v>0</v>
      </c>
      <c r="AC60">
        <v>0</v>
      </c>
      <c r="AD60">
        <v>0</v>
      </c>
      <c r="AE60">
        <v>0</v>
      </c>
      <c r="AF60" t="s">
        <v>63</v>
      </c>
      <c r="AG60">
        <v>0</v>
      </c>
      <c r="AH60">
        <v>0</v>
      </c>
      <c r="AI60">
        <v>0</v>
      </c>
      <c r="AJ60">
        <v>0</v>
      </c>
      <c r="AK60" t="b">
        <v>0</v>
      </c>
      <c r="AL60" t="s">
        <v>58</v>
      </c>
      <c r="AM60" t="s">
        <v>58</v>
      </c>
      <c r="AN60" t="s">
        <v>66</v>
      </c>
      <c r="AO60">
        <v>14</v>
      </c>
      <c r="AP60">
        <v>2</v>
      </c>
      <c r="AQ60">
        <v>13</v>
      </c>
      <c r="AR60">
        <v>11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s">
        <v>61</v>
      </c>
      <c r="BA60" t="s">
        <v>57</v>
      </c>
      <c r="BB60" t="s">
        <v>55</v>
      </c>
      <c r="BC60" t="s">
        <v>58</v>
      </c>
      <c r="BD60" t="s">
        <v>58</v>
      </c>
    </row>
    <row r="61" spans="1:56" x14ac:dyDescent="0.25">
      <c r="A61" t="str" cm="1">
        <f t="array" ref="A61">_xlfn.XLOOKUP(RIGHT(M61,8),TeamIdentity!C:C,TeamIdentity!A:A,NONE)</f>
        <v>Jets</v>
      </c>
      <c r="B61" t="str" cm="1">
        <f t="array" ref="B61">_xlfn.XLOOKUP(RIGHT(F61,8),TeamIdentity!C:C,TeamIdentity!A:A,NONE)</f>
        <v>Patriots</v>
      </c>
      <c r="C61" t="s">
        <v>54</v>
      </c>
      <c r="D61" t="s">
        <v>54</v>
      </c>
      <c r="E61" t="s">
        <v>54</v>
      </c>
      <c r="F61" t="s">
        <v>512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522</v>
      </c>
      <c r="N61">
        <v>-1</v>
      </c>
      <c r="O61">
        <v>0</v>
      </c>
      <c r="P61">
        <v>-1</v>
      </c>
      <c r="Q61">
        <v>0</v>
      </c>
      <c r="R61" t="s">
        <v>70</v>
      </c>
      <c r="S61">
        <v>0</v>
      </c>
      <c r="T61">
        <v>0</v>
      </c>
      <c r="U61">
        <v>780</v>
      </c>
      <c r="V61" t="s">
        <v>57</v>
      </c>
      <c r="W61">
        <v>0</v>
      </c>
      <c r="X61">
        <v>0</v>
      </c>
      <c r="Y61">
        <v>0</v>
      </c>
      <c r="Z61">
        <v>0</v>
      </c>
      <c r="AA61" t="s">
        <v>67</v>
      </c>
      <c r="AB61">
        <v>0</v>
      </c>
      <c r="AC61">
        <v>0</v>
      </c>
      <c r="AD61">
        <v>0</v>
      </c>
      <c r="AE61">
        <v>0</v>
      </c>
      <c r="AF61" t="s">
        <v>60</v>
      </c>
      <c r="AG61">
        <v>0</v>
      </c>
      <c r="AH61">
        <v>0</v>
      </c>
      <c r="AI61">
        <v>0</v>
      </c>
      <c r="AJ61">
        <v>0</v>
      </c>
      <c r="AK61" t="b">
        <v>0</v>
      </c>
      <c r="AL61" t="s">
        <v>58</v>
      </c>
      <c r="AM61" t="s">
        <v>58</v>
      </c>
      <c r="AN61" t="s">
        <v>71</v>
      </c>
      <c r="AO61">
        <v>14</v>
      </c>
      <c r="AP61">
        <v>0</v>
      </c>
      <c r="AQ61">
        <v>6</v>
      </c>
      <c r="AR61">
        <v>11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s">
        <v>61</v>
      </c>
      <c r="BA61" t="s">
        <v>57</v>
      </c>
      <c r="BB61" t="s">
        <v>55</v>
      </c>
      <c r="BC61" t="s">
        <v>58</v>
      </c>
      <c r="BD61" t="s">
        <v>58</v>
      </c>
    </row>
    <row r="62" spans="1:56" x14ac:dyDescent="0.25">
      <c r="A62" t="str" cm="1">
        <f t="array" ref="A62">_xlfn.XLOOKUP(RIGHT(M62,8),TeamIdentity!C:C,TeamIdentity!A:A,NONE)</f>
        <v>Eagles</v>
      </c>
      <c r="B62" t="str" cm="1">
        <f t="array" ref="B62">_xlfn.XLOOKUP(RIGHT(F62,8),TeamIdentity!C:C,TeamIdentity!A:A,NONE)</f>
        <v>Giants</v>
      </c>
      <c r="C62" t="s">
        <v>54</v>
      </c>
      <c r="D62" t="s">
        <v>54</v>
      </c>
      <c r="E62" t="s">
        <v>54</v>
      </c>
      <c r="F62" t="s">
        <v>514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519</v>
      </c>
      <c r="N62">
        <v>-1</v>
      </c>
      <c r="O62">
        <v>0</v>
      </c>
      <c r="P62">
        <v>-1</v>
      </c>
      <c r="Q62">
        <v>0</v>
      </c>
      <c r="R62" t="s">
        <v>70</v>
      </c>
      <c r="S62">
        <v>0</v>
      </c>
      <c r="T62">
        <v>0</v>
      </c>
      <c r="U62">
        <v>1220</v>
      </c>
      <c r="V62" t="s">
        <v>57</v>
      </c>
      <c r="W62">
        <v>0</v>
      </c>
      <c r="X62">
        <v>0</v>
      </c>
      <c r="Y62">
        <v>0</v>
      </c>
      <c r="Z62">
        <v>0</v>
      </c>
      <c r="AA62" t="s">
        <v>60</v>
      </c>
      <c r="AB62">
        <v>0</v>
      </c>
      <c r="AC62">
        <v>0</v>
      </c>
      <c r="AD62">
        <v>0</v>
      </c>
      <c r="AE62">
        <v>0</v>
      </c>
      <c r="AF62" t="s">
        <v>60</v>
      </c>
      <c r="AG62">
        <v>0</v>
      </c>
      <c r="AH62">
        <v>0</v>
      </c>
      <c r="AI62">
        <v>0</v>
      </c>
      <c r="AJ62">
        <v>0</v>
      </c>
      <c r="AK62" t="b">
        <v>0</v>
      </c>
      <c r="AL62" t="s">
        <v>58</v>
      </c>
      <c r="AM62" t="s">
        <v>58</v>
      </c>
      <c r="AN62" t="s">
        <v>71</v>
      </c>
      <c r="AO62">
        <v>14</v>
      </c>
      <c r="AP62">
        <v>1</v>
      </c>
      <c r="AQ62">
        <v>13</v>
      </c>
      <c r="AR62">
        <v>11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s">
        <v>61</v>
      </c>
      <c r="BA62" t="s">
        <v>57</v>
      </c>
      <c r="BB62" t="s">
        <v>55</v>
      </c>
      <c r="BC62" t="s">
        <v>58</v>
      </c>
      <c r="BD62" t="s">
        <v>58</v>
      </c>
    </row>
    <row r="63" spans="1:56" x14ac:dyDescent="0.25">
      <c r="A63" t="str" cm="1">
        <f t="array" ref="A63">_xlfn.XLOOKUP(RIGHT(M63,8),TeamIdentity!C:C,TeamIdentity!A:A,NONE)</f>
        <v>Jets</v>
      </c>
      <c r="B63" t="str" cm="1">
        <f t="array" ref="B63">_xlfn.XLOOKUP(RIGHT(F63,8),TeamIdentity!C:C,TeamIdentity!A:A,NONE)</f>
        <v>Eagles</v>
      </c>
      <c r="C63" t="s">
        <v>54</v>
      </c>
      <c r="D63" t="s">
        <v>54</v>
      </c>
      <c r="E63" t="s">
        <v>54</v>
      </c>
      <c r="F63" t="s">
        <v>519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522</v>
      </c>
      <c r="N63">
        <v>-1</v>
      </c>
      <c r="O63">
        <v>0</v>
      </c>
      <c r="P63">
        <v>-1</v>
      </c>
      <c r="Q63">
        <v>0</v>
      </c>
      <c r="R63" t="s">
        <v>70</v>
      </c>
      <c r="S63">
        <v>0</v>
      </c>
      <c r="T63">
        <v>0</v>
      </c>
      <c r="U63">
        <v>1200</v>
      </c>
      <c r="V63" t="s">
        <v>57</v>
      </c>
      <c r="W63">
        <v>0</v>
      </c>
      <c r="X63">
        <v>0</v>
      </c>
      <c r="Y63">
        <v>0</v>
      </c>
      <c r="Z63">
        <v>0</v>
      </c>
      <c r="AA63" t="s">
        <v>67</v>
      </c>
      <c r="AB63">
        <v>0</v>
      </c>
      <c r="AC63">
        <v>0</v>
      </c>
      <c r="AD63">
        <v>0</v>
      </c>
      <c r="AE63">
        <v>0</v>
      </c>
      <c r="AF63" t="s">
        <v>60</v>
      </c>
      <c r="AG63">
        <v>0</v>
      </c>
      <c r="AH63">
        <v>0</v>
      </c>
      <c r="AI63">
        <v>0</v>
      </c>
      <c r="AJ63">
        <v>0</v>
      </c>
      <c r="AK63" t="b">
        <v>0</v>
      </c>
      <c r="AL63" t="s">
        <v>58</v>
      </c>
      <c r="AM63" t="s">
        <v>58</v>
      </c>
      <c r="AN63" t="s">
        <v>66</v>
      </c>
      <c r="AO63">
        <v>14</v>
      </c>
      <c r="AP63">
        <v>1</v>
      </c>
      <c r="AQ63">
        <v>2</v>
      </c>
      <c r="AR63">
        <v>11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s">
        <v>61</v>
      </c>
      <c r="BA63" t="s">
        <v>57</v>
      </c>
      <c r="BB63" t="s">
        <v>55</v>
      </c>
      <c r="BC63" t="s">
        <v>58</v>
      </c>
      <c r="BD63" t="s">
        <v>58</v>
      </c>
    </row>
    <row r="64" spans="1:56" x14ac:dyDescent="0.25">
      <c r="A64" t="str" cm="1">
        <f t="array" ref="A64">_xlfn.XLOOKUP(RIGHT(M64,8),TeamIdentity!C:C,TeamIdentity!A:A,NONE)</f>
        <v>Buccaneers</v>
      </c>
      <c r="B64" t="str" cm="1">
        <f t="array" ref="B64">_xlfn.XLOOKUP(RIGHT(F64,8),TeamIdentity!C:C,TeamIdentity!A:A,NONE)</f>
        <v>Dolphins</v>
      </c>
      <c r="C64" t="s">
        <v>54</v>
      </c>
      <c r="D64" t="s">
        <v>54</v>
      </c>
      <c r="E64" t="s">
        <v>54</v>
      </c>
      <c r="F64" t="s">
        <v>516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531</v>
      </c>
      <c r="N64">
        <v>-1</v>
      </c>
      <c r="O64">
        <v>0</v>
      </c>
      <c r="P64">
        <v>-1</v>
      </c>
      <c r="Q64">
        <v>0</v>
      </c>
      <c r="R64" t="s">
        <v>70</v>
      </c>
      <c r="S64">
        <v>0</v>
      </c>
      <c r="T64">
        <v>0</v>
      </c>
      <c r="U64">
        <v>975</v>
      </c>
      <c r="V64" t="s">
        <v>57</v>
      </c>
      <c r="W64">
        <v>0</v>
      </c>
      <c r="X64">
        <v>0</v>
      </c>
      <c r="Y64">
        <v>0</v>
      </c>
      <c r="Z64">
        <v>0</v>
      </c>
      <c r="AA64" t="s">
        <v>67</v>
      </c>
      <c r="AB64">
        <v>0</v>
      </c>
      <c r="AC64">
        <v>0</v>
      </c>
      <c r="AD64">
        <v>0</v>
      </c>
      <c r="AE64">
        <v>0</v>
      </c>
      <c r="AF64" t="s">
        <v>60</v>
      </c>
      <c r="AG64">
        <v>0</v>
      </c>
      <c r="AH64">
        <v>0</v>
      </c>
      <c r="AI64">
        <v>0</v>
      </c>
      <c r="AJ64">
        <v>0</v>
      </c>
      <c r="AK64" t="b">
        <v>0</v>
      </c>
      <c r="AL64" t="s">
        <v>58</v>
      </c>
      <c r="AM64" t="s">
        <v>58</v>
      </c>
      <c r="AN64" t="s">
        <v>71</v>
      </c>
      <c r="AO64">
        <v>14</v>
      </c>
      <c r="AP64">
        <v>0</v>
      </c>
      <c r="AQ64">
        <v>10</v>
      </c>
      <c r="AR64">
        <v>11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s">
        <v>61</v>
      </c>
      <c r="BA64" t="s">
        <v>57</v>
      </c>
      <c r="BB64" t="s">
        <v>55</v>
      </c>
      <c r="BC64" t="s">
        <v>58</v>
      </c>
      <c r="BD64" t="s">
        <v>58</v>
      </c>
    </row>
    <row r="65" spans="1:56" x14ac:dyDescent="0.25">
      <c r="A65" t="str" cm="1">
        <f t="array" ref="A65">_xlfn.XLOOKUP(RIGHT(M65,8),TeamIdentity!C:C,TeamIdentity!A:A,NONE)</f>
        <v>Saints</v>
      </c>
      <c r="B65" t="str" cm="1">
        <f t="array" ref="B65">_xlfn.XLOOKUP(RIGHT(F65,8),TeamIdentity!C:C,TeamIdentity!A:A,NONE)</f>
        <v>Patriots</v>
      </c>
      <c r="C65" t="s">
        <v>54</v>
      </c>
      <c r="D65" t="s">
        <v>54</v>
      </c>
      <c r="E65" t="s">
        <v>54</v>
      </c>
      <c r="F65" t="s">
        <v>512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537</v>
      </c>
      <c r="N65">
        <v>-1</v>
      </c>
      <c r="O65">
        <v>0</v>
      </c>
      <c r="P65">
        <v>-1</v>
      </c>
      <c r="Q65">
        <v>0</v>
      </c>
      <c r="R65" t="s">
        <v>70</v>
      </c>
      <c r="S65">
        <v>0</v>
      </c>
      <c r="T65">
        <v>0</v>
      </c>
      <c r="U65">
        <v>965</v>
      </c>
      <c r="V65" t="s">
        <v>57</v>
      </c>
      <c r="W65">
        <v>0</v>
      </c>
      <c r="X65">
        <v>0</v>
      </c>
      <c r="Y65">
        <v>0</v>
      </c>
      <c r="Z65">
        <v>0</v>
      </c>
      <c r="AA65" t="s">
        <v>67</v>
      </c>
      <c r="AB65">
        <v>0</v>
      </c>
      <c r="AC65">
        <v>0</v>
      </c>
      <c r="AD65">
        <v>0</v>
      </c>
      <c r="AE65">
        <v>0</v>
      </c>
      <c r="AF65" t="s">
        <v>60</v>
      </c>
      <c r="AG65">
        <v>0</v>
      </c>
      <c r="AH65">
        <v>0</v>
      </c>
      <c r="AI65">
        <v>0</v>
      </c>
      <c r="AJ65">
        <v>0</v>
      </c>
      <c r="AK65" t="b">
        <v>0</v>
      </c>
      <c r="AL65" t="s">
        <v>58</v>
      </c>
      <c r="AM65" t="s">
        <v>58</v>
      </c>
      <c r="AN65" t="s">
        <v>71</v>
      </c>
      <c r="AO65">
        <v>14</v>
      </c>
      <c r="AP65">
        <v>1</v>
      </c>
      <c r="AQ65">
        <v>8</v>
      </c>
      <c r="AR65">
        <v>11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s">
        <v>61</v>
      </c>
      <c r="BA65" t="s">
        <v>57</v>
      </c>
      <c r="BB65" t="s">
        <v>55</v>
      </c>
      <c r="BC65" t="s">
        <v>58</v>
      </c>
      <c r="BD65" t="s">
        <v>58</v>
      </c>
    </row>
    <row r="66" spans="1:56" x14ac:dyDescent="0.25">
      <c r="A66" t="str" cm="1">
        <f t="array" ref="A66">_xlfn.XLOOKUP(RIGHT(M66,8),TeamIdentity!C:C,TeamIdentity!A:A,NONE)</f>
        <v>Chiefs</v>
      </c>
      <c r="B66" t="str" cm="1">
        <f t="array" ref="B66">_xlfn.XLOOKUP(RIGHT(F66,8),TeamIdentity!C:C,TeamIdentity!A:A,NONE)</f>
        <v>Jets</v>
      </c>
      <c r="C66" t="s">
        <v>54</v>
      </c>
      <c r="D66" t="s">
        <v>54</v>
      </c>
      <c r="E66" t="s">
        <v>54</v>
      </c>
      <c r="F66" t="s">
        <v>522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535</v>
      </c>
      <c r="N66">
        <v>-1</v>
      </c>
      <c r="O66">
        <v>0</v>
      </c>
      <c r="P66">
        <v>-1</v>
      </c>
      <c r="Q66">
        <v>0</v>
      </c>
      <c r="R66" t="s">
        <v>70</v>
      </c>
      <c r="S66">
        <v>0</v>
      </c>
      <c r="T66">
        <v>0</v>
      </c>
      <c r="U66">
        <v>780</v>
      </c>
      <c r="V66" t="s">
        <v>57</v>
      </c>
      <c r="W66">
        <v>0</v>
      </c>
      <c r="X66">
        <v>0</v>
      </c>
      <c r="Y66">
        <v>0</v>
      </c>
      <c r="Z66">
        <v>0</v>
      </c>
      <c r="AA66" t="s">
        <v>67</v>
      </c>
      <c r="AB66">
        <v>0</v>
      </c>
      <c r="AC66">
        <v>0</v>
      </c>
      <c r="AD66">
        <v>0</v>
      </c>
      <c r="AE66">
        <v>0</v>
      </c>
      <c r="AF66" t="s">
        <v>60</v>
      </c>
      <c r="AG66">
        <v>0</v>
      </c>
      <c r="AH66">
        <v>0</v>
      </c>
      <c r="AI66">
        <v>0</v>
      </c>
      <c r="AJ66">
        <v>0</v>
      </c>
      <c r="AK66" t="b">
        <v>0</v>
      </c>
      <c r="AL66" t="s">
        <v>58</v>
      </c>
      <c r="AM66" t="s">
        <v>58</v>
      </c>
      <c r="AN66" t="s">
        <v>71</v>
      </c>
      <c r="AO66">
        <v>14</v>
      </c>
      <c r="AP66">
        <v>2</v>
      </c>
      <c r="AQ66">
        <v>0</v>
      </c>
      <c r="AR66">
        <v>11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s">
        <v>61</v>
      </c>
      <c r="BA66" t="s">
        <v>57</v>
      </c>
      <c r="BB66" t="s">
        <v>55</v>
      </c>
      <c r="BC66" t="s">
        <v>58</v>
      </c>
      <c r="BD66" t="s">
        <v>58</v>
      </c>
    </row>
    <row r="67" spans="1:56" x14ac:dyDescent="0.25">
      <c r="A67" t="str" cm="1">
        <f t="array" ref="A67">_xlfn.XLOOKUP(RIGHT(M67,8),TeamIdentity!C:C,TeamIdentity!A:A,NONE)</f>
        <v>Bills</v>
      </c>
      <c r="B67" t="str" cm="1">
        <f t="array" ref="B67">_xlfn.XLOOKUP(RIGHT(F67,8),TeamIdentity!C:C,TeamIdentity!A:A,NONE)</f>
        <v>Colts</v>
      </c>
      <c r="C67" t="s">
        <v>54</v>
      </c>
      <c r="D67" t="s">
        <v>54</v>
      </c>
      <c r="E67" t="s">
        <v>54</v>
      </c>
      <c r="F67" t="s">
        <v>540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524</v>
      </c>
      <c r="N67">
        <v>-1</v>
      </c>
      <c r="O67">
        <v>0</v>
      </c>
      <c r="P67">
        <v>-1</v>
      </c>
      <c r="Q67">
        <v>0</v>
      </c>
      <c r="R67" t="s">
        <v>70</v>
      </c>
      <c r="S67">
        <v>0</v>
      </c>
      <c r="T67">
        <v>0</v>
      </c>
      <c r="U67">
        <v>780</v>
      </c>
      <c r="V67" t="s">
        <v>57</v>
      </c>
      <c r="W67">
        <v>0</v>
      </c>
      <c r="X67">
        <v>0</v>
      </c>
      <c r="Y67">
        <v>0</v>
      </c>
      <c r="Z67">
        <v>0</v>
      </c>
      <c r="AA67" t="s">
        <v>67</v>
      </c>
      <c r="AB67">
        <v>0</v>
      </c>
      <c r="AC67">
        <v>0</v>
      </c>
      <c r="AD67">
        <v>0</v>
      </c>
      <c r="AE67">
        <v>0</v>
      </c>
      <c r="AF67" t="s">
        <v>60</v>
      </c>
      <c r="AG67">
        <v>0</v>
      </c>
      <c r="AH67">
        <v>0</v>
      </c>
      <c r="AI67">
        <v>0</v>
      </c>
      <c r="AJ67">
        <v>0</v>
      </c>
      <c r="AK67" t="b">
        <v>0</v>
      </c>
      <c r="AL67" t="s">
        <v>58</v>
      </c>
      <c r="AM67" t="s">
        <v>58</v>
      </c>
      <c r="AN67" t="s">
        <v>71</v>
      </c>
      <c r="AO67">
        <v>14</v>
      </c>
      <c r="AP67">
        <v>1</v>
      </c>
      <c r="AQ67">
        <v>1</v>
      </c>
      <c r="AR67">
        <v>11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s">
        <v>61</v>
      </c>
      <c r="BA67" t="s">
        <v>57</v>
      </c>
      <c r="BB67" t="s">
        <v>55</v>
      </c>
      <c r="BC67" t="s">
        <v>58</v>
      </c>
      <c r="BD67" t="s">
        <v>58</v>
      </c>
    </row>
    <row r="68" spans="1:56" x14ac:dyDescent="0.25">
      <c r="A68" t="str" cm="1">
        <f t="array" ref="A68">_xlfn.XLOOKUP(RIGHT(M68,8),TeamIdentity!C:C,TeamIdentity!A:A,NONE)</f>
        <v>49ers</v>
      </c>
      <c r="B68" t="str" cm="1">
        <f t="array" ref="B68">_xlfn.XLOOKUP(RIGHT(F68,8),TeamIdentity!C:C,TeamIdentity!A:A,NONE)</f>
        <v>Titans</v>
      </c>
      <c r="C68" t="s">
        <v>54</v>
      </c>
      <c r="D68" t="s">
        <v>54</v>
      </c>
      <c r="E68" t="s">
        <v>54</v>
      </c>
      <c r="F68" t="s">
        <v>534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533</v>
      </c>
      <c r="N68">
        <v>-1</v>
      </c>
      <c r="O68">
        <v>0</v>
      </c>
      <c r="P68">
        <v>-1</v>
      </c>
      <c r="Q68">
        <v>0</v>
      </c>
      <c r="R68" t="s">
        <v>70</v>
      </c>
      <c r="S68">
        <v>0</v>
      </c>
      <c r="T68">
        <v>0</v>
      </c>
      <c r="U68">
        <v>975</v>
      </c>
      <c r="V68" t="s">
        <v>57</v>
      </c>
      <c r="W68">
        <v>0</v>
      </c>
      <c r="X68">
        <v>0</v>
      </c>
      <c r="Y68">
        <v>0</v>
      </c>
      <c r="Z68">
        <v>0</v>
      </c>
      <c r="AA68" t="s">
        <v>67</v>
      </c>
      <c r="AB68">
        <v>0</v>
      </c>
      <c r="AC68">
        <v>0</v>
      </c>
      <c r="AD68">
        <v>0</v>
      </c>
      <c r="AE68">
        <v>0</v>
      </c>
      <c r="AF68" t="s">
        <v>60</v>
      </c>
      <c r="AG68">
        <v>0</v>
      </c>
      <c r="AH68">
        <v>0</v>
      </c>
      <c r="AI68">
        <v>0</v>
      </c>
      <c r="AJ68">
        <v>0</v>
      </c>
      <c r="AK68" t="b">
        <v>0</v>
      </c>
      <c r="AL68" t="s">
        <v>58</v>
      </c>
      <c r="AM68" t="s">
        <v>58</v>
      </c>
      <c r="AN68" t="s">
        <v>71</v>
      </c>
      <c r="AO68">
        <v>14</v>
      </c>
      <c r="AP68">
        <v>1</v>
      </c>
      <c r="AQ68">
        <v>10</v>
      </c>
      <c r="AR68">
        <v>11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s">
        <v>61</v>
      </c>
      <c r="BA68" t="s">
        <v>57</v>
      </c>
      <c r="BB68" t="s">
        <v>55</v>
      </c>
      <c r="BC68" t="s">
        <v>58</v>
      </c>
      <c r="BD68" t="s">
        <v>58</v>
      </c>
    </row>
    <row r="69" spans="1:56" x14ac:dyDescent="0.25">
      <c r="A69" t="str" cm="1">
        <f t="array" ref="A69">_xlfn.XLOOKUP(RIGHT(M69,8),TeamIdentity!C:C,TeamIdentity!A:A,NONE)</f>
        <v>Ravens</v>
      </c>
      <c r="B69" t="str" cm="1">
        <f t="array" ref="B69">_xlfn.XLOOKUP(RIGHT(F69,8),TeamIdentity!C:C,TeamIdentity!A:A,NONE)</f>
        <v>Browns</v>
      </c>
      <c r="C69" t="s">
        <v>54</v>
      </c>
      <c r="D69" t="s">
        <v>54</v>
      </c>
      <c r="E69" t="s">
        <v>54</v>
      </c>
      <c r="F69" t="s">
        <v>530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520</v>
      </c>
      <c r="N69">
        <v>-1</v>
      </c>
      <c r="O69">
        <v>0</v>
      </c>
      <c r="P69">
        <v>-1</v>
      </c>
      <c r="Q69">
        <v>0</v>
      </c>
      <c r="R69" t="s">
        <v>70</v>
      </c>
      <c r="S69">
        <v>0</v>
      </c>
      <c r="T69">
        <v>0</v>
      </c>
      <c r="U69">
        <v>1230</v>
      </c>
      <c r="V69" t="s">
        <v>57</v>
      </c>
      <c r="W69">
        <v>0</v>
      </c>
      <c r="X69">
        <v>0</v>
      </c>
      <c r="Y69">
        <v>0</v>
      </c>
      <c r="Z69">
        <v>0</v>
      </c>
      <c r="AA69" t="s">
        <v>65</v>
      </c>
      <c r="AB69">
        <v>0</v>
      </c>
      <c r="AC69">
        <v>0</v>
      </c>
      <c r="AD69">
        <v>0</v>
      </c>
      <c r="AE69">
        <v>0</v>
      </c>
      <c r="AF69" t="s">
        <v>65</v>
      </c>
      <c r="AG69">
        <v>0</v>
      </c>
      <c r="AH69">
        <v>0</v>
      </c>
      <c r="AI69">
        <v>0</v>
      </c>
      <c r="AJ69">
        <v>0</v>
      </c>
      <c r="AK69" t="b">
        <v>0</v>
      </c>
      <c r="AL69" t="s">
        <v>58</v>
      </c>
      <c r="AM69" t="s">
        <v>58</v>
      </c>
      <c r="AN69" t="s">
        <v>71</v>
      </c>
      <c r="AO69">
        <v>14</v>
      </c>
      <c r="AP69">
        <v>1</v>
      </c>
      <c r="AQ69">
        <v>14</v>
      </c>
      <c r="AR69">
        <v>11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s">
        <v>61</v>
      </c>
      <c r="BA69" t="s">
        <v>57</v>
      </c>
      <c r="BB69" t="s">
        <v>55</v>
      </c>
      <c r="BC69" t="s">
        <v>58</v>
      </c>
      <c r="BD69" t="s">
        <v>58</v>
      </c>
    </row>
    <row r="70" spans="1:56" x14ac:dyDescent="0.25">
      <c r="A70" t="str" cm="1">
        <f t="array" ref="A70">_xlfn.XLOOKUP(RIGHT(M70,8),TeamIdentity!C:C,TeamIdentity!A:A,NONE)</f>
        <v>Cowboys</v>
      </c>
      <c r="B70" t="str" cm="1">
        <f t="array" ref="B70">_xlfn.XLOOKUP(RIGHT(F70,8),TeamIdentity!C:C,TeamIdentity!A:A,NONE)</f>
        <v>Broncos</v>
      </c>
      <c r="C70" t="s">
        <v>54</v>
      </c>
      <c r="D70" t="s">
        <v>54</v>
      </c>
      <c r="E70" t="s">
        <v>54</v>
      </c>
      <c r="F70" t="s">
        <v>539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541</v>
      </c>
      <c r="N70">
        <v>-1</v>
      </c>
      <c r="O70">
        <v>0</v>
      </c>
      <c r="P70">
        <v>-1</v>
      </c>
      <c r="Q70">
        <v>0</v>
      </c>
      <c r="R70" t="s">
        <v>70</v>
      </c>
      <c r="S70">
        <v>0</v>
      </c>
      <c r="T70">
        <v>0</v>
      </c>
      <c r="U70">
        <v>1230</v>
      </c>
      <c r="V70" t="s">
        <v>57</v>
      </c>
      <c r="W70">
        <v>0</v>
      </c>
      <c r="X70">
        <v>0</v>
      </c>
      <c r="Y70">
        <v>0</v>
      </c>
      <c r="Z70">
        <v>0</v>
      </c>
      <c r="AA70" t="s">
        <v>68</v>
      </c>
      <c r="AB70">
        <v>0</v>
      </c>
      <c r="AC70">
        <v>0</v>
      </c>
      <c r="AD70">
        <v>0</v>
      </c>
      <c r="AE70">
        <v>0</v>
      </c>
      <c r="AF70" t="s">
        <v>68</v>
      </c>
      <c r="AG70">
        <v>0</v>
      </c>
      <c r="AH70">
        <v>0</v>
      </c>
      <c r="AI70">
        <v>0</v>
      </c>
      <c r="AJ70">
        <v>0</v>
      </c>
      <c r="AK70" t="b">
        <v>0</v>
      </c>
      <c r="AL70" t="s">
        <v>58</v>
      </c>
      <c r="AM70" t="s">
        <v>58</v>
      </c>
      <c r="AN70" t="s">
        <v>71</v>
      </c>
      <c r="AO70">
        <v>14</v>
      </c>
      <c r="AP70">
        <v>0</v>
      </c>
      <c r="AQ70">
        <v>15</v>
      </c>
      <c r="AR70">
        <v>11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s">
        <v>61</v>
      </c>
      <c r="BA70" t="s">
        <v>57</v>
      </c>
      <c r="BB70" t="s">
        <v>55</v>
      </c>
      <c r="BC70" t="s">
        <v>58</v>
      </c>
      <c r="BD70" t="s">
        <v>58</v>
      </c>
    </row>
    <row r="71" spans="1:56" x14ac:dyDescent="0.25">
      <c r="A71" t="str" cm="1">
        <f t="array" ref="A71">_xlfn.XLOOKUP(RIGHT(M71,8),TeamIdentity!C:C,TeamIdentity!A:A,NONE)</f>
        <v>Dolphins</v>
      </c>
      <c r="B71" t="str" cm="1">
        <f t="array" ref="B71">_xlfn.XLOOKUP(RIGHT(F71,8),TeamIdentity!C:C,TeamIdentity!A:A,NONE)</f>
        <v>Jaguars</v>
      </c>
      <c r="C71" t="s">
        <v>54</v>
      </c>
      <c r="D71" t="s">
        <v>54</v>
      </c>
      <c r="E71" t="s">
        <v>54</v>
      </c>
      <c r="F71" t="s">
        <v>536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516</v>
      </c>
      <c r="N71">
        <v>-1</v>
      </c>
      <c r="O71">
        <v>0</v>
      </c>
      <c r="P71">
        <v>-1</v>
      </c>
      <c r="Q71">
        <v>0</v>
      </c>
      <c r="R71" t="s">
        <v>70</v>
      </c>
      <c r="S71">
        <v>0</v>
      </c>
      <c r="T71">
        <v>0</v>
      </c>
      <c r="U71">
        <v>780</v>
      </c>
      <c r="V71" t="s">
        <v>57</v>
      </c>
      <c r="W71">
        <v>0</v>
      </c>
      <c r="X71">
        <v>0</v>
      </c>
      <c r="Y71">
        <v>0</v>
      </c>
      <c r="Z71">
        <v>0</v>
      </c>
      <c r="AA71" t="s">
        <v>67</v>
      </c>
      <c r="AB71">
        <v>0</v>
      </c>
      <c r="AC71">
        <v>0</v>
      </c>
      <c r="AD71">
        <v>0</v>
      </c>
      <c r="AE71">
        <v>0</v>
      </c>
      <c r="AF71" t="s">
        <v>60</v>
      </c>
      <c r="AG71">
        <v>0</v>
      </c>
      <c r="AH71">
        <v>0</v>
      </c>
      <c r="AI71">
        <v>0</v>
      </c>
      <c r="AJ71">
        <v>0</v>
      </c>
      <c r="AK71" t="b">
        <v>0</v>
      </c>
      <c r="AL71" t="s">
        <v>58</v>
      </c>
      <c r="AM71" t="s">
        <v>58</v>
      </c>
      <c r="AN71" t="s">
        <v>71</v>
      </c>
      <c r="AO71">
        <v>14</v>
      </c>
      <c r="AP71">
        <v>1</v>
      </c>
      <c r="AQ71">
        <v>2</v>
      </c>
      <c r="AR71">
        <v>11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s">
        <v>61</v>
      </c>
      <c r="BA71" t="s">
        <v>57</v>
      </c>
      <c r="BB71" t="s">
        <v>55</v>
      </c>
      <c r="BC71" t="s">
        <v>58</v>
      </c>
      <c r="BD71" t="s">
        <v>58</v>
      </c>
    </row>
    <row r="72" spans="1:56" x14ac:dyDescent="0.25">
      <c r="A72" t="str" cm="1">
        <f t="array" ref="A72">_xlfn.XLOOKUP(RIGHT(M72,8),TeamIdentity!C:C,TeamIdentity!A:A,NONE)</f>
        <v>Patriots</v>
      </c>
      <c r="B72" t="str" cm="1">
        <f t="array" ref="B72">_xlfn.XLOOKUP(RIGHT(F72,8),TeamIdentity!C:C,TeamIdentity!A:A,NONE)</f>
        <v>Bills</v>
      </c>
      <c r="C72" t="s">
        <v>54</v>
      </c>
      <c r="D72" t="s">
        <v>54</v>
      </c>
      <c r="E72" t="s">
        <v>54</v>
      </c>
      <c r="F72" t="s">
        <v>524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512</v>
      </c>
      <c r="N72">
        <v>-1</v>
      </c>
      <c r="O72">
        <v>0</v>
      </c>
      <c r="P72">
        <v>-1</v>
      </c>
      <c r="Q72">
        <v>0</v>
      </c>
      <c r="R72" t="s">
        <v>70</v>
      </c>
      <c r="S72">
        <v>0</v>
      </c>
      <c r="T72">
        <v>0</v>
      </c>
      <c r="U72">
        <v>1230</v>
      </c>
      <c r="V72" t="s">
        <v>57</v>
      </c>
      <c r="W72">
        <v>0</v>
      </c>
      <c r="X72">
        <v>0</v>
      </c>
      <c r="Y72">
        <v>0</v>
      </c>
      <c r="Z72">
        <v>0</v>
      </c>
      <c r="AA72" t="s">
        <v>65</v>
      </c>
      <c r="AB72">
        <v>0</v>
      </c>
      <c r="AC72">
        <v>0</v>
      </c>
      <c r="AD72">
        <v>0</v>
      </c>
      <c r="AE72">
        <v>0</v>
      </c>
      <c r="AF72" t="s">
        <v>65</v>
      </c>
      <c r="AG72">
        <v>0</v>
      </c>
      <c r="AH72">
        <v>0</v>
      </c>
      <c r="AI72">
        <v>0</v>
      </c>
      <c r="AJ72">
        <v>0</v>
      </c>
      <c r="AK72" t="b">
        <v>0</v>
      </c>
      <c r="AL72" t="s">
        <v>58</v>
      </c>
      <c r="AM72" t="s">
        <v>58</v>
      </c>
      <c r="AN72" t="s">
        <v>71</v>
      </c>
      <c r="AO72">
        <v>14</v>
      </c>
      <c r="AP72">
        <v>2</v>
      </c>
      <c r="AQ72">
        <v>14</v>
      </c>
      <c r="AR72">
        <v>11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s">
        <v>61</v>
      </c>
      <c r="BA72" t="s">
        <v>57</v>
      </c>
      <c r="BB72" t="s">
        <v>55</v>
      </c>
      <c r="BC72" t="s">
        <v>58</v>
      </c>
      <c r="BD72" t="s">
        <v>58</v>
      </c>
    </row>
    <row r="73" spans="1:56" x14ac:dyDescent="0.25">
      <c r="A73" t="str" cm="1">
        <f t="array" ref="A73">_xlfn.XLOOKUP(RIGHT(M73,8),TeamIdentity!C:C,TeamIdentity!A:A,NONE)</f>
        <v>Texans</v>
      </c>
      <c r="B73" t="str" cm="1">
        <f t="array" ref="B73">_xlfn.XLOOKUP(RIGHT(F73,8),TeamIdentity!C:C,TeamIdentity!A:A,NONE)</f>
        <v>Buccaneers</v>
      </c>
      <c r="C73" t="s">
        <v>54</v>
      </c>
      <c r="D73" t="s">
        <v>54</v>
      </c>
      <c r="E73" t="s">
        <v>54</v>
      </c>
      <c r="F73" t="s">
        <v>531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517</v>
      </c>
      <c r="N73">
        <v>-1</v>
      </c>
      <c r="O73">
        <v>0</v>
      </c>
      <c r="P73">
        <v>-1</v>
      </c>
      <c r="Q73">
        <v>0</v>
      </c>
      <c r="R73" t="s">
        <v>70</v>
      </c>
      <c r="S73">
        <v>0</v>
      </c>
      <c r="T73">
        <v>0</v>
      </c>
      <c r="U73">
        <v>780</v>
      </c>
      <c r="V73" t="s">
        <v>57</v>
      </c>
      <c r="W73">
        <v>0</v>
      </c>
      <c r="X73">
        <v>0</v>
      </c>
      <c r="Y73">
        <v>0</v>
      </c>
      <c r="Z73">
        <v>0</v>
      </c>
      <c r="AA73" t="s">
        <v>67</v>
      </c>
      <c r="AB73">
        <v>0</v>
      </c>
      <c r="AC73">
        <v>0</v>
      </c>
      <c r="AD73">
        <v>0</v>
      </c>
      <c r="AE73">
        <v>0</v>
      </c>
      <c r="AF73" t="s">
        <v>60</v>
      </c>
      <c r="AG73">
        <v>0</v>
      </c>
      <c r="AH73">
        <v>0</v>
      </c>
      <c r="AI73">
        <v>0</v>
      </c>
      <c r="AJ73">
        <v>0</v>
      </c>
      <c r="AK73" t="b">
        <v>0</v>
      </c>
      <c r="AL73" t="s">
        <v>58</v>
      </c>
      <c r="AM73" t="s">
        <v>58</v>
      </c>
      <c r="AN73" t="s">
        <v>71</v>
      </c>
      <c r="AO73">
        <v>14</v>
      </c>
      <c r="AP73">
        <v>1</v>
      </c>
      <c r="AQ73">
        <v>3</v>
      </c>
      <c r="AR73">
        <v>11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s">
        <v>61</v>
      </c>
      <c r="BA73" t="s">
        <v>57</v>
      </c>
      <c r="BB73" t="s">
        <v>55</v>
      </c>
      <c r="BC73" t="s">
        <v>58</v>
      </c>
      <c r="BD73" t="s">
        <v>58</v>
      </c>
    </row>
    <row r="74" spans="1:56" x14ac:dyDescent="0.25">
      <c r="A74" t="str" cm="1">
        <f t="array" ref="A74">_xlfn.XLOOKUP(RIGHT(M74,8),TeamIdentity!C:C,TeamIdentity!A:A,NONE)</f>
        <v>Commanders</v>
      </c>
      <c r="B74" t="str" cm="1">
        <f t="array" ref="B74">_xlfn.XLOOKUP(RIGHT(F74,8),TeamIdentity!C:C,TeamIdentity!A:A,NONE)</f>
        <v>Rams</v>
      </c>
      <c r="C74" t="s">
        <v>54</v>
      </c>
      <c r="D74" t="s">
        <v>54</v>
      </c>
      <c r="E74" t="s">
        <v>54</v>
      </c>
      <c r="F74" t="s">
        <v>542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521</v>
      </c>
      <c r="N74">
        <v>-1</v>
      </c>
      <c r="O74">
        <v>0</v>
      </c>
      <c r="P74">
        <v>-1</v>
      </c>
      <c r="Q74">
        <v>0</v>
      </c>
      <c r="R74" t="s">
        <v>70</v>
      </c>
      <c r="S74">
        <v>0</v>
      </c>
      <c r="T74">
        <v>0</v>
      </c>
      <c r="U74">
        <v>1220</v>
      </c>
      <c r="V74" t="s">
        <v>57</v>
      </c>
      <c r="W74">
        <v>0</v>
      </c>
      <c r="X74">
        <v>0</v>
      </c>
      <c r="Y74">
        <v>0</v>
      </c>
      <c r="Z74">
        <v>0</v>
      </c>
      <c r="AA74" t="s">
        <v>68</v>
      </c>
      <c r="AB74">
        <v>0</v>
      </c>
      <c r="AC74">
        <v>0</v>
      </c>
      <c r="AD74">
        <v>0</v>
      </c>
      <c r="AE74">
        <v>0</v>
      </c>
      <c r="AF74" t="s">
        <v>68</v>
      </c>
      <c r="AG74">
        <v>0</v>
      </c>
      <c r="AH74">
        <v>0</v>
      </c>
      <c r="AI74">
        <v>0</v>
      </c>
      <c r="AJ74">
        <v>0</v>
      </c>
      <c r="AK74" t="b">
        <v>0</v>
      </c>
      <c r="AL74" t="s">
        <v>58</v>
      </c>
      <c r="AM74" t="s">
        <v>58</v>
      </c>
      <c r="AN74" t="s">
        <v>71</v>
      </c>
      <c r="AO74">
        <v>14</v>
      </c>
      <c r="AP74">
        <v>1</v>
      </c>
      <c r="AQ74">
        <v>15</v>
      </c>
      <c r="AR74">
        <v>11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s">
        <v>61</v>
      </c>
      <c r="BA74" t="s">
        <v>57</v>
      </c>
      <c r="BB74" t="s">
        <v>55</v>
      </c>
      <c r="BC74" t="s">
        <v>58</v>
      </c>
      <c r="BD74" t="s">
        <v>58</v>
      </c>
    </row>
    <row r="75" spans="1:56" x14ac:dyDescent="0.25">
      <c r="A75" t="str" cm="1">
        <f t="array" ref="A75">_xlfn.XLOOKUP(RIGHT(M75,8),TeamIdentity!C:C,TeamIdentity!A:A,NONE)</f>
        <v>Raiders</v>
      </c>
      <c r="B75" t="str" cm="1">
        <f t="array" ref="B75">_xlfn.XLOOKUP(RIGHT(F75,8),TeamIdentity!C:C,TeamIdentity!A:A,NONE)</f>
        <v>Packers</v>
      </c>
      <c r="C75" t="s">
        <v>54</v>
      </c>
      <c r="D75" t="s">
        <v>54</v>
      </c>
      <c r="E75" t="s">
        <v>54</v>
      </c>
      <c r="F75" t="s">
        <v>529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525</v>
      </c>
      <c r="N75">
        <v>-1</v>
      </c>
      <c r="O75">
        <v>0</v>
      </c>
      <c r="P75">
        <v>-1</v>
      </c>
      <c r="Q75">
        <v>0</v>
      </c>
      <c r="R75" t="s">
        <v>70</v>
      </c>
      <c r="S75">
        <v>0</v>
      </c>
      <c r="T75">
        <v>0</v>
      </c>
      <c r="U75">
        <v>975</v>
      </c>
      <c r="V75" t="s">
        <v>57</v>
      </c>
      <c r="W75">
        <v>0</v>
      </c>
      <c r="X75">
        <v>0</v>
      </c>
      <c r="Y75">
        <v>0</v>
      </c>
      <c r="Z75">
        <v>0</v>
      </c>
      <c r="AA75" t="s">
        <v>67</v>
      </c>
      <c r="AB75">
        <v>0</v>
      </c>
      <c r="AC75">
        <v>0</v>
      </c>
      <c r="AD75">
        <v>0</v>
      </c>
      <c r="AE75">
        <v>0</v>
      </c>
      <c r="AF75" t="s">
        <v>60</v>
      </c>
      <c r="AG75">
        <v>0</v>
      </c>
      <c r="AH75">
        <v>0</v>
      </c>
      <c r="AI75">
        <v>0</v>
      </c>
      <c r="AJ75">
        <v>0</v>
      </c>
      <c r="AK75" t="b">
        <v>0</v>
      </c>
      <c r="AL75" t="s">
        <v>58</v>
      </c>
      <c r="AM75" t="s">
        <v>58</v>
      </c>
      <c r="AN75" t="s">
        <v>71</v>
      </c>
      <c r="AO75">
        <v>14</v>
      </c>
      <c r="AP75">
        <v>0</v>
      </c>
      <c r="AQ75">
        <v>11</v>
      </c>
      <c r="AR75">
        <v>11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s">
        <v>61</v>
      </c>
      <c r="BA75" t="s">
        <v>57</v>
      </c>
      <c r="BB75" t="s">
        <v>55</v>
      </c>
      <c r="BC75" t="s">
        <v>58</v>
      </c>
      <c r="BD75" t="s">
        <v>58</v>
      </c>
    </row>
    <row r="76" spans="1:56" x14ac:dyDescent="0.25">
      <c r="A76" t="str" cm="1">
        <f t="array" ref="A76">_xlfn.XLOOKUP(RIGHT(M76,8),TeamIdentity!C:C,TeamIdentity!A:A,NONE)</f>
        <v>Panthers</v>
      </c>
      <c r="B76" t="str" cm="1">
        <f t="array" ref="B76">_xlfn.XLOOKUP(RIGHT(F76,8),TeamIdentity!C:C,TeamIdentity!A:A,NONE)</f>
        <v>Falcons</v>
      </c>
      <c r="C76" t="s">
        <v>54</v>
      </c>
      <c r="D76" t="s">
        <v>54</v>
      </c>
      <c r="E76" t="s">
        <v>54</v>
      </c>
      <c r="F76" t="s">
        <v>515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511</v>
      </c>
      <c r="N76">
        <v>-1</v>
      </c>
      <c r="O76">
        <v>0</v>
      </c>
      <c r="P76">
        <v>-1</v>
      </c>
      <c r="Q76">
        <v>0</v>
      </c>
      <c r="R76" t="s">
        <v>70</v>
      </c>
      <c r="S76">
        <v>0</v>
      </c>
      <c r="T76">
        <v>0</v>
      </c>
      <c r="U76">
        <v>780</v>
      </c>
      <c r="V76" t="s">
        <v>57</v>
      </c>
      <c r="W76">
        <v>0</v>
      </c>
      <c r="X76">
        <v>0</v>
      </c>
      <c r="Y76">
        <v>0</v>
      </c>
      <c r="Z76">
        <v>0</v>
      </c>
      <c r="AA76" t="s">
        <v>67</v>
      </c>
      <c r="AB76">
        <v>0</v>
      </c>
      <c r="AC76">
        <v>0</v>
      </c>
      <c r="AD76">
        <v>0</v>
      </c>
      <c r="AE76">
        <v>0</v>
      </c>
      <c r="AF76" t="s">
        <v>60</v>
      </c>
      <c r="AG76">
        <v>0</v>
      </c>
      <c r="AH76">
        <v>0</v>
      </c>
      <c r="AI76">
        <v>0</v>
      </c>
      <c r="AJ76">
        <v>0</v>
      </c>
      <c r="AK76" t="b">
        <v>0</v>
      </c>
      <c r="AL76" t="s">
        <v>58</v>
      </c>
      <c r="AM76" t="s">
        <v>58</v>
      </c>
      <c r="AN76" t="s">
        <v>71</v>
      </c>
      <c r="AO76">
        <v>14</v>
      </c>
      <c r="AP76">
        <v>1</v>
      </c>
      <c r="AQ76">
        <v>4</v>
      </c>
      <c r="AR76">
        <v>11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s">
        <v>61</v>
      </c>
      <c r="BA76" t="s">
        <v>57</v>
      </c>
      <c r="BB76" t="s">
        <v>55</v>
      </c>
      <c r="BC76" t="s">
        <v>58</v>
      </c>
      <c r="BD76" t="s">
        <v>58</v>
      </c>
    </row>
    <row r="77" spans="1:56" x14ac:dyDescent="0.25">
      <c r="A77" t="str" cm="1">
        <f t="array" ref="A77">_xlfn.XLOOKUP(RIGHT(M77,8),TeamIdentity!C:C,TeamIdentity!A:A,NONE)</f>
        <v>Jaguars</v>
      </c>
      <c r="B77" t="str" cm="1">
        <f t="array" ref="B77">_xlfn.XLOOKUP(RIGHT(F77,8),TeamIdentity!C:C,TeamIdentity!A:A,NONE)</f>
        <v>Browns</v>
      </c>
      <c r="C77" t="s">
        <v>54</v>
      </c>
      <c r="D77" t="s">
        <v>54</v>
      </c>
      <c r="E77" t="s">
        <v>54</v>
      </c>
      <c r="F77" t="s">
        <v>530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536</v>
      </c>
      <c r="N77">
        <v>-1</v>
      </c>
      <c r="O77">
        <v>0</v>
      </c>
      <c r="P77">
        <v>-1</v>
      </c>
      <c r="Q77">
        <v>0</v>
      </c>
      <c r="R77" t="s">
        <v>70</v>
      </c>
      <c r="S77">
        <v>0</v>
      </c>
      <c r="T77">
        <v>0</v>
      </c>
      <c r="U77">
        <v>1220</v>
      </c>
      <c r="V77" t="s">
        <v>57</v>
      </c>
      <c r="W77">
        <v>0</v>
      </c>
      <c r="X77">
        <v>0</v>
      </c>
      <c r="Y77">
        <v>0</v>
      </c>
      <c r="Z77">
        <v>0</v>
      </c>
      <c r="AA77" t="s">
        <v>60</v>
      </c>
      <c r="AB77">
        <v>0</v>
      </c>
      <c r="AC77">
        <v>0</v>
      </c>
      <c r="AD77">
        <v>0</v>
      </c>
      <c r="AE77">
        <v>0</v>
      </c>
      <c r="AF77" t="s">
        <v>60</v>
      </c>
      <c r="AG77">
        <v>0</v>
      </c>
      <c r="AH77">
        <v>0</v>
      </c>
      <c r="AI77">
        <v>0</v>
      </c>
      <c r="AJ77">
        <v>0</v>
      </c>
      <c r="AK77" t="b">
        <v>0</v>
      </c>
      <c r="AL77" t="s">
        <v>58</v>
      </c>
      <c r="AM77" t="s">
        <v>58</v>
      </c>
      <c r="AN77" t="s">
        <v>71</v>
      </c>
      <c r="AO77">
        <v>14</v>
      </c>
      <c r="AP77">
        <v>0</v>
      </c>
      <c r="AQ77">
        <v>12</v>
      </c>
      <c r="AR77">
        <v>11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s">
        <v>61</v>
      </c>
      <c r="BA77" t="s">
        <v>57</v>
      </c>
      <c r="BB77" t="s">
        <v>55</v>
      </c>
      <c r="BC77" t="s">
        <v>58</v>
      </c>
      <c r="BD77" t="s">
        <v>58</v>
      </c>
    </row>
    <row r="78" spans="1:56" x14ac:dyDescent="0.25">
      <c r="A78" t="str" cm="1">
        <f t="array" ref="A78">_xlfn.XLOOKUP(RIGHT(M78,8),TeamIdentity!C:C,TeamIdentity!A:A,NONE)</f>
        <v>Commanders</v>
      </c>
      <c r="B78" t="str" cm="1">
        <f t="array" ref="B78">_xlfn.XLOOKUP(RIGHT(F78,8),TeamIdentity!C:C,TeamIdentity!A:A,NONE)</f>
        <v>Eagles</v>
      </c>
      <c r="C78" t="s">
        <v>54</v>
      </c>
      <c r="D78" t="s">
        <v>54</v>
      </c>
      <c r="E78" t="s">
        <v>54</v>
      </c>
      <c r="F78" t="s">
        <v>519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521</v>
      </c>
      <c r="N78">
        <v>-1</v>
      </c>
      <c r="O78">
        <v>0</v>
      </c>
      <c r="P78">
        <v>-1</v>
      </c>
      <c r="Q78">
        <v>0</v>
      </c>
      <c r="R78" t="s">
        <v>70</v>
      </c>
      <c r="S78">
        <v>0</v>
      </c>
      <c r="T78">
        <v>0</v>
      </c>
      <c r="U78">
        <v>780</v>
      </c>
      <c r="V78" t="s">
        <v>57</v>
      </c>
      <c r="W78">
        <v>0</v>
      </c>
      <c r="X78">
        <v>0</v>
      </c>
      <c r="Y78">
        <v>0</v>
      </c>
      <c r="Z78">
        <v>0</v>
      </c>
      <c r="AA78" t="s">
        <v>67</v>
      </c>
      <c r="AB78">
        <v>0</v>
      </c>
      <c r="AC78">
        <v>0</v>
      </c>
      <c r="AD78">
        <v>0</v>
      </c>
      <c r="AE78">
        <v>0</v>
      </c>
      <c r="AF78" t="s">
        <v>60</v>
      </c>
      <c r="AG78">
        <v>0</v>
      </c>
      <c r="AH78">
        <v>0</v>
      </c>
      <c r="AI78">
        <v>0</v>
      </c>
      <c r="AJ78">
        <v>0</v>
      </c>
      <c r="AK78" t="b">
        <v>0</v>
      </c>
      <c r="AL78" t="s">
        <v>58</v>
      </c>
      <c r="AM78" t="s">
        <v>58</v>
      </c>
      <c r="AN78" t="s">
        <v>71</v>
      </c>
      <c r="AO78">
        <v>14</v>
      </c>
      <c r="AP78">
        <v>0</v>
      </c>
      <c r="AQ78">
        <v>7</v>
      </c>
      <c r="AR78">
        <v>11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s">
        <v>61</v>
      </c>
      <c r="BA78" t="s">
        <v>57</v>
      </c>
      <c r="BB78" t="s">
        <v>55</v>
      </c>
      <c r="BC78" t="s">
        <v>58</v>
      </c>
      <c r="BD78" t="s">
        <v>58</v>
      </c>
    </row>
    <row r="79" spans="1:56" x14ac:dyDescent="0.25">
      <c r="A79" t="str" cm="1">
        <f t="array" ref="A79">_xlfn.XLOOKUP(RIGHT(M79,8),TeamIdentity!C:C,TeamIdentity!A:A,NONE)</f>
        <v>Lions</v>
      </c>
      <c r="B79" t="str" cm="1">
        <f t="array" ref="B79">_xlfn.XLOOKUP(RIGHT(F79,8),TeamIdentity!C:C,TeamIdentity!A:A,NONE)</f>
        <v>Cowboys</v>
      </c>
      <c r="C79" t="s">
        <v>54</v>
      </c>
      <c r="D79" t="s">
        <v>54</v>
      </c>
      <c r="E79" t="s">
        <v>54</v>
      </c>
      <c r="F79" t="s">
        <v>541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513</v>
      </c>
      <c r="N79">
        <v>-1</v>
      </c>
      <c r="O79">
        <v>0</v>
      </c>
      <c r="P79">
        <v>-1</v>
      </c>
      <c r="Q79">
        <v>0</v>
      </c>
      <c r="R79" t="s">
        <v>70</v>
      </c>
      <c r="S79">
        <v>0</v>
      </c>
      <c r="T79">
        <v>0</v>
      </c>
      <c r="U79">
        <v>780</v>
      </c>
      <c r="V79" t="s">
        <v>57</v>
      </c>
      <c r="W79">
        <v>0</v>
      </c>
      <c r="X79">
        <v>0</v>
      </c>
      <c r="Y79">
        <v>0</v>
      </c>
      <c r="Z79">
        <v>0</v>
      </c>
      <c r="AA79" t="s">
        <v>67</v>
      </c>
      <c r="AB79">
        <v>0</v>
      </c>
      <c r="AC79">
        <v>0</v>
      </c>
      <c r="AD79">
        <v>0</v>
      </c>
      <c r="AE79">
        <v>0</v>
      </c>
      <c r="AF79" t="s">
        <v>60</v>
      </c>
      <c r="AG79">
        <v>0</v>
      </c>
      <c r="AH79">
        <v>0</v>
      </c>
      <c r="AI79">
        <v>0</v>
      </c>
      <c r="AJ79">
        <v>0</v>
      </c>
      <c r="AK79" t="b">
        <v>0</v>
      </c>
      <c r="AL79" t="s">
        <v>58</v>
      </c>
      <c r="AM79" t="s">
        <v>58</v>
      </c>
      <c r="AN79" t="s">
        <v>71</v>
      </c>
      <c r="AO79">
        <v>14</v>
      </c>
      <c r="AP79">
        <v>1</v>
      </c>
      <c r="AQ79">
        <v>5</v>
      </c>
      <c r="AR79">
        <v>11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s">
        <v>61</v>
      </c>
      <c r="BA79" t="s">
        <v>57</v>
      </c>
      <c r="BB79" t="s">
        <v>55</v>
      </c>
      <c r="BC79" t="s">
        <v>58</v>
      </c>
      <c r="BD79" t="s">
        <v>58</v>
      </c>
    </row>
    <row r="80" spans="1:56" x14ac:dyDescent="0.25">
      <c r="A80" t="str" cm="1">
        <f t="array" ref="A80">_xlfn.XLOOKUP(RIGHT(M80,8),TeamIdentity!C:C,TeamIdentity!A:A,NONE)</f>
        <v>Jets</v>
      </c>
      <c r="B80" t="str" cm="1">
        <f t="array" ref="B80">_xlfn.XLOOKUP(RIGHT(F80,8),TeamIdentity!C:C,TeamIdentity!A:A,NONE)</f>
        <v>Chargers</v>
      </c>
      <c r="C80" t="s">
        <v>54</v>
      </c>
      <c r="D80" t="s">
        <v>54</v>
      </c>
      <c r="E80" t="s">
        <v>54</v>
      </c>
      <c r="F80" t="s">
        <v>528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522</v>
      </c>
      <c r="N80">
        <v>-1</v>
      </c>
      <c r="O80">
        <v>0</v>
      </c>
      <c r="P80">
        <v>-1</v>
      </c>
      <c r="Q80">
        <v>0</v>
      </c>
      <c r="R80" t="s">
        <v>70</v>
      </c>
      <c r="S80">
        <v>0</v>
      </c>
      <c r="T80">
        <v>0</v>
      </c>
      <c r="U80">
        <v>975</v>
      </c>
      <c r="V80" t="s">
        <v>57</v>
      </c>
      <c r="W80">
        <v>0</v>
      </c>
      <c r="X80">
        <v>0</v>
      </c>
      <c r="Y80">
        <v>0</v>
      </c>
      <c r="Z80">
        <v>0</v>
      </c>
      <c r="AA80" t="s">
        <v>67</v>
      </c>
      <c r="AB80">
        <v>0</v>
      </c>
      <c r="AC80">
        <v>0</v>
      </c>
      <c r="AD80">
        <v>0</v>
      </c>
      <c r="AE80">
        <v>0</v>
      </c>
      <c r="AF80" t="s">
        <v>60</v>
      </c>
      <c r="AG80">
        <v>0</v>
      </c>
      <c r="AH80">
        <v>0</v>
      </c>
      <c r="AI80">
        <v>0</v>
      </c>
      <c r="AJ80">
        <v>0</v>
      </c>
      <c r="AK80" t="b">
        <v>0</v>
      </c>
      <c r="AL80" t="s">
        <v>58</v>
      </c>
      <c r="AM80" t="s">
        <v>58</v>
      </c>
      <c r="AN80" t="s">
        <v>71</v>
      </c>
      <c r="AO80">
        <v>14</v>
      </c>
      <c r="AP80">
        <v>1</v>
      </c>
      <c r="AQ80">
        <v>11</v>
      </c>
      <c r="AR80">
        <v>11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s">
        <v>61</v>
      </c>
      <c r="BA80" t="s">
        <v>57</v>
      </c>
      <c r="BB80" t="s">
        <v>55</v>
      </c>
      <c r="BC80" t="s">
        <v>58</v>
      </c>
      <c r="BD80" t="s">
        <v>58</v>
      </c>
    </row>
    <row r="81" spans="1:56" x14ac:dyDescent="0.25">
      <c r="A81" t="str" cm="1">
        <f t="array" ref="A81">_xlfn.XLOOKUP(RIGHT(M81,8),TeamIdentity!C:C,TeamIdentity!A:A,NONE)</f>
        <v>Broncos</v>
      </c>
      <c r="B81" t="str" cm="1">
        <f t="array" ref="B81">_xlfn.XLOOKUP(RIGHT(F81,8),TeamIdentity!C:C,TeamIdentity!A:A,NONE)</f>
        <v>Patriots</v>
      </c>
      <c r="C81" t="s">
        <v>54</v>
      </c>
      <c r="D81" t="s">
        <v>54</v>
      </c>
      <c r="E81" t="s">
        <v>54</v>
      </c>
      <c r="F81" t="s">
        <v>512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539</v>
      </c>
      <c r="N81">
        <v>-1</v>
      </c>
      <c r="O81">
        <v>0</v>
      </c>
      <c r="P81">
        <v>-1</v>
      </c>
      <c r="Q81">
        <v>0</v>
      </c>
      <c r="R81" t="s">
        <v>70</v>
      </c>
      <c r="S81">
        <v>0</v>
      </c>
      <c r="T81">
        <v>0</v>
      </c>
      <c r="U81">
        <v>975</v>
      </c>
      <c r="V81" t="s">
        <v>57</v>
      </c>
      <c r="W81">
        <v>0</v>
      </c>
      <c r="X81">
        <v>0</v>
      </c>
      <c r="Y81">
        <v>0</v>
      </c>
      <c r="Z81">
        <v>0</v>
      </c>
      <c r="AA81" t="s">
        <v>67</v>
      </c>
      <c r="AB81">
        <v>0</v>
      </c>
      <c r="AC81">
        <v>0</v>
      </c>
      <c r="AD81">
        <v>0</v>
      </c>
      <c r="AE81">
        <v>0</v>
      </c>
      <c r="AF81" t="s">
        <v>60</v>
      </c>
      <c r="AG81">
        <v>0</v>
      </c>
      <c r="AH81">
        <v>0</v>
      </c>
      <c r="AI81">
        <v>0</v>
      </c>
      <c r="AJ81">
        <v>0</v>
      </c>
      <c r="AK81" t="b">
        <v>0</v>
      </c>
      <c r="AL81" t="s">
        <v>58</v>
      </c>
      <c r="AM81" t="s">
        <v>58</v>
      </c>
      <c r="AN81" t="s">
        <v>71</v>
      </c>
      <c r="AO81">
        <v>14</v>
      </c>
      <c r="AP81">
        <v>3</v>
      </c>
      <c r="AQ81">
        <v>10</v>
      </c>
      <c r="AR81">
        <v>11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s">
        <v>61</v>
      </c>
      <c r="BA81" t="s">
        <v>57</v>
      </c>
      <c r="BB81" t="s">
        <v>55</v>
      </c>
      <c r="BC81" t="s">
        <v>58</v>
      </c>
      <c r="BD81" t="s">
        <v>58</v>
      </c>
    </row>
    <row r="82" spans="1:56" x14ac:dyDescent="0.25">
      <c r="A82" t="str" cm="1">
        <f t="array" ref="A82">_xlfn.XLOOKUP(RIGHT(M82,8),TeamIdentity!C:C,TeamIdentity!A:A,NONE)</f>
        <v>Cardinals</v>
      </c>
      <c r="B82" t="str" cm="1">
        <f t="array" ref="B82">_xlfn.XLOOKUP(RIGHT(F82,8),TeamIdentity!C:C,TeamIdentity!A:A,NONE)</f>
        <v>Ravens</v>
      </c>
      <c r="C82" t="s">
        <v>54</v>
      </c>
      <c r="D82" t="s">
        <v>54</v>
      </c>
      <c r="E82" t="s">
        <v>54</v>
      </c>
      <c r="F82" t="s">
        <v>520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538</v>
      </c>
      <c r="N82">
        <v>-1</v>
      </c>
      <c r="O82">
        <v>0</v>
      </c>
      <c r="P82">
        <v>-1</v>
      </c>
      <c r="Q82">
        <v>0</v>
      </c>
      <c r="R82" t="s">
        <v>70</v>
      </c>
      <c r="S82">
        <v>0</v>
      </c>
      <c r="T82">
        <v>0</v>
      </c>
      <c r="U82">
        <v>965</v>
      </c>
      <c r="V82" t="s">
        <v>57</v>
      </c>
      <c r="W82">
        <v>0</v>
      </c>
      <c r="X82">
        <v>0</v>
      </c>
      <c r="Y82">
        <v>0</v>
      </c>
      <c r="Z82">
        <v>0</v>
      </c>
      <c r="AA82" t="s">
        <v>67</v>
      </c>
      <c r="AB82">
        <v>0</v>
      </c>
      <c r="AC82">
        <v>0</v>
      </c>
      <c r="AD82">
        <v>0</v>
      </c>
      <c r="AE82">
        <v>0</v>
      </c>
      <c r="AF82" t="s">
        <v>60</v>
      </c>
      <c r="AG82">
        <v>0</v>
      </c>
      <c r="AH82">
        <v>0</v>
      </c>
      <c r="AI82">
        <v>0</v>
      </c>
      <c r="AJ82">
        <v>0</v>
      </c>
      <c r="AK82" t="b">
        <v>0</v>
      </c>
      <c r="AL82" t="s">
        <v>58</v>
      </c>
      <c r="AM82" t="s">
        <v>58</v>
      </c>
      <c r="AN82" t="s">
        <v>71</v>
      </c>
      <c r="AO82">
        <v>14</v>
      </c>
      <c r="AP82">
        <v>3</v>
      </c>
      <c r="AQ82">
        <v>8</v>
      </c>
      <c r="AR82">
        <v>11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s">
        <v>61</v>
      </c>
      <c r="BA82" t="s">
        <v>57</v>
      </c>
      <c r="BB82" t="s">
        <v>55</v>
      </c>
      <c r="BC82" t="s">
        <v>58</v>
      </c>
      <c r="BD82" t="s">
        <v>58</v>
      </c>
    </row>
    <row r="83" spans="1:56" x14ac:dyDescent="0.25">
      <c r="A83" t="str" cm="1">
        <f t="array" ref="A83">_xlfn.XLOOKUP(RIGHT(M83,8),TeamIdentity!C:C,TeamIdentity!A:A,NONE)</f>
        <v>Bengals</v>
      </c>
      <c r="B83" t="str" cm="1">
        <f t="array" ref="B83">_xlfn.XLOOKUP(RIGHT(F83,8),TeamIdentity!C:C,TeamIdentity!A:A,NONE)</f>
        <v>Cardinals</v>
      </c>
      <c r="C83" t="s">
        <v>54</v>
      </c>
      <c r="D83" t="s">
        <v>54</v>
      </c>
      <c r="E83" t="s">
        <v>54</v>
      </c>
      <c r="F83" t="s">
        <v>538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532</v>
      </c>
      <c r="N83">
        <v>-1</v>
      </c>
      <c r="O83">
        <v>0</v>
      </c>
      <c r="P83">
        <v>-1</v>
      </c>
      <c r="Q83">
        <v>0</v>
      </c>
      <c r="R83" t="s">
        <v>70</v>
      </c>
      <c r="S83">
        <v>0</v>
      </c>
      <c r="T83">
        <v>0</v>
      </c>
      <c r="U83">
        <v>780</v>
      </c>
      <c r="V83" t="s">
        <v>57</v>
      </c>
      <c r="W83">
        <v>0</v>
      </c>
      <c r="X83">
        <v>0</v>
      </c>
      <c r="Y83">
        <v>0</v>
      </c>
      <c r="Z83">
        <v>0</v>
      </c>
      <c r="AA83" t="s">
        <v>67</v>
      </c>
      <c r="AB83">
        <v>0</v>
      </c>
      <c r="AC83">
        <v>0</v>
      </c>
      <c r="AD83">
        <v>0</v>
      </c>
      <c r="AE83">
        <v>0</v>
      </c>
      <c r="AF83" t="s">
        <v>60</v>
      </c>
      <c r="AG83">
        <v>0</v>
      </c>
      <c r="AH83">
        <v>0</v>
      </c>
      <c r="AI83">
        <v>0</v>
      </c>
      <c r="AJ83">
        <v>0</v>
      </c>
      <c r="AK83" t="b">
        <v>0</v>
      </c>
      <c r="AL83" t="s">
        <v>58</v>
      </c>
      <c r="AM83" t="s">
        <v>58</v>
      </c>
      <c r="AN83" t="s">
        <v>71</v>
      </c>
      <c r="AO83">
        <v>14</v>
      </c>
      <c r="AP83">
        <v>1</v>
      </c>
      <c r="AQ83">
        <v>6</v>
      </c>
      <c r="AR83">
        <v>11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s">
        <v>61</v>
      </c>
      <c r="BA83" t="s">
        <v>57</v>
      </c>
      <c r="BB83" t="s">
        <v>55</v>
      </c>
      <c r="BC83" t="s">
        <v>58</v>
      </c>
      <c r="BD83" t="s">
        <v>58</v>
      </c>
    </row>
    <row r="84" spans="1:56" x14ac:dyDescent="0.25">
      <c r="A84" t="str" cm="1">
        <f t="array" ref="A84">_xlfn.XLOOKUP(RIGHT(M84,8),TeamIdentity!C:C,TeamIdentity!A:A,NONE)</f>
        <v>Saints</v>
      </c>
      <c r="B84" t="str" cm="1">
        <f t="array" ref="B84">_xlfn.XLOOKUP(RIGHT(F84,8),TeamIdentity!C:C,TeamIdentity!A:A,NONE)</f>
        <v>Falcons</v>
      </c>
      <c r="C84" t="s">
        <v>54</v>
      </c>
      <c r="D84" t="s">
        <v>54</v>
      </c>
      <c r="E84" t="s">
        <v>54</v>
      </c>
      <c r="F84" t="s">
        <v>515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537</v>
      </c>
      <c r="N84">
        <v>-1</v>
      </c>
      <c r="O84">
        <v>0</v>
      </c>
      <c r="P84">
        <v>-1</v>
      </c>
      <c r="Q84">
        <v>0</v>
      </c>
      <c r="R84" t="s">
        <v>70</v>
      </c>
      <c r="S84">
        <v>0</v>
      </c>
      <c r="T84">
        <v>0</v>
      </c>
      <c r="U84">
        <v>780</v>
      </c>
      <c r="V84" t="s">
        <v>57</v>
      </c>
      <c r="W84">
        <v>0</v>
      </c>
      <c r="X84">
        <v>0</v>
      </c>
      <c r="Y84">
        <v>0</v>
      </c>
      <c r="Z84">
        <v>0</v>
      </c>
      <c r="AA84" t="s">
        <v>67</v>
      </c>
      <c r="AB84">
        <v>0</v>
      </c>
      <c r="AC84">
        <v>0</v>
      </c>
      <c r="AD84">
        <v>0</v>
      </c>
      <c r="AE84">
        <v>0</v>
      </c>
      <c r="AF84" t="s">
        <v>60</v>
      </c>
      <c r="AG84">
        <v>0</v>
      </c>
      <c r="AH84">
        <v>0</v>
      </c>
      <c r="AI84">
        <v>0</v>
      </c>
      <c r="AJ84">
        <v>0</v>
      </c>
      <c r="AK84" t="b">
        <v>0</v>
      </c>
      <c r="AL84" t="s">
        <v>58</v>
      </c>
      <c r="AM84" t="s">
        <v>58</v>
      </c>
      <c r="AN84" t="s">
        <v>71</v>
      </c>
      <c r="AO84">
        <v>14</v>
      </c>
      <c r="AP84">
        <v>2</v>
      </c>
      <c r="AQ84">
        <v>1</v>
      </c>
      <c r="AR84">
        <v>11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s">
        <v>61</v>
      </c>
      <c r="BA84" t="s">
        <v>57</v>
      </c>
      <c r="BB84" t="s">
        <v>55</v>
      </c>
      <c r="BC84" t="s">
        <v>58</v>
      </c>
      <c r="BD84" t="s">
        <v>58</v>
      </c>
    </row>
    <row r="85" spans="1:56" x14ac:dyDescent="0.25">
      <c r="A85" t="str" cm="1">
        <f t="array" ref="A85">_xlfn.XLOOKUP(RIGHT(M85,8),TeamIdentity!C:C,TeamIdentity!A:A,NONE)</f>
        <v>Packers</v>
      </c>
      <c r="B85" t="str" cm="1">
        <f t="array" ref="B85">_xlfn.XLOOKUP(RIGHT(F85,8),TeamIdentity!C:C,TeamIdentity!A:A,NONE)</f>
        <v>Vikings</v>
      </c>
      <c r="C85" t="s">
        <v>54</v>
      </c>
      <c r="D85" t="s">
        <v>54</v>
      </c>
      <c r="E85" t="s">
        <v>54</v>
      </c>
      <c r="F85" t="s">
        <v>526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529</v>
      </c>
      <c r="N85">
        <v>-1</v>
      </c>
      <c r="O85">
        <v>0</v>
      </c>
      <c r="P85">
        <v>-1</v>
      </c>
      <c r="Q85">
        <v>0</v>
      </c>
      <c r="R85" t="s">
        <v>70</v>
      </c>
      <c r="S85">
        <v>0</v>
      </c>
      <c r="T85">
        <v>0</v>
      </c>
      <c r="U85">
        <v>1220</v>
      </c>
      <c r="V85" t="s">
        <v>57</v>
      </c>
      <c r="W85">
        <v>0</v>
      </c>
      <c r="X85">
        <v>0</v>
      </c>
      <c r="Y85">
        <v>0</v>
      </c>
      <c r="Z85">
        <v>0</v>
      </c>
      <c r="AA85" t="s">
        <v>68</v>
      </c>
      <c r="AB85">
        <v>0</v>
      </c>
      <c r="AC85">
        <v>0</v>
      </c>
      <c r="AD85">
        <v>0</v>
      </c>
      <c r="AE85">
        <v>0</v>
      </c>
      <c r="AF85" t="s">
        <v>68</v>
      </c>
      <c r="AG85">
        <v>0</v>
      </c>
      <c r="AH85">
        <v>0</v>
      </c>
      <c r="AI85">
        <v>0</v>
      </c>
      <c r="AJ85">
        <v>0</v>
      </c>
      <c r="AK85" t="b">
        <v>0</v>
      </c>
      <c r="AL85" t="s">
        <v>58</v>
      </c>
      <c r="AM85" t="s">
        <v>58</v>
      </c>
      <c r="AN85" t="s">
        <v>71</v>
      </c>
      <c r="AO85">
        <v>14</v>
      </c>
      <c r="AP85">
        <v>2</v>
      </c>
      <c r="AQ85">
        <v>15</v>
      </c>
      <c r="AR85">
        <v>11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s">
        <v>61</v>
      </c>
      <c r="BA85" t="s">
        <v>57</v>
      </c>
      <c r="BB85" t="s">
        <v>55</v>
      </c>
      <c r="BC85" t="s">
        <v>58</v>
      </c>
      <c r="BD85" t="s">
        <v>58</v>
      </c>
    </row>
    <row r="86" spans="1:56" x14ac:dyDescent="0.25">
      <c r="A86" t="str" cm="1">
        <f t="array" ref="A86">_xlfn.XLOOKUP(RIGHT(M86,8),TeamIdentity!C:C,TeamIdentity!A:A,NONE)</f>
        <v>Giants</v>
      </c>
      <c r="B86" t="str" cm="1">
        <f t="array" ref="B86">_xlfn.XLOOKUP(RIGHT(F86,8),TeamIdentity!C:C,TeamIdentity!A:A,NONE)</f>
        <v>Buccaneers</v>
      </c>
      <c r="C86" t="s">
        <v>54</v>
      </c>
      <c r="D86" t="s">
        <v>54</v>
      </c>
      <c r="E86" t="s">
        <v>54</v>
      </c>
      <c r="F86" t="s">
        <v>531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514</v>
      </c>
      <c r="N86">
        <v>-1</v>
      </c>
      <c r="O86">
        <v>0</v>
      </c>
      <c r="P86">
        <v>-1</v>
      </c>
      <c r="Q86">
        <v>0</v>
      </c>
      <c r="R86" t="s">
        <v>70</v>
      </c>
      <c r="S86">
        <v>0</v>
      </c>
      <c r="T86">
        <v>0</v>
      </c>
      <c r="U86">
        <v>780</v>
      </c>
      <c r="V86" t="s">
        <v>57</v>
      </c>
      <c r="W86">
        <v>0</v>
      </c>
      <c r="X86">
        <v>0</v>
      </c>
      <c r="Y86">
        <v>0</v>
      </c>
      <c r="Z86">
        <v>0</v>
      </c>
      <c r="AA86" t="s">
        <v>67</v>
      </c>
      <c r="AB86">
        <v>0</v>
      </c>
      <c r="AC86">
        <v>0</v>
      </c>
      <c r="AD86">
        <v>0</v>
      </c>
      <c r="AE86">
        <v>0</v>
      </c>
      <c r="AF86" t="s">
        <v>60</v>
      </c>
      <c r="AG86">
        <v>0</v>
      </c>
      <c r="AH86">
        <v>0</v>
      </c>
      <c r="AI86">
        <v>0</v>
      </c>
      <c r="AJ86">
        <v>0</v>
      </c>
      <c r="AK86" t="b">
        <v>0</v>
      </c>
      <c r="AL86" t="s">
        <v>58</v>
      </c>
      <c r="AM86" t="s">
        <v>58</v>
      </c>
      <c r="AN86" t="s">
        <v>71</v>
      </c>
      <c r="AO86">
        <v>14</v>
      </c>
      <c r="AP86">
        <v>2</v>
      </c>
      <c r="AQ86">
        <v>2</v>
      </c>
      <c r="AR86">
        <v>11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s">
        <v>61</v>
      </c>
      <c r="BA86" t="s">
        <v>57</v>
      </c>
      <c r="BB86" t="s">
        <v>55</v>
      </c>
      <c r="BC86" t="s">
        <v>58</v>
      </c>
      <c r="BD86" t="s">
        <v>58</v>
      </c>
    </row>
    <row r="87" spans="1:56" x14ac:dyDescent="0.25">
      <c r="A87" t="str" cm="1">
        <f t="array" ref="A87">_xlfn.XLOOKUP(RIGHT(M87,8),TeamIdentity!C:C,TeamIdentity!A:A,NONE)</f>
        <v>Dolphins</v>
      </c>
      <c r="B87" t="str" cm="1">
        <f t="array" ref="B87">_xlfn.XLOOKUP(RIGHT(F87,8),TeamIdentity!C:C,TeamIdentity!A:A,NONE)</f>
        <v>Broncos</v>
      </c>
      <c r="C87" t="s">
        <v>54</v>
      </c>
      <c r="D87" t="s">
        <v>54</v>
      </c>
      <c r="E87" t="s">
        <v>54</v>
      </c>
      <c r="F87" t="s">
        <v>539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516</v>
      </c>
      <c r="N87">
        <v>-1</v>
      </c>
      <c r="O87">
        <v>0</v>
      </c>
      <c r="P87">
        <v>-1</v>
      </c>
      <c r="Q87">
        <v>0</v>
      </c>
      <c r="R87" t="s">
        <v>70</v>
      </c>
      <c r="S87">
        <v>0</v>
      </c>
      <c r="T87">
        <v>0</v>
      </c>
      <c r="U87">
        <v>780</v>
      </c>
      <c r="V87" t="s">
        <v>57</v>
      </c>
      <c r="W87">
        <v>0</v>
      </c>
      <c r="X87">
        <v>0</v>
      </c>
      <c r="Y87">
        <v>0</v>
      </c>
      <c r="Z87">
        <v>0</v>
      </c>
      <c r="AA87" t="s">
        <v>67</v>
      </c>
      <c r="AB87">
        <v>0</v>
      </c>
      <c r="AC87">
        <v>0</v>
      </c>
      <c r="AD87">
        <v>0</v>
      </c>
      <c r="AE87">
        <v>0</v>
      </c>
      <c r="AF87" t="s">
        <v>60</v>
      </c>
      <c r="AG87">
        <v>0</v>
      </c>
      <c r="AH87">
        <v>0</v>
      </c>
      <c r="AI87">
        <v>0</v>
      </c>
      <c r="AJ87">
        <v>0</v>
      </c>
      <c r="AK87" t="b">
        <v>0</v>
      </c>
      <c r="AL87" t="s">
        <v>58</v>
      </c>
      <c r="AM87" t="s">
        <v>58</v>
      </c>
      <c r="AN87" t="s">
        <v>71</v>
      </c>
      <c r="AO87">
        <v>14</v>
      </c>
      <c r="AP87">
        <v>2</v>
      </c>
      <c r="AQ87">
        <v>3</v>
      </c>
      <c r="AR87">
        <v>11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s">
        <v>61</v>
      </c>
      <c r="BA87" t="s">
        <v>57</v>
      </c>
      <c r="BB87" t="s">
        <v>55</v>
      </c>
      <c r="BC87" t="s">
        <v>58</v>
      </c>
      <c r="BD87" t="s">
        <v>58</v>
      </c>
    </row>
    <row r="88" spans="1:56" x14ac:dyDescent="0.25">
      <c r="A88" t="str" cm="1">
        <f t="array" ref="A88">_xlfn.XLOOKUP(RIGHT(M88,8),TeamIdentity!C:C,TeamIdentity!A:A,NONE)</f>
        <v>Packers</v>
      </c>
      <c r="B88" t="str" cm="1">
        <f t="array" ref="B88">_xlfn.XLOOKUP(RIGHT(F88,8),TeamIdentity!C:C,TeamIdentity!A:A,NONE)</f>
        <v>Lions</v>
      </c>
      <c r="C88" t="s">
        <v>54</v>
      </c>
      <c r="D88" t="s">
        <v>54</v>
      </c>
      <c r="E88" t="s">
        <v>54</v>
      </c>
      <c r="F88" t="s">
        <v>513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529</v>
      </c>
      <c r="N88">
        <v>-1</v>
      </c>
      <c r="O88">
        <v>0</v>
      </c>
      <c r="P88">
        <v>-1</v>
      </c>
      <c r="Q88">
        <v>0</v>
      </c>
      <c r="R88" t="s">
        <v>70</v>
      </c>
      <c r="S88">
        <v>0</v>
      </c>
      <c r="T88">
        <v>0</v>
      </c>
      <c r="U88">
        <v>780</v>
      </c>
      <c r="V88" t="s">
        <v>57</v>
      </c>
      <c r="W88">
        <v>0</v>
      </c>
      <c r="X88">
        <v>0</v>
      </c>
      <c r="Y88">
        <v>0</v>
      </c>
      <c r="Z88">
        <v>0</v>
      </c>
      <c r="AA88" t="s">
        <v>67</v>
      </c>
      <c r="AB88">
        <v>0</v>
      </c>
      <c r="AC88">
        <v>0</v>
      </c>
      <c r="AD88">
        <v>0</v>
      </c>
      <c r="AE88">
        <v>0</v>
      </c>
      <c r="AF88" t="s">
        <v>60</v>
      </c>
      <c r="AG88">
        <v>0</v>
      </c>
      <c r="AH88">
        <v>0</v>
      </c>
      <c r="AI88">
        <v>0</v>
      </c>
      <c r="AJ88">
        <v>0</v>
      </c>
      <c r="AK88" t="b">
        <v>0</v>
      </c>
      <c r="AL88" t="s">
        <v>58</v>
      </c>
      <c r="AM88" t="s">
        <v>58</v>
      </c>
      <c r="AN88" t="s">
        <v>71</v>
      </c>
      <c r="AO88">
        <v>14</v>
      </c>
      <c r="AP88">
        <v>3</v>
      </c>
      <c r="AQ88">
        <v>0</v>
      </c>
      <c r="AR88">
        <v>11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s">
        <v>61</v>
      </c>
      <c r="BA88" t="s">
        <v>57</v>
      </c>
      <c r="BB88" t="s">
        <v>55</v>
      </c>
      <c r="BC88" t="s">
        <v>58</v>
      </c>
      <c r="BD88" t="s">
        <v>58</v>
      </c>
    </row>
    <row r="89" spans="1:56" x14ac:dyDescent="0.25">
      <c r="A89" t="str" cm="1">
        <f t="array" ref="A89">_xlfn.XLOOKUP(RIGHT(M89,8),TeamIdentity!C:C,TeamIdentity!A:A,NONE)</f>
        <v>Colts</v>
      </c>
      <c r="B89" t="str" cm="1">
        <f t="array" ref="B89">_xlfn.XLOOKUP(RIGHT(F89,8),TeamIdentity!C:C,TeamIdentity!A:A,NONE)</f>
        <v>Bengals</v>
      </c>
      <c r="C89" t="s">
        <v>54</v>
      </c>
      <c r="D89" t="s">
        <v>54</v>
      </c>
      <c r="E89" t="s">
        <v>54</v>
      </c>
      <c r="F89" t="s">
        <v>532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540</v>
      </c>
      <c r="N89">
        <v>-1</v>
      </c>
      <c r="O89">
        <v>0</v>
      </c>
      <c r="P89">
        <v>-1</v>
      </c>
      <c r="Q89">
        <v>0</v>
      </c>
      <c r="R89" t="s">
        <v>70</v>
      </c>
      <c r="S89">
        <v>0</v>
      </c>
      <c r="T89">
        <v>0</v>
      </c>
      <c r="U89">
        <v>780</v>
      </c>
      <c r="V89" t="s">
        <v>57</v>
      </c>
      <c r="W89">
        <v>0</v>
      </c>
      <c r="X89">
        <v>0</v>
      </c>
      <c r="Y89">
        <v>0</v>
      </c>
      <c r="Z89">
        <v>0</v>
      </c>
      <c r="AA89" t="s">
        <v>67</v>
      </c>
      <c r="AB89">
        <v>0</v>
      </c>
      <c r="AC89">
        <v>0</v>
      </c>
      <c r="AD89">
        <v>0</v>
      </c>
      <c r="AE89">
        <v>0</v>
      </c>
      <c r="AF89" t="s">
        <v>60</v>
      </c>
      <c r="AG89">
        <v>0</v>
      </c>
      <c r="AH89">
        <v>0</v>
      </c>
      <c r="AI89">
        <v>0</v>
      </c>
      <c r="AJ89">
        <v>0</v>
      </c>
      <c r="AK89" t="b">
        <v>0</v>
      </c>
      <c r="AL89" t="s">
        <v>58</v>
      </c>
      <c r="AM89" t="s">
        <v>58</v>
      </c>
      <c r="AN89" t="s">
        <v>71</v>
      </c>
      <c r="AO89">
        <v>14</v>
      </c>
      <c r="AP89">
        <v>2</v>
      </c>
      <c r="AQ89">
        <v>4</v>
      </c>
      <c r="AR89">
        <v>11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s">
        <v>61</v>
      </c>
      <c r="BA89" t="s">
        <v>57</v>
      </c>
      <c r="BB89" t="s">
        <v>55</v>
      </c>
      <c r="BC89" t="s">
        <v>58</v>
      </c>
      <c r="BD89" t="s">
        <v>58</v>
      </c>
    </row>
    <row r="90" spans="1:56" x14ac:dyDescent="0.25">
      <c r="A90" t="str" cm="1">
        <f t="array" ref="A90">_xlfn.XLOOKUP(RIGHT(M90,8),TeamIdentity!C:C,TeamIdentity!A:A,NONE)</f>
        <v>Steelers</v>
      </c>
      <c r="B90" t="str" cm="1">
        <f t="array" ref="B90">_xlfn.XLOOKUP(RIGHT(F90,8),TeamIdentity!C:C,TeamIdentity!A:A,NONE)</f>
        <v>Seahawks</v>
      </c>
      <c r="C90" t="s">
        <v>54</v>
      </c>
      <c r="D90" t="s">
        <v>54</v>
      </c>
      <c r="E90" t="s">
        <v>54</v>
      </c>
      <c r="F90" t="s">
        <v>527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518</v>
      </c>
      <c r="N90">
        <v>-1</v>
      </c>
      <c r="O90">
        <v>0</v>
      </c>
      <c r="P90">
        <v>-1</v>
      </c>
      <c r="Q90">
        <v>0</v>
      </c>
      <c r="R90" t="s">
        <v>70</v>
      </c>
      <c r="S90">
        <v>0</v>
      </c>
      <c r="T90">
        <v>0</v>
      </c>
      <c r="U90">
        <v>780</v>
      </c>
      <c r="V90" t="s">
        <v>57</v>
      </c>
      <c r="W90">
        <v>0</v>
      </c>
      <c r="X90">
        <v>0</v>
      </c>
      <c r="Y90">
        <v>0</v>
      </c>
      <c r="Z90">
        <v>0</v>
      </c>
      <c r="AA90" t="s">
        <v>67</v>
      </c>
      <c r="AB90">
        <v>0</v>
      </c>
      <c r="AC90">
        <v>0</v>
      </c>
      <c r="AD90">
        <v>0</v>
      </c>
      <c r="AE90">
        <v>0</v>
      </c>
      <c r="AF90" t="s">
        <v>60</v>
      </c>
      <c r="AG90">
        <v>0</v>
      </c>
      <c r="AH90">
        <v>0</v>
      </c>
      <c r="AI90">
        <v>0</v>
      </c>
      <c r="AJ90">
        <v>0</v>
      </c>
      <c r="AK90" t="b">
        <v>0</v>
      </c>
      <c r="AL90" t="s">
        <v>58</v>
      </c>
      <c r="AM90" t="s">
        <v>58</v>
      </c>
      <c r="AN90" t="s">
        <v>71</v>
      </c>
      <c r="AO90">
        <v>14</v>
      </c>
      <c r="AP90">
        <v>1</v>
      </c>
      <c r="AQ90">
        <v>7</v>
      </c>
      <c r="AR90">
        <v>11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s">
        <v>61</v>
      </c>
      <c r="BA90" t="s">
        <v>57</v>
      </c>
      <c r="BB90" t="s">
        <v>55</v>
      </c>
      <c r="BC90" t="s">
        <v>58</v>
      </c>
      <c r="BD90" t="s">
        <v>58</v>
      </c>
    </row>
    <row r="91" spans="1:56" x14ac:dyDescent="0.25">
      <c r="A91" t="str" cm="1">
        <f t="array" ref="A91">_xlfn.XLOOKUP(RIGHT(M91,8),TeamIdentity!C:C,TeamIdentity!A:A,NONE)</f>
        <v>Vikings</v>
      </c>
      <c r="B91" t="str" cm="1">
        <f t="array" ref="B91">_xlfn.XLOOKUP(RIGHT(F91,8),TeamIdentity!C:C,TeamIdentity!A:A,NONE)</f>
        <v>Panthers</v>
      </c>
      <c r="C91" t="s">
        <v>54</v>
      </c>
      <c r="D91" t="s">
        <v>54</v>
      </c>
      <c r="E91" t="s">
        <v>54</v>
      </c>
      <c r="F91" t="s">
        <v>511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526</v>
      </c>
      <c r="N91">
        <v>-1</v>
      </c>
      <c r="O91">
        <v>0</v>
      </c>
      <c r="P91">
        <v>-1</v>
      </c>
      <c r="Q91">
        <v>0</v>
      </c>
      <c r="R91" t="s">
        <v>70</v>
      </c>
      <c r="S91">
        <v>0</v>
      </c>
      <c r="T91">
        <v>0</v>
      </c>
      <c r="U91">
        <v>1220</v>
      </c>
      <c r="V91" t="s">
        <v>57</v>
      </c>
      <c r="W91">
        <v>0</v>
      </c>
      <c r="X91">
        <v>0</v>
      </c>
      <c r="Y91">
        <v>0</v>
      </c>
      <c r="Z91">
        <v>0</v>
      </c>
      <c r="AA91" t="s">
        <v>68</v>
      </c>
      <c r="AB91">
        <v>0</v>
      </c>
      <c r="AC91">
        <v>0</v>
      </c>
      <c r="AD91">
        <v>0</v>
      </c>
      <c r="AE91">
        <v>0</v>
      </c>
      <c r="AF91" t="s">
        <v>68</v>
      </c>
      <c r="AG91">
        <v>0</v>
      </c>
      <c r="AH91">
        <v>0</v>
      </c>
      <c r="AI91">
        <v>0</v>
      </c>
      <c r="AJ91">
        <v>0</v>
      </c>
      <c r="AK91" t="b">
        <v>0</v>
      </c>
      <c r="AL91" t="s">
        <v>58</v>
      </c>
      <c r="AM91" t="s">
        <v>58</v>
      </c>
      <c r="AN91" t="s">
        <v>71</v>
      </c>
      <c r="AO91">
        <v>14</v>
      </c>
      <c r="AP91">
        <v>3</v>
      </c>
      <c r="AQ91">
        <v>15</v>
      </c>
      <c r="AR91">
        <v>11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s">
        <v>61</v>
      </c>
      <c r="BA91" t="s">
        <v>57</v>
      </c>
      <c r="BB91" t="s">
        <v>55</v>
      </c>
      <c r="BC91" t="s">
        <v>58</v>
      </c>
      <c r="BD91" t="s">
        <v>58</v>
      </c>
    </row>
    <row r="92" spans="1:56" x14ac:dyDescent="0.25">
      <c r="A92" t="str" cm="1">
        <f t="array" ref="A92">_xlfn.XLOOKUP(RIGHT(M92,8),TeamIdentity!C:C,TeamIdentity!A:A,NONE)</f>
        <v>Steelers</v>
      </c>
      <c r="B92" t="str" cm="1">
        <f t="array" ref="B92">_xlfn.XLOOKUP(RIGHT(F92,8),TeamIdentity!C:C,TeamIdentity!A:A,NONE)</f>
        <v>Browns</v>
      </c>
      <c r="C92" t="s">
        <v>54</v>
      </c>
      <c r="D92" t="s">
        <v>54</v>
      </c>
      <c r="E92" t="s">
        <v>54</v>
      </c>
      <c r="F92" t="s">
        <v>530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518</v>
      </c>
      <c r="N92">
        <v>-1</v>
      </c>
      <c r="O92">
        <v>0</v>
      </c>
      <c r="P92">
        <v>-1</v>
      </c>
      <c r="Q92">
        <v>0</v>
      </c>
      <c r="R92" t="s">
        <v>70</v>
      </c>
      <c r="S92">
        <v>0</v>
      </c>
      <c r="T92">
        <v>0</v>
      </c>
      <c r="U92">
        <v>1220</v>
      </c>
      <c r="V92" t="s">
        <v>57</v>
      </c>
      <c r="W92">
        <v>0</v>
      </c>
      <c r="X92">
        <v>0</v>
      </c>
      <c r="Y92">
        <v>0</v>
      </c>
      <c r="Z92">
        <v>0</v>
      </c>
      <c r="AA92" t="s">
        <v>60</v>
      </c>
      <c r="AB92">
        <v>0</v>
      </c>
      <c r="AC92">
        <v>0</v>
      </c>
      <c r="AD92">
        <v>0</v>
      </c>
      <c r="AE92">
        <v>0</v>
      </c>
      <c r="AF92" t="s">
        <v>60</v>
      </c>
      <c r="AG92">
        <v>0</v>
      </c>
      <c r="AH92">
        <v>0</v>
      </c>
      <c r="AI92">
        <v>0</v>
      </c>
      <c r="AJ92">
        <v>0</v>
      </c>
      <c r="AK92" t="b">
        <v>0</v>
      </c>
      <c r="AL92" t="s">
        <v>58</v>
      </c>
      <c r="AM92" t="s">
        <v>58</v>
      </c>
      <c r="AN92" t="s">
        <v>71</v>
      </c>
      <c r="AO92">
        <v>14</v>
      </c>
      <c r="AP92">
        <v>2</v>
      </c>
      <c r="AQ92">
        <v>13</v>
      </c>
      <c r="AR92">
        <v>11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s">
        <v>61</v>
      </c>
      <c r="BA92" t="s">
        <v>57</v>
      </c>
      <c r="BB92" t="s">
        <v>55</v>
      </c>
      <c r="BC92" t="s">
        <v>58</v>
      </c>
      <c r="BD92" t="s">
        <v>58</v>
      </c>
    </row>
    <row r="93" spans="1:56" x14ac:dyDescent="0.25">
      <c r="A93" t="str" cm="1">
        <f t="array" ref="A93">_xlfn.XLOOKUP(RIGHT(M93,8),TeamIdentity!C:C,TeamIdentity!A:A,NONE)</f>
        <v>Panthers</v>
      </c>
      <c r="B93" t="str" cm="1">
        <f t="array" ref="B93">_xlfn.XLOOKUP(RIGHT(F93,8),TeamIdentity!C:C,TeamIdentity!A:A,NONE)</f>
        <v>Titans</v>
      </c>
      <c r="C93" t="s">
        <v>54</v>
      </c>
      <c r="D93" t="s">
        <v>54</v>
      </c>
      <c r="E93" t="s">
        <v>54</v>
      </c>
      <c r="F93" t="s">
        <v>534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511</v>
      </c>
      <c r="N93">
        <v>-1</v>
      </c>
      <c r="O93">
        <v>0</v>
      </c>
      <c r="P93">
        <v>-1</v>
      </c>
      <c r="Q93">
        <v>0</v>
      </c>
      <c r="R93" t="s">
        <v>70</v>
      </c>
      <c r="S93">
        <v>0</v>
      </c>
      <c r="T93">
        <v>0</v>
      </c>
      <c r="U93">
        <v>780</v>
      </c>
      <c r="V93" t="s">
        <v>57</v>
      </c>
      <c r="W93">
        <v>0</v>
      </c>
      <c r="X93">
        <v>0</v>
      </c>
      <c r="Y93">
        <v>0</v>
      </c>
      <c r="Z93">
        <v>0</v>
      </c>
      <c r="AA93" t="s">
        <v>67</v>
      </c>
      <c r="AB93">
        <v>0</v>
      </c>
      <c r="AC93">
        <v>0</v>
      </c>
      <c r="AD93">
        <v>0</v>
      </c>
      <c r="AE93">
        <v>0</v>
      </c>
      <c r="AF93" t="s">
        <v>60</v>
      </c>
      <c r="AG93">
        <v>0</v>
      </c>
      <c r="AH93">
        <v>0</v>
      </c>
      <c r="AI93">
        <v>0</v>
      </c>
      <c r="AJ93">
        <v>0</v>
      </c>
      <c r="AK93" t="b">
        <v>0</v>
      </c>
      <c r="AL93" t="s">
        <v>58</v>
      </c>
      <c r="AM93" t="s">
        <v>58</v>
      </c>
      <c r="AN93" t="s">
        <v>71</v>
      </c>
      <c r="AO93">
        <v>14</v>
      </c>
      <c r="AP93">
        <v>2</v>
      </c>
      <c r="AQ93">
        <v>5</v>
      </c>
      <c r="AR93">
        <v>11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s">
        <v>61</v>
      </c>
      <c r="BA93" t="s">
        <v>57</v>
      </c>
      <c r="BB93" t="s">
        <v>55</v>
      </c>
      <c r="BC93" t="s">
        <v>58</v>
      </c>
      <c r="BD93" t="s">
        <v>58</v>
      </c>
    </row>
    <row r="94" spans="1:56" x14ac:dyDescent="0.25">
      <c r="A94" t="str" cm="1">
        <f t="array" ref="A94">_xlfn.XLOOKUP(RIGHT(M94,8),TeamIdentity!C:C,TeamIdentity!A:A,NONE)</f>
        <v>Rams</v>
      </c>
      <c r="B94" t="str" cm="1">
        <f t="array" ref="B94">_xlfn.XLOOKUP(RIGHT(F94,8),TeamIdentity!C:C,TeamIdentity!A:A,NONE)</f>
        <v>Eagles</v>
      </c>
      <c r="C94" t="s">
        <v>54</v>
      </c>
      <c r="D94" t="s">
        <v>54</v>
      </c>
      <c r="E94" t="s">
        <v>54</v>
      </c>
      <c r="F94" t="s">
        <v>519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542</v>
      </c>
      <c r="N94">
        <v>-1</v>
      </c>
      <c r="O94">
        <v>0</v>
      </c>
      <c r="P94">
        <v>-1</v>
      </c>
      <c r="Q94">
        <v>0</v>
      </c>
      <c r="R94" t="s">
        <v>70</v>
      </c>
      <c r="S94">
        <v>0</v>
      </c>
      <c r="T94">
        <v>0</v>
      </c>
      <c r="U94">
        <v>1230</v>
      </c>
      <c r="V94" t="s">
        <v>57</v>
      </c>
      <c r="W94">
        <v>0</v>
      </c>
      <c r="X94">
        <v>0</v>
      </c>
      <c r="Y94">
        <v>0</v>
      </c>
      <c r="Z94">
        <v>0</v>
      </c>
      <c r="AA94" t="s">
        <v>65</v>
      </c>
      <c r="AB94">
        <v>0</v>
      </c>
      <c r="AC94">
        <v>0</v>
      </c>
      <c r="AD94">
        <v>0</v>
      </c>
      <c r="AE94">
        <v>0</v>
      </c>
      <c r="AF94" t="s">
        <v>65</v>
      </c>
      <c r="AG94">
        <v>0</v>
      </c>
      <c r="AH94">
        <v>0</v>
      </c>
      <c r="AI94">
        <v>0</v>
      </c>
      <c r="AJ94">
        <v>0</v>
      </c>
      <c r="AK94" t="b">
        <v>0</v>
      </c>
      <c r="AL94" t="s">
        <v>58</v>
      </c>
      <c r="AM94" t="s">
        <v>58</v>
      </c>
      <c r="AN94" t="s">
        <v>71</v>
      </c>
      <c r="AO94">
        <v>14</v>
      </c>
      <c r="AP94">
        <v>3</v>
      </c>
      <c r="AQ94">
        <v>14</v>
      </c>
      <c r="AR94">
        <v>11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s">
        <v>61</v>
      </c>
      <c r="BA94" t="s">
        <v>57</v>
      </c>
      <c r="BB94" t="s">
        <v>55</v>
      </c>
      <c r="BC94" t="s">
        <v>58</v>
      </c>
      <c r="BD94" t="s">
        <v>58</v>
      </c>
    </row>
    <row r="95" spans="1:56" x14ac:dyDescent="0.25">
      <c r="A95" t="str" cm="1">
        <f t="array" ref="A95">_xlfn.XLOOKUP(RIGHT(M95,8),TeamIdentity!C:C,TeamIdentity!A:A,NONE)</f>
        <v>Seahawks</v>
      </c>
      <c r="B95" t="str" cm="1">
        <f t="array" ref="B95">_xlfn.XLOOKUP(RIGHT(F95,8),TeamIdentity!C:C,TeamIdentity!A:A,NONE)</f>
        <v>Rams</v>
      </c>
      <c r="C95" t="s">
        <v>54</v>
      </c>
      <c r="D95" t="s">
        <v>54</v>
      </c>
      <c r="E95" t="s">
        <v>54</v>
      </c>
      <c r="F95" t="s">
        <v>542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527</v>
      </c>
      <c r="N95">
        <v>-1</v>
      </c>
      <c r="O95">
        <v>0</v>
      </c>
      <c r="P95">
        <v>-1</v>
      </c>
      <c r="Q95">
        <v>0</v>
      </c>
      <c r="R95" t="s">
        <v>70</v>
      </c>
      <c r="S95">
        <v>0</v>
      </c>
      <c r="T95">
        <v>0</v>
      </c>
      <c r="U95">
        <v>975</v>
      </c>
      <c r="V95" t="s">
        <v>57</v>
      </c>
      <c r="W95">
        <v>0</v>
      </c>
      <c r="X95">
        <v>0</v>
      </c>
      <c r="Y95">
        <v>0</v>
      </c>
      <c r="Z95">
        <v>0</v>
      </c>
      <c r="AA95" t="s">
        <v>67</v>
      </c>
      <c r="AB95">
        <v>0</v>
      </c>
      <c r="AC95">
        <v>0</v>
      </c>
      <c r="AD95">
        <v>0</v>
      </c>
      <c r="AE95">
        <v>0</v>
      </c>
      <c r="AF95" t="s">
        <v>60</v>
      </c>
      <c r="AG95">
        <v>0</v>
      </c>
      <c r="AH95">
        <v>0</v>
      </c>
      <c r="AI95">
        <v>0</v>
      </c>
      <c r="AJ95">
        <v>0</v>
      </c>
      <c r="AK95" t="b">
        <v>0</v>
      </c>
      <c r="AL95" t="s">
        <v>58</v>
      </c>
      <c r="AM95" t="s">
        <v>58</v>
      </c>
      <c r="AN95" t="s">
        <v>71</v>
      </c>
      <c r="AO95">
        <v>14</v>
      </c>
      <c r="AP95">
        <v>4</v>
      </c>
      <c r="AQ95">
        <v>8</v>
      </c>
      <c r="AR95">
        <v>11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s">
        <v>61</v>
      </c>
      <c r="BA95" t="s">
        <v>57</v>
      </c>
      <c r="BB95" t="s">
        <v>55</v>
      </c>
      <c r="BC95" t="s">
        <v>58</v>
      </c>
      <c r="BD95" t="s">
        <v>58</v>
      </c>
    </row>
    <row r="96" spans="1:56" x14ac:dyDescent="0.25">
      <c r="A96" t="str" cm="1">
        <f t="array" ref="A96">_xlfn.XLOOKUP(RIGHT(M96,8),TeamIdentity!C:C,TeamIdentity!A:A,NONE)</f>
        <v>Browns</v>
      </c>
      <c r="B96" t="str" cm="1">
        <f t="array" ref="B96">_xlfn.XLOOKUP(RIGHT(F96,8),TeamIdentity!C:C,TeamIdentity!A:A,NONE)</f>
        <v>Bengals</v>
      </c>
      <c r="C96" t="s">
        <v>54</v>
      </c>
      <c r="D96" t="s">
        <v>54</v>
      </c>
      <c r="E96" t="s">
        <v>54</v>
      </c>
      <c r="F96" t="s">
        <v>532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530</v>
      </c>
      <c r="N96">
        <v>-1</v>
      </c>
      <c r="O96">
        <v>0</v>
      </c>
      <c r="P96">
        <v>-1</v>
      </c>
      <c r="Q96">
        <v>0</v>
      </c>
      <c r="R96" t="s">
        <v>70</v>
      </c>
      <c r="S96">
        <v>0</v>
      </c>
      <c r="T96">
        <v>0</v>
      </c>
      <c r="U96">
        <v>1220</v>
      </c>
      <c r="V96" t="s">
        <v>57</v>
      </c>
      <c r="W96">
        <v>0</v>
      </c>
      <c r="X96">
        <v>0</v>
      </c>
      <c r="Y96">
        <v>0</v>
      </c>
      <c r="Z96">
        <v>0</v>
      </c>
      <c r="AA96" t="s">
        <v>60</v>
      </c>
      <c r="AB96">
        <v>0</v>
      </c>
      <c r="AC96">
        <v>0</v>
      </c>
      <c r="AD96">
        <v>0</v>
      </c>
      <c r="AE96">
        <v>0</v>
      </c>
      <c r="AF96" t="s">
        <v>60</v>
      </c>
      <c r="AG96">
        <v>0</v>
      </c>
      <c r="AH96">
        <v>0</v>
      </c>
      <c r="AI96">
        <v>0</v>
      </c>
      <c r="AJ96">
        <v>0</v>
      </c>
      <c r="AK96" t="b">
        <v>0</v>
      </c>
      <c r="AL96" t="s">
        <v>58</v>
      </c>
      <c r="AM96" t="s">
        <v>58</v>
      </c>
      <c r="AN96" t="s">
        <v>71</v>
      </c>
      <c r="AO96">
        <v>14</v>
      </c>
      <c r="AP96">
        <v>3</v>
      </c>
      <c r="AQ96">
        <v>13</v>
      </c>
      <c r="AR96">
        <v>11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s">
        <v>61</v>
      </c>
      <c r="BA96" t="s">
        <v>57</v>
      </c>
      <c r="BB96" t="s">
        <v>55</v>
      </c>
      <c r="BC96" t="s">
        <v>58</v>
      </c>
      <c r="BD96" t="s">
        <v>58</v>
      </c>
    </row>
    <row r="97" spans="1:56" x14ac:dyDescent="0.25">
      <c r="A97" t="str" cm="1">
        <f t="array" ref="A97">_xlfn.XLOOKUP(RIGHT(M97,8),TeamIdentity!C:C,TeamIdentity!A:A,NONE)</f>
        <v>Cowboys</v>
      </c>
      <c r="B97" t="str" cm="1">
        <f t="array" ref="B97">_xlfn.XLOOKUP(RIGHT(F97,8),TeamIdentity!C:C,TeamIdentity!A:A,NONE)</f>
        <v>Seahawks</v>
      </c>
      <c r="C97" t="s">
        <v>54</v>
      </c>
      <c r="D97" t="s">
        <v>54</v>
      </c>
      <c r="E97" t="s">
        <v>54</v>
      </c>
      <c r="F97" t="s">
        <v>527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541</v>
      </c>
      <c r="N97">
        <v>-1</v>
      </c>
      <c r="O97">
        <v>0</v>
      </c>
      <c r="P97">
        <v>-1</v>
      </c>
      <c r="Q97">
        <v>0</v>
      </c>
      <c r="R97" t="s">
        <v>70</v>
      </c>
      <c r="S97">
        <v>0</v>
      </c>
      <c r="T97">
        <v>0</v>
      </c>
      <c r="U97">
        <v>780</v>
      </c>
      <c r="V97" t="s">
        <v>57</v>
      </c>
      <c r="W97">
        <v>0</v>
      </c>
      <c r="X97">
        <v>0</v>
      </c>
      <c r="Y97">
        <v>0</v>
      </c>
      <c r="Z97">
        <v>0</v>
      </c>
      <c r="AA97" t="s">
        <v>67</v>
      </c>
      <c r="AB97">
        <v>0</v>
      </c>
      <c r="AC97">
        <v>0</v>
      </c>
      <c r="AD97">
        <v>0</v>
      </c>
      <c r="AE97">
        <v>0</v>
      </c>
      <c r="AF97" t="s">
        <v>60</v>
      </c>
      <c r="AG97">
        <v>0</v>
      </c>
      <c r="AH97">
        <v>0</v>
      </c>
      <c r="AI97">
        <v>0</v>
      </c>
      <c r="AJ97">
        <v>0</v>
      </c>
      <c r="AK97" t="b">
        <v>0</v>
      </c>
      <c r="AL97" t="s">
        <v>58</v>
      </c>
      <c r="AM97" t="s">
        <v>58</v>
      </c>
      <c r="AN97" t="s">
        <v>71</v>
      </c>
      <c r="AO97">
        <v>14</v>
      </c>
      <c r="AP97">
        <v>3</v>
      </c>
      <c r="AQ97">
        <v>1</v>
      </c>
      <c r="AR97">
        <v>11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s">
        <v>61</v>
      </c>
      <c r="BA97" t="s">
        <v>57</v>
      </c>
      <c r="BB97" t="s">
        <v>55</v>
      </c>
      <c r="BC97" t="s">
        <v>58</v>
      </c>
      <c r="BD97" t="s">
        <v>58</v>
      </c>
    </row>
    <row r="98" spans="1:56" x14ac:dyDescent="0.25">
      <c r="A98" t="str" cm="1">
        <f t="array" ref="A98">_xlfn.XLOOKUP(RIGHT(M98,8),TeamIdentity!C:C,TeamIdentity!A:A,NONE)</f>
        <v>Titans</v>
      </c>
      <c r="B98" t="str" cm="1">
        <f t="array" ref="B98">_xlfn.XLOOKUP(RIGHT(F98,8),TeamIdentity!C:C,TeamIdentity!A:A,NONE)</f>
        <v>Colts</v>
      </c>
      <c r="C98" t="s">
        <v>54</v>
      </c>
      <c r="D98" t="s">
        <v>54</v>
      </c>
      <c r="E98" t="s">
        <v>54</v>
      </c>
      <c r="F98" t="s">
        <v>540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534</v>
      </c>
      <c r="N98">
        <v>-1</v>
      </c>
      <c r="O98">
        <v>0</v>
      </c>
      <c r="P98">
        <v>-1</v>
      </c>
      <c r="Q98">
        <v>0</v>
      </c>
      <c r="R98" t="s">
        <v>70</v>
      </c>
      <c r="S98">
        <v>0</v>
      </c>
      <c r="T98">
        <v>0</v>
      </c>
      <c r="U98">
        <v>780</v>
      </c>
      <c r="V98" t="s">
        <v>57</v>
      </c>
      <c r="W98">
        <v>0</v>
      </c>
      <c r="X98">
        <v>0</v>
      </c>
      <c r="Y98">
        <v>0</v>
      </c>
      <c r="Z98">
        <v>0</v>
      </c>
      <c r="AA98" t="s">
        <v>67</v>
      </c>
      <c r="AB98">
        <v>0</v>
      </c>
      <c r="AC98">
        <v>0</v>
      </c>
      <c r="AD98">
        <v>0</v>
      </c>
      <c r="AE98">
        <v>0</v>
      </c>
      <c r="AF98" t="s">
        <v>60</v>
      </c>
      <c r="AG98">
        <v>0</v>
      </c>
      <c r="AH98">
        <v>0</v>
      </c>
      <c r="AI98">
        <v>0</v>
      </c>
      <c r="AJ98">
        <v>0</v>
      </c>
      <c r="AK98" t="b">
        <v>0</v>
      </c>
      <c r="AL98" t="s">
        <v>58</v>
      </c>
      <c r="AM98" t="s">
        <v>58</v>
      </c>
      <c r="AN98" t="s">
        <v>71</v>
      </c>
      <c r="AO98">
        <v>14</v>
      </c>
      <c r="AP98">
        <v>3</v>
      </c>
      <c r="AQ98">
        <v>2</v>
      </c>
      <c r="AR98">
        <v>11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s">
        <v>61</v>
      </c>
      <c r="BA98" t="s">
        <v>57</v>
      </c>
      <c r="BB98" t="s">
        <v>55</v>
      </c>
      <c r="BC98" t="s">
        <v>58</v>
      </c>
      <c r="BD98" t="s">
        <v>58</v>
      </c>
    </row>
    <row r="99" spans="1:56" x14ac:dyDescent="0.25">
      <c r="A99" t="str" cm="1">
        <f t="array" ref="A99">_xlfn.XLOOKUP(RIGHT(M99,8),TeamIdentity!C:C,TeamIdentity!A:A,NONE)</f>
        <v>Saints</v>
      </c>
      <c r="B99" t="str" cm="1">
        <f t="array" ref="B99">_xlfn.XLOOKUP(RIGHT(F99,8),TeamIdentity!C:C,TeamIdentity!A:A,NONE)</f>
        <v>Cardinals</v>
      </c>
      <c r="C99" t="s">
        <v>54</v>
      </c>
      <c r="D99" t="s">
        <v>54</v>
      </c>
      <c r="E99" t="s">
        <v>54</v>
      </c>
      <c r="F99" t="s">
        <v>538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537</v>
      </c>
      <c r="N99">
        <v>-1</v>
      </c>
      <c r="O99">
        <v>0</v>
      </c>
      <c r="P99">
        <v>-1</v>
      </c>
      <c r="Q99">
        <v>0</v>
      </c>
      <c r="R99" t="s">
        <v>70</v>
      </c>
      <c r="S99">
        <v>0</v>
      </c>
      <c r="T99">
        <v>0</v>
      </c>
      <c r="U99">
        <v>780</v>
      </c>
      <c r="V99" t="s">
        <v>57</v>
      </c>
      <c r="W99">
        <v>0</v>
      </c>
      <c r="X99">
        <v>0</v>
      </c>
      <c r="Y99">
        <v>0</v>
      </c>
      <c r="Z99">
        <v>0</v>
      </c>
      <c r="AA99" t="s">
        <v>67</v>
      </c>
      <c r="AB99">
        <v>0</v>
      </c>
      <c r="AC99">
        <v>0</v>
      </c>
      <c r="AD99">
        <v>0</v>
      </c>
      <c r="AE99">
        <v>0</v>
      </c>
      <c r="AF99" t="s">
        <v>60</v>
      </c>
      <c r="AG99">
        <v>0</v>
      </c>
      <c r="AH99">
        <v>0</v>
      </c>
      <c r="AI99">
        <v>0</v>
      </c>
      <c r="AJ99">
        <v>0</v>
      </c>
      <c r="AK99" t="b">
        <v>0</v>
      </c>
      <c r="AL99" t="s">
        <v>58</v>
      </c>
      <c r="AM99" t="s">
        <v>58</v>
      </c>
      <c r="AN99" t="s">
        <v>71</v>
      </c>
      <c r="AO99">
        <v>14</v>
      </c>
      <c r="AP99">
        <v>4</v>
      </c>
      <c r="AQ99">
        <v>0</v>
      </c>
      <c r="AR99">
        <v>11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s">
        <v>61</v>
      </c>
      <c r="BA99" t="s">
        <v>57</v>
      </c>
      <c r="BB99" t="s">
        <v>55</v>
      </c>
      <c r="BC99" t="s">
        <v>58</v>
      </c>
      <c r="BD99" t="s">
        <v>58</v>
      </c>
    </row>
    <row r="100" spans="1:56" x14ac:dyDescent="0.25">
      <c r="A100" t="str" cm="1">
        <f t="array" ref="A100">_xlfn.XLOOKUP(RIGHT(M100,8),TeamIdentity!C:C,TeamIdentity!A:A,NONE)</f>
        <v>49ers</v>
      </c>
      <c r="B100" t="str" cm="1">
        <f t="array" ref="B100">_xlfn.XLOOKUP(RIGHT(F100,8),TeamIdentity!C:C,TeamIdentity!A:A,NONE)</f>
        <v>Cowboys</v>
      </c>
      <c r="C100" t="s">
        <v>54</v>
      </c>
      <c r="D100" t="s">
        <v>54</v>
      </c>
      <c r="E100" t="s">
        <v>54</v>
      </c>
      <c r="F100" t="s">
        <v>541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533</v>
      </c>
      <c r="N100">
        <v>-1</v>
      </c>
      <c r="O100">
        <v>0</v>
      </c>
      <c r="P100">
        <v>-1</v>
      </c>
      <c r="Q100">
        <v>0</v>
      </c>
      <c r="R100" t="s">
        <v>70</v>
      </c>
      <c r="S100">
        <v>0</v>
      </c>
      <c r="T100">
        <v>0</v>
      </c>
      <c r="U100">
        <v>965</v>
      </c>
      <c r="V100" t="s">
        <v>57</v>
      </c>
      <c r="W100">
        <v>0</v>
      </c>
      <c r="X100">
        <v>0</v>
      </c>
      <c r="Y100">
        <v>0</v>
      </c>
      <c r="Z100">
        <v>0</v>
      </c>
      <c r="AA100" t="s">
        <v>67</v>
      </c>
      <c r="AB100">
        <v>0</v>
      </c>
      <c r="AC100">
        <v>0</v>
      </c>
      <c r="AD100">
        <v>0</v>
      </c>
      <c r="AE100">
        <v>0</v>
      </c>
      <c r="AF100" t="s">
        <v>60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s">
        <v>58</v>
      </c>
      <c r="AM100" t="s">
        <v>58</v>
      </c>
      <c r="AN100" t="s">
        <v>71</v>
      </c>
      <c r="AO100">
        <v>14</v>
      </c>
      <c r="AP100">
        <v>2</v>
      </c>
      <c r="AQ100">
        <v>8</v>
      </c>
      <c r="AR100">
        <v>11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s">
        <v>61</v>
      </c>
      <c r="BA100" t="s">
        <v>57</v>
      </c>
      <c r="BB100" t="s">
        <v>55</v>
      </c>
      <c r="BC100" t="s">
        <v>58</v>
      </c>
      <c r="BD100" t="s">
        <v>58</v>
      </c>
    </row>
    <row r="101" spans="1:56" x14ac:dyDescent="0.25">
      <c r="A101" t="str" cm="1">
        <f t="array" ref="A101">_xlfn.XLOOKUP(RIGHT(M101,8),TeamIdentity!C:C,TeamIdentity!A:A,NONE)</f>
        <v>Falcons</v>
      </c>
      <c r="B101" t="str" cm="1">
        <f t="array" ref="B101">_xlfn.XLOOKUP(RIGHT(F101,8),TeamIdentity!C:C,TeamIdentity!A:A,NONE)</f>
        <v>Bears</v>
      </c>
      <c r="C101" t="s">
        <v>54</v>
      </c>
      <c r="D101" t="s">
        <v>54</v>
      </c>
      <c r="E101" t="s">
        <v>54</v>
      </c>
      <c r="F101" t="s">
        <v>523</v>
      </c>
      <c r="G101" t="s">
        <v>54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 t="s">
        <v>515</v>
      </c>
      <c r="N101">
        <v>-1</v>
      </c>
      <c r="O101">
        <v>0</v>
      </c>
      <c r="P101">
        <v>-1</v>
      </c>
      <c r="Q101">
        <v>0</v>
      </c>
      <c r="R101" t="s">
        <v>70</v>
      </c>
      <c r="S101">
        <v>0</v>
      </c>
      <c r="T101">
        <v>0</v>
      </c>
      <c r="U101">
        <v>780</v>
      </c>
      <c r="V101" t="s">
        <v>57</v>
      </c>
      <c r="W101">
        <v>0</v>
      </c>
      <c r="X101">
        <v>0</v>
      </c>
      <c r="Y101">
        <v>0</v>
      </c>
      <c r="Z101">
        <v>0</v>
      </c>
      <c r="AA101" t="s">
        <v>67</v>
      </c>
      <c r="AB101">
        <v>0</v>
      </c>
      <c r="AC101">
        <v>0</v>
      </c>
      <c r="AD101">
        <v>0</v>
      </c>
      <c r="AE101">
        <v>0</v>
      </c>
      <c r="AF101" t="s">
        <v>60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s">
        <v>58</v>
      </c>
      <c r="AM101" t="s">
        <v>58</v>
      </c>
      <c r="AN101" t="s">
        <v>71</v>
      </c>
      <c r="AO101">
        <v>14</v>
      </c>
      <c r="AP101">
        <v>3</v>
      </c>
      <c r="AQ101">
        <v>3</v>
      </c>
      <c r="AR101">
        <v>11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s">
        <v>61</v>
      </c>
      <c r="BA101" t="s">
        <v>57</v>
      </c>
      <c r="BB101" t="s">
        <v>55</v>
      </c>
      <c r="BC101" t="s">
        <v>58</v>
      </c>
      <c r="BD101" t="s">
        <v>58</v>
      </c>
    </row>
    <row r="102" spans="1:56" x14ac:dyDescent="0.25">
      <c r="A102" t="str" cm="1">
        <f t="array" ref="A102">_xlfn.XLOOKUP(RIGHT(M102,8),TeamIdentity!C:C,TeamIdentity!A:A,NONE)</f>
        <v>Seahawks</v>
      </c>
      <c r="B102" t="str" cm="1">
        <f t="array" ref="B102">_xlfn.XLOOKUP(RIGHT(F102,8),TeamIdentity!C:C,TeamIdentity!A:A,NONE)</f>
        <v>Eagles</v>
      </c>
      <c r="C102" t="s">
        <v>54</v>
      </c>
      <c r="D102" t="s">
        <v>54</v>
      </c>
      <c r="E102" t="s">
        <v>54</v>
      </c>
      <c r="F102" t="s">
        <v>519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 t="s">
        <v>527</v>
      </c>
      <c r="N102">
        <v>-1</v>
      </c>
      <c r="O102">
        <v>0</v>
      </c>
      <c r="P102">
        <v>-1</v>
      </c>
      <c r="Q102">
        <v>0</v>
      </c>
      <c r="R102" t="s">
        <v>70</v>
      </c>
      <c r="S102">
        <v>0</v>
      </c>
      <c r="T102">
        <v>0</v>
      </c>
      <c r="U102">
        <v>965</v>
      </c>
      <c r="V102" t="s">
        <v>57</v>
      </c>
      <c r="W102">
        <v>0</v>
      </c>
      <c r="X102">
        <v>0</v>
      </c>
      <c r="Y102">
        <v>0</v>
      </c>
      <c r="Z102">
        <v>0</v>
      </c>
      <c r="AA102" t="s">
        <v>67</v>
      </c>
      <c r="AB102">
        <v>0</v>
      </c>
      <c r="AC102">
        <v>0</v>
      </c>
      <c r="AD102">
        <v>0</v>
      </c>
      <c r="AE102">
        <v>0</v>
      </c>
      <c r="AF102" t="s">
        <v>60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s">
        <v>58</v>
      </c>
      <c r="AM102" t="s">
        <v>58</v>
      </c>
      <c r="AN102" t="s">
        <v>71</v>
      </c>
      <c r="AO102">
        <v>14</v>
      </c>
      <c r="AP102">
        <v>2</v>
      </c>
      <c r="AQ102">
        <v>9</v>
      </c>
      <c r="AR102">
        <v>11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s">
        <v>61</v>
      </c>
      <c r="BA102" t="s">
        <v>57</v>
      </c>
      <c r="BB102" t="s">
        <v>55</v>
      </c>
      <c r="BC102" t="s">
        <v>58</v>
      </c>
      <c r="BD102" t="s">
        <v>58</v>
      </c>
    </row>
    <row r="103" spans="1:56" x14ac:dyDescent="0.25">
      <c r="A103" t="str" cm="1">
        <f t="array" ref="A103">_xlfn.XLOOKUP(RIGHT(M103,8),TeamIdentity!C:C,TeamIdentity!A:A,NONE)</f>
        <v>Bears</v>
      </c>
      <c r="B103" t="str" cm="1">
        <f t="array" ref="B103">_xlfn.XLOOKUP(RIGHT(F103,8),TeamIdentity!C:C,TeamIdentity!A:A,NONE)</f>
        <v>Raiders</v>
      </c>
      <c r="C103" t="s">
        <v>54</v>
      </c>
      <c r="D103" t="s">
        <v>54</v>
      </c>
      <c r="E103" t="s">
        <v>54</v>
      </c>
      <c r="F103" t="s">
        <v>525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523</v>
      </c>
      <c r="N103">
        <v>-1</v>
      </c>
      <c r="O103">
        <v>0</v>
      </c>
      <c r="P103">
        <v>-1</v>
      </c>
      <c r="Q103">
        <v>0</v>
      </c>
      <c r="R103" t="s">
        <v>70</v>
      </c>
      <c r="S103">
        <v>0</v>
      </c>
      <c r="T103">
        <v>0</v>
      </c>
      <c r="U103">
        <v>780</v>
      </c>
      <c r="V103" t="s">
        <v>57</v>
      </c>
      <c r="W103">
        <v>0</v>
      </c>
      <c r="X103">
        <v>0</v>
      </c>
      <c r="Y103">
        <v>0</v>
      </c>
      <c r="Z103">
        <v>0</v>
      </c>
      <c r="AA103" t="s">
        <v>67</v>
      </c>
      <c r="AB103">
        <v>0</v>
      </c>
      <c r="AC103">
        <v>0</v>
      </c>
      <c r="AD103">
        <v>0</v>
      </c>
      <c r="AE103">
        <v>0</v>
      </c>
      <c r="AF103" t="s">
        <v>60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s">
        <v>58</v>
      </c>
      <c r="AM103" t="s">
        <v>58</v>
      </c>
      <c r="AN103" t="s">
        <v>71</v>
      </c>
      <c r="AO103">
        <v>14</v>
      </c>
      <c r="AP103">
        <v>2</v>
      </c>
      <c r="AQ103">
        <v>6</v>
      </c>
      <c r="AR103">
        <v>11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s">
        <v>61</v>
      </c>
      <c r="BA103" t="s">
        <v>57</v>
      </c>
      <c r="BB103" t="s">
        <v>55</v>
      </c>
      <c r="BC103" t="s">
        <v>58</v>
      </c>
      <c r="BD103" t="s">
        <v>58</v>
      </c>
    </row>
    <row r="104" spans="1:56" x14ac:dyDescent="0.25">
      <c r="A104" t="str" cm="1">
        <f t="array" ref="A104">_xlfn.XLOOKUP(RIGHT(M104,8),TeamIdentity!C:C,TeamIdentity!A:A,NONE)</f>
        <v>Texans</v>
      </c>
      <c r="B104" t="str" cm="1">
        <f t="array" ref="B104">_xlfn.XLOOKUP(RIGHT(F104,8),TeamIdentity!C:C,TeamIdentity!A:A,NONE)</f>
        <v>Ravens</v>
      </c>
      <c r="C104" t="s">
        <v>54</v>
      </c>
      <c r="D104" t="s">
        <v>54</v>
      </c>
      <c r="E104" t="s">
        <v>54</v>
      </c>
      <c r="F104" t="s">
        <v>520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517</v>
      </c>
      <c r="N104">
        <v>-1</v>
      </c>
      <c r="O104">
        <v>0</v>
      </c>
      <c r="P104">
        <v>-1</v>
      </c>
      <c r="Q104">
        <v>0</v>
      </c>
      <c r="R104" t="s">
        <v>70</v>
      </c>
      <c r="S104">
        <v>0</v>
      </c>
      <c r="T104">
        <v>0</v>
      </c>
      <c r="U104">
        <v>780</v>
      </c>
      <c r="V104" t="s">
        <v>57</v>
      </c>
      <c r="W104">
        <v>0</v>
      </c>
      <c r="X104">
        <v>0</v>
      </c>
      <c r="Y104">
        <v>0</v>
      </c>
      <c r="Z104">
        <v>0</v>
      </c>
      <c r="AA104" t="s">
        <v>67</v>
      </c>
      <c r="AB104">
        <v>0</v>
      </c>
      <c r="AC104">
        <v>0</v>
      </c>
      <c r="AD104">
        <v>0</v>
      </c>
      <c r="AE104">
        <v>0</v>
      </c>
      <c r="AF104" t="s">
        <v>60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s">
        <v>58</v>
      </c>
      <c r="AM104" t="s">
        <v>58</v>
      </c>
      <c r="AN104" t="s">
        <v>71</v>
      </c>
      <c r="AO104">
        <v>14</v>
      </c>
      <c r="AP104">
        <v>2</v>
      </c>
      <c r="AQ104">
        <v>7</v>
      </c>
      <c r="AR104">
        <v>11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s">
        <v>61</v>
      </c>
      <c r="BA104" t="s">
        <v>57</v>
      </c>
      <c r="BB104" t="s">
        <v>55</v>
      </c>
      <c r="BC104" t="s">
        <v>58</v>
      </c>
      <c r="BD104" t="s">
        <v>58</v>
      </c>
    </row>
    <row r="105" spans="1:56" x14ac:dyDescent="0.25">
      <c r="A105" t="str" cm="1">
        <f t="array" ref="A105">_xlfn.XLOOKUP(RIGHT(M105,8),TeamIdentity!C:C,TeamIdentity!A:A,NONE)</f>
        <v>Broncos</v>
      </c>
      <c r="B105" t="str" cm="1">
        <f t="array" ref="B105">_xlfn.XLOOKUP(RIGHT(F105,8),TeamIdentity!C:C,TeamIdentity!A:A,NONE)</f>
        <v>Raiders</v>
      </c>
      <c r="C105" t="s">
        <v>54</v>
      </c>
      <c r="D105" t="s">
        <v>54</v>
      </c>
      <c r="E105" t="s">
        <v>54</v>
      </c>
      <c r="F105" t="s">
        <v>525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539</v>
      </c>
      <c r="N105">
        <v>-1</v>
      </c>
      <c r="O105">
        <v>0</v>
      </c>
      <c r="P105">
        <v>-1</v>
      </c>
      <c r="Q105">
        <v>0</v>
      </c>
      <c r="R105" t="s">
        <v>70</v>
      </c>
      <c r="S105">
        <v>0</v>
      </c>
      <c r="T105">
        <v>0</v>
      </c>
      <c r="U105">
        <v>965</v>
      </c>
      <c r="V105" t="s">
        <v>57</v>
      </c>
      <c r="W105">
        <v>0</v>
      </c>
      <c r="X105">
        <v>0</v>
      </c>
      <c r="Y105">
        <v>0</v>
      </c>
      <c r="Z105">
        <v>0</v>
      </c>
      <c r="AA105" t="s">
        <v>67</v>
      </c>
      <c r="AB105">
        <v>0</v>
      </c>
      <c r="AC105">
        <v>0</v>
      </c>
      <c r="AD105">
        <v>0</v>
      </c>
      <c r="AE105">
        <v>0</v>
      </c>
      <c r="AF105" t="s">
        <v>60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s">
        <v>58</v>
      </c>
      <c r="AM105" t="s">
        <v>58</v>
      </c>
      <c r="AN105" t="s">
        <v>71</v>
      </c>
      <c r="AO105">
        <v>14</v>
      </c>
      <c r="AP105">
        <v>1</v>
      </c>
      <c r="AQ105">
        <v>9</v>
      </c>
      <c r="AR105">
        <v>11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s">
        <v>61</v>
      </c>
      <c r="BA105" t="s">
        <v>57</v>
      </c>
      <c r="BB105" t="s">
        <v>55</v>
      </c>
      <c r="BC105" t="s">
        <v>58</v>
      </c>
      <c r="BD105" t="s">
        <v>58</v>
      </c>
    </row>
    <row r="106" spans="1:56" x14ac:dyDescent="0.25">
      <c r="A106" t="str" cm="1">
        <f t="array" ref="A106">_xlfn.XLOOKUP(RIGHT(M106,8),TeamIdentity!C:C,TeamIdentity!A:A,NONE)</f>
        <v>Rams</v>
      </c>
      <c r="B106" t="str" cm="1">
        <f t="array" ref="B106">_xlfn.XLOOKUP(RIGHT(F106,8),TeamIdentity!C:C,TeamIdentity!A:A,NONE)</f>
        <v>Jaguars</v>
      </c>
      <c r="C106" t="s">
        <v>54</v>
      </c>
      <c r="D106" t="s">
        <v>54</v>
      </c>
      <c r="E106" t="s">
        <v>54</v>
      </c>
      <c r="F106" t="s">
        <v>536</v>
      </c>
      <c r="G106" t="s">
        <v>54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542</v>
      </c>
      <c r="N106">
        <v>-1</v>
      </c>
      <c r="O106">
        <v>0</v>
      </c>
      <c r="P106">
        <v>-1</v>
      </c>
      <c r="Q106">
        <v>0</v>
      </c>
      <c r="R106" t="s">
        <v>70</v>
      </c>
      <c r="S106">
        <v>0</v>
      </c>
      <c r="T106">
        <v>0</v>
      </c>
      <c r="U106">
        <v>965</v>
      </c>
      <c r="V106" t="s">
        <v>57</v>
      </c>
      <c r="W106">
        <v>0</v>
      </c>
      <c r="X106">
        <v>0</v>
      </c>
      <c r="Y106">
        <v>0</v>
      </c>
      <c r="Z106">
        <v>0</v>
      </c>
      <c r="AA106" t="s">
        <v>67</v>
      </c>
      <c r="AB106">
        <v>0</v>
      </c>
      <c r="AC106">
        <v>0</v>
      </c>
      <c r="AD106">
        <v>0</v>
      </c>
      <c r="AE106">
        <v>0</v>
      </c>
      <c r="AF106" t="s">
        <v>60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s">
        <v>58</v>
      </c>
      <c r="AM106" t="s">
        <v>58</v>
      </c>
      <c r="AN106" t="s">
        <v>71</v>
      </c>
      <c r="AO106">
        <v>14</v>
      </c>
      <c r="AP106">
        <v>2</v>
      </c>
      <c r="AQ106">
        <v>10</v>
      </c>
      <c r="AR106">
        <v>11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s">
        <v>61</v>
      </c>
      <c r="BA106" t="s">
        <v>57</v>
      </c>
      <c r="BB106" t="s">
        <v>55</v>
      </c>
      <c r="BC106" t="s">
        <v>58</v>
      </c>
      <c r="BD106" t="s">
        <v>58</v>
      </c>
    </row>
    <row r="107" spans="1:56" x14ac:dyDescent="0.25">
      <c r="A107" t="str" cm="1">
        <f t="array" ref="A107">_xlfn.XLOOKUP(RIGHT(M107,8),TeamIdentity!C:C,TeamIdentity!A:A,NONE)</f>
        <v>Packers</v>
      </c>
      <c r="B107" t="str" cm="1">
        <f t="array" ref="B107">_xlfn.XLOOKUP(RIGHT(F107,8),TeamIdentity!C:C,TeamIdentity!A:A,NONE)</f>
        <v>Chiefs</v>
      </c>
      <c r="C107" t="s">
        <v>54</v>
      </c>
      <c r="D107" t="s">
        <v>54</v>
      </c>
      <c r="E107" t="s">
        <v>54</v>
      </c>
      <c r="F107" t="s">
        <v>535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529</v>
      </c>
      <c r="N107">
        <v>-1</v>
      </c>
      <c r="O107">
        <v>0</v>
      </c>
      <c r="P107">
        <v>-1</v>
      </c>
      <c r="Q107">
        <v>0</v>
      </c>
      <c r="R107" t="s">
        <v>70</v>
      </c>
      <c r="S107">
        <v>0</v>
      </c>
      <c r="T107">
        <v>0</v>
      </c>
      <c r="U107">
        <v>975</v>
      </c>
      <c r="V107" t="s">
        <v>57</v>
      </c>
      <c r="W107">
        <v>0</v>
      </c>
      <c r="X107">
        <v>0</v>
      </c>
      <c r="Y107">
        <v>0</v>
      </c>
      <c r="Z107">
        <v>0</v>
      </c>
      <c r="AA107" t="s">
        <v>67</v>
      </c>
      <c r="AB107">
        <v>0</v>
      </c>
      <c r="AC107">
        <v>0</v>
      </c>
      <c r="AD107">
        <v>0</v>
      </c>
      <c r="AE107">
        <v>0</v>
      </c>
      <c r="AF107" t="s">
        <v>60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s">
        <v>58</v>
      </c>
      <c r="AM107" t="s">
        <v>58</v>
      </c>
      <c r="AN107" t="s">
        <v>71</v>
      </c>
      <c r="AO107">
        <v>14</v>
      </c>
      <c r="AP107">
        <v>1</v>
      </c>
      <c r="AQ107">
        <v>12</v>
      </c>
      <c r="AR107">
        <v>11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s">
        <v>61</v>
      </c>
      <c r="BA107" t="s">
        <v>57</v>
      </c>
      <c r="BB107" t="s">
        <v>55</v>
      </c>
      <c r="BC107" t="s">
        <v>58</v>
      </c>
      <c r="BD107" t="s">
        <v>58</v>
      </c>
    </row>
    <row r="108" spans="1:56" x14ac:dyDescent="0.25">
      <c r="A108" t="str" cm="1">
        <f t="array" ref="A108">_xlfn.XLOOKUP(RIGHT(M108,8),TeamIdentity!C:C,TeamIdentity!A:A,NONE)</f>
        <v>Cardinals</v>
      </c>
      <c r="B108" t="str" cm="1">
        <f t="array" ref="B108">_xlfn.XLOOKUP(RIGHT(F108,8),TeamIdentity!C:C,TeamIdentity!A:A,NONE)</f>
        <v>Commanders</v>
      </c>
      <c r="C108" t="s">
        <v>54</v>
      </c>
      <c r="D108" t="s">
        <v>54</v>
      </c>
      <c r="E108" t="s">
        <v>54</v>
      </c>
      <c r="F108" t="s">
        <v>521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538</v>
      </c>
      <c r="N108">
        <v>-1</v>
      </c>
      <c r="O108">
        <v>0</v>
      </c>
      <c r="P108">
        <v>-1</v>
      </c>
      <c r="Q108">
        <v>0</v>
      </c>
      <c r="R108" t="s">
        <v>70</v>
      </c>
      <c r="S108">
        <v>0</v>
      </c>
      <c r="T108">
        <v>0</v>
      </c>
      <c r="U108">
        <v>965</v>
      </c>
      <c r="V108" t="s">
        <v>57</v>
      </c>
      <c r="W108">
        <v>0</v>
      </c>
      <c r="X108">
        <v>0</v>
      </c>
      <c r="Y108">
        <v>0</v>
      </c>
      <c r="Z108">
        <v>0</v>
      </c>
      <c r="AA108" t="s">
        <v>67</v>
      </c>
      <c r="AB108">
        <v>0</v>
      </c>
      <c r="AC108">
        <v>0</v>
      </c>
      <c r="AD108">
        <v>0</v>
      </c>
      <c r="AE108">
        <v>0</v>
      </c>
      <c r="AF108" t="s">
        <v>60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s">
        <v>58</v>
      </c>
      <c r="AM108" t="s">
        <v>58</v>
      </c>
      <c r="AN108" t="s">
        <v>71</v>
      </c>
      <c r="AO108">
        <v>14</v>
      </c>
      <c r="AP108">
        <v>2</v>
      </c>
      <c r="AQ108">
        <v>11</v>
      </c>
      <c r="AR108">
        <v>11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s">
        <v>61</v>
      </c>
      <c r="BA108" t="s">
        <v>57</v>
      </c>
      <c r="BB108" t="s">
        <v>55</v>
      </c>
      <c r="BC108" t="s">
        <v>58</v>
      </c>
      <c r="BD108" t="s">
        <v>58</v>
      </c>
    </row>
    <row r="109" spans="1:56" x14ac:dyDescent="0.25">
      <c r="A109" t="str" cm="1">
        <f t="array" ref="A109">_xlfn.XLOOKUP(RIGHT(M109,8),TeamIdentity!C:C,TeamIdentity!A:A,NONE)</f>
        <v>Eagles</v>
      </c>
      <c r="B109" t="str" cm="1">
        <f t="array" ref="B109">_xlfn.XLOOKUP(RIGHT(F109,8),TeamIdentity!C:C,TeamIdentity!A:A,NONE)</f>
        <v>Falcons</v>
      </c>
      <c r="C109" t="s">
        <v>54</v>
      </c>
      <c r="D109" t="s">
        <v>54</v>
      </c>
      <c r="E109" t="s">
        <v>54</v>
      </c>
      <c r="F109" t="s">
        <v>515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519</v>
      </c>
      <c r="N109">
        <v>-1</v>
      </c>
      <c r="O109">
        <v>0</v>
      </c>
      <c r="P109">
        <v>-1</v>
      </c>
      <c r="Q109">
        <v>0</v>
      </c>
      <c r="R109" t="s">
        <v>70</v>
      </c>
      <c r="S109">
        <v>0</v>
      </c>
      <c r="T109">
        <v>0</v>
      </c>
      <c r="U109">
        <v>780</v>
      </c>
      <c r="V109" t="s">
        <v>57</v>
      </c>
      <c r="W109">
        <v>0</v>
      </c>
      <c r="X109">
        <v>0</v>
      </c>
      <c r="Y109">
        <v>0</v>
      </c>
      <c r="Z109">
        <v>0</v>
      </c>
      <c r="AA109" t="s">
        <v>67</v>
      </c>
      <c r="AB109">
        <v>0</v>
      </c>
      <c r="AC109">
        <v>0</v>
      </c>
      <c r="AD109">
        <v>0</v>
      </c>
      <c r="AE109">
        <v>0</v>
      </c>
      <c r="AF109" t="s">
        <v>60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s">
        <v>58</v>
      </c>
      <c r="AM109" t="s">
        <v>58</v>
      </c>
      <c r="AN109" t="s">
        <v>71</v>
      </c>
      <c r="AO109">
        <v>14</v>
      </c>
      <c r="AP109">
        <v>4</v>
      </c>
      <c r="AQ109">
        <v>1</v>
      </c>
      <c r="AR109">
        <v>11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s">
        <v>61</v>
      </c>
      <c r="BA109" t="s">
        <v>57</v>
      </c>
      <c r="BB109" t="s">
        <v>55</v>
      </c>
      <c r="BC109" t="s">
        <v>58</v>
      </c>
      <c r="BD109" t="s">
        <v>58</v>
      </c>
    </row>
    <row r="110" spans="1:56" x14ac:dyDescent="0.25">
      <c r="A110" t="str" cm="1">
        <f t="array" ref="A110">_xlfn.XLOOKUP(RIGHT(M110,8),TeamIdentity!C:C,TeamIdentity!A:A,NONE)</f>
        <v>Colts</v>
      </c>
      <c r="B110" t="str" cm="1">
        <f t="array" ref="B110">_xlfn.XLOOKUP(RIGHT(F110,8),TeamIdentity!C:C,TeamIdentity!A:A,NONE)</f>
        <v>Jaguars</v>
      </c>
      <c r="C110" t="s">
        <v>54</v>
      </c>
      <c r="D110" t="s">
        <v>54</v>
      </c>
      <c r="E110" t="s">
        <v>54</v>
      </c>
      <c r="F110" t="s">
        <v>536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540</v>
      </c>
      <c r="N110">
        <v>-1</v>
      </c>
      <c r="O110">
        <v>0</v>
      </c>
      <c r="P110">
        <v>-1</v>
      </c>
      <c r="Q110">
        <v>0</v>
      </c>
      <c r="R110" t="s">
        <v>70</v>
      </c>
      <c r="S110">
        <v>0</v>
      </c>
      <c r="T110">
        <v>0</v>
      </c>
      <c r="U110">
        <v>780</v>
      </c>
      <c r="V110" t="s">
        <v>57</v>
      </c>
      <c r="W110">
        <v>0</v>
      </c>
      <c r="X110">
        <v>0</v>
      </c>
      <c r="Y110">
        <v>0</v>
      </c>
      <c r="Z110">
        <v>0</v>
      </c>
      <c r="AA110" t="s">
        <v>67</v>
      </c>
      <c r="AB110">
        <v>0</v>
      </c>
      <c r="AC110">
        <v>0</v>
      </c>
      <c r="AD110">
        <v>0</v>
      </c>
      <c r="AE110">
        <v>0</v>
      </c>
      <c r="AF110" t="s">
        <v>60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s">
        <v>58</v>
      </c>
      <c r="AM110" t="s">
        <v>58</v>
      </c>
      <c r="AN110" t="s">
        <v>71</v>
      </c>
      <c r="AO110">
        <v>14</v>
      </c>
      <c r="AP110">
        <v>4</v>
      </c>
      <c r="AQ110">
        <v>2</v>
      </c>
      <c r="AR110">
        <v>11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s">
        <v>61</v>
      </c>
      <c r="BA110" t="s">
        <v>57</v>
      </c>
      <c r="BB110" t="s">
        <v>55</v>
      </c>
      <c r="BC110" t="s">
        <v>58</v>
      </c>
      <c r="BD110" t="s">
        <v>58</v>
      </c>
    </row>
    <row r="111" spans="1:56" x14ac:dyDescent="0.25">
      <c r="A111" t="str" cm="1">
        <f t="array" ref="A111">_xlfn.XLOOKUP(RIGHT(M111,8),TeamIdentity!C:C,TeamIdentity!A:A,NONE)</f>
        <v>Buccaneers</v>
      </c>
      <c r="B111" t="str" cm="1">
        <f t="array" ref="B111">_xlfn.XLOOKUP(RIGHT(F111,8),TeamIdentity!C:C,TeamIdentity!A:A,NONE)</f>
        <v>Panthers</v>
      </c>
      <c r="C111" t="s">
        <v>54</v>
      </c>
      <c r="D111" t="s">
        <v>54</v>
      </c>
      <c r="E111" t="s">
        <v>54</v>
      </c>
      <c r="F111" t="s">
        <v>511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531</v>
      </c>
      <c r="N111">
        <v>-1</v>
      </c>
      <c r="O111">
        <v>0</v>
      </c>
      <c r="P111">
        <v>-1</v>
      </c>
      <c r="Q111">
        <v>0</v>
      </c>
      <c r="R111" t="s">
        <v>70</v>
      </c>
      <c r="S111">
        <v>0</v>
      </c>
      <c r="T111">
        <v>0</v>
      </c>
      <c r="U111">
        <v>975</v>
      </c>
      <c r="V111" t="s">
        <v>57</v>
      </c>
      <c r="W111">
        <v>0</v>
      </c>
      <c r="X111">
        <v>0</v>
      </c>
      <c r="Y111">
        <v>0</v>
      </c>
      <c r="Z111">
        <v>0</v>
      </c>
      <c r="AA111" t="s">
        <v>67</v>
      </c>
      <c r="AB111">
        <v>0</v>
      </c>
      <c r="AC111">
        <v>0</v>
      </c>
      <c r="AD111">
        <v>0</v>
      </c>
      <c r="AE111">
        <v>0</v>
      </c>
      <c r="AF111" t="s">
        <v>60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s">
        <v>58</v>
      </c>
      <c r="AM111" t="s">
        <v>58</v>
      </c>
      <c r="AN111" t="s">
        <v>71</v>
      </c>
      <c r="AO111">
        <v>14</v>
      </c>
      <c r="AP111">
        <v>4</v>
      </c>
      <c r="AQ111">
        <v>9</v>
      </c>
      <c r="AR111">
        <v>11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s">
        <v>61</v>
      </c>
      <c r="BA111" t="s">
        <v>57</v>
      </c>
      <c r="BB111" t="s">
        <v>55</v>
      </c>
      <c r="BC111" t="s">
        <v>58</v>
      </c>
      <c r="BD111" t="s">
        <v>58</v>
      </c>
    </row>
    <row r="112" spans="1:56" x14ac:dyDescent="0.25">
      <c r="A112" t="str" cm="1">
        <f t="array" ref="A112">_xlfn.XLOOKUP(RIGHT(M112,8),TeamIdentity!C:C,TeamIdentity!A:A,NONE)</f>
        <v>Browns</v>
      </c>
      <c r="B112" t="str" cm="1">
        <f t="array" ref="B112">_xlfn.XLOOKUP(RIGHT(F112,8),TeamIdentity!C:C,TeamIdentity!A:A,NONE)</f>
        <v>Titans</v>
      </c>
      <c r="C112" t="s">
        <v>54</v>
      </c>
      <c r="D112" t="s">
        <v>54</v>
      </c>
      <c r="E112" t="s">
        <v>54</v>
      </c>
      <c r="F112" t="s">
        <v>534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530</v>
      </c>
      <c r="N112">
        <v>-1</v>
      </c>
      <c r="O112">
        <v>0</v>
      </c>
      <c r="P112">
        <v>-1</v>
      </c>
      <c r="Q112">
        <v>0</v>
      </c>
      <c r="R112" t="s">
        <v>70</v>
      </c>
      <c r="S112">
        <v>0</v>
      </c>
      <c r="T112">
        <v>0</v>
      </c>
      <c r="U112">
        <v>780</v>
      </c>
      <c r="V112" t="s">
        <v>57</v>
      </c>
      <c r="W112">
        <v>0</v>
      </c>
      <c r="X112">
        <v>0</v>
      </c>
      <c r="Y112">
        <v>0</v>
      </c>
      <c r="Z112">
        <v>0</v>
      </c>
      <c r="AA112" t="s">
        <v>67</v>
      </c>
      <c r="AB112">
        <v>0</v>
      </c>
      <c r="AC112">
        <v>0</v>
      </c>
      <c r="AD112">
        <v>0</v>
      </c>
      <c r="AE112">
        <v>0</v>
      </c>
      <c r="AF112" t="s">
        <v>60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s">
        <v>58</v>
      </c>
      <c r="AM112" t="s">
        <v>58</v>
      </c>
      <c r="AN112" t="s">
        <v>71</v>
      </c>
      <c r="AO112">
        <v>14</v>
      </c>
      <c r="AP112">
        <v>5</v>
      </c>
      <c r="AQ112">
        <v>0</v>
      </c>
      <c r="AR112">
        <v>11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s">
        <v>61</v>
      </c>
      <c r="BA112" t="s">
        <v>57</v>
      </c>
      <c r="BB112" t="s">
        <v>55</v>
      </c>
      <c r="BC112" t="s">
        <v>58</v>
      </c>
      <c r="BD112" t="s">
        <v>58</v>
      </c>
    </row>
    <row r="113" spans="1:56" x14ac:dyDescent="0.25">
      <c r="A113" t="str" cm="1">
        <f t="array" ref="A113">_xlfn.XLOOKUP(RIGHT(M113,8),TeamIdentity!C:C,TeamIdentity!A:A,NONE)</f>
        <v>Saints</v>
      </c>
      <c r="B113" t="str" cm="1">
        <f t="array" ref="B113">_xlfn.XLOOKUP(RIGHT(F113,8),TeamIdentity!C:C,TeamIdentity!A:A,NONE)</f>
        <v>Buccaneers</v>
      </c>
      <c r="C113" t="s">
        <v>54</v>
      </c>
      <c r="D113" t="s">
        <v>54</v>
      </c>
      <c r="E113" t="s">
        <v>54</v>
      </c>
      <c r="F113" t="s">
        <v>531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537</v>
      </c>
      <c r="N113">
        <v>-1</v>
      </c>
      <c r="O113">
        <v>0</v>
      </c>
      <c r="P113">
        <v>-1</v>
      </c>
      <c r="Q113">
        <v>0</v>
      </c>
      <c r="R113" t="s">
        <v>70</v>
      </c>
      <c r="S113">
        <v>0</v>
      </c>
      <c r="T113">
        <v>0</v>
      </c>
      <c r="U113">
        <v>780</v>
      </c>
      <c r="V113" t="s">
        <v>57</v>
      </c>
      <c r="W113">
        <v>0</v>
      </c>
      <c r="X113">
        <v>0</v>
      </c>
      <c r="Y113">
        <v>0</v>
      </c>
      <c r="Z113">
        <v>0</v>
      </c>
      <c r="AA113" t="s">
        <v>67</v>
      </c>
      <c r="AB113">
        <v>0</v>
      </c>
      <c r="AC113">
        <v>0</v>
      </c>
      <c r="AD113">
        <v>0</v>
      </c>
      <c r="AE113">
        <v>0</v>
      </c>
      <c r="AF113" t="s">
        <v>60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s">
        <v>58</v>
      </c>
      <c r="AM113" t="s">
        <v>58</v>
      </c>
      <c r="AN113" t="s">
        <v>71</v>
      </c>
      <c r="AO113">
        <v>14</v>
      </c>
      <c r="AP113">
        <v>3</v>
      </c>
      <c r="AQ113">
        <v>4</v>
      </c>
      <c r="AR113">
        <v>11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s">
        <v>61</v>
      </c>
      <c r="BA113" t="s">
        <v>57</v>
      </c>
      <c r="BB113" t="s">
        <v>55</v>
      </c>
      <c r="BC113" t="s">
        <v>58</v>
      </c>
      <c r="BD113" t="s">
        <v>58</v>
      </c>
    </row>
    <row r="114" spans="1:56" x14ac:dyDescent="0.25">
      <c r="A114" t="str" cm="1">
        <f t="array" ref="A114">_xlfn.XLOOKUP(RIGHT(M114,8),TeamIdentity!C:C,TeamIdentity!A:A,NONE)</f>
        <v>Ravens</v>
      </c>
      <c r="B114" t="str" cm="1">
        <f t="array" ref="B114">_xlfn.XLOOKUP(RIGHT(F114,8),TeamIdentity!C:C,TeamIdentity!A:A,NONE)</f>
        <v>Steelers</v>
      </c>
      <c r="C114" t="s">
        <v>54</v>
      </c>
      <c r="D114" t="s">
        <v>54</v>
      </c>
      <c r="E114" t="s">
        <v>54</v>
      </c>
      <c r="F114" t="s">
        <v>518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520</v>
      </c>
      <c r="N114">
        <v>-1</v>
      </c>
      <c r="O114">
        <v>0</v>
      </c>
      <c r="P114">
        <v>-1</v>
      </c>
      <c r="Q114">
        <v>0</v>
      </c>
      <c r="R114" t="s">
        <v>70</v>
      </c>
      <c r="S114">
        <v>0</v>
      </c>
      <c r="T114">
        <v>0</v>
      </c>
      <c r="U114">
        <v>780</v>
      </c>
      <c r="V114" t="s">
        <v>57</v>
      </c>
      <c r="W114">
        <v>0</v>
      </c>
      <c r="X114">
        <v>0</v>
      </c>
      <c r="Y114">
        <v>0</v>
      </c>
      <c r="Z114">
        <v>0</v>
      </c>
      <c r="AA114" t="s">
        <v>67</v>
      </c>
      <c r="AB114">
        <v>0</v>
      </c>
      <c r="AC114">
        <v>0</v>
      </c>
      <c r="AD114">
        <v>0</v>
      </c>
      <c r="AE114">
        <v>0</v>
      </c>
      <c r="AF114" t="s">
        <v>60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s">
        <v>58</v>
      </c>
      <c r="AM114" t="s">
        <v>58</v>
      </c>
      <c r="AN114" t="s">
        <v>71</v>
      </c>
      <c r="AO114">
        <v>14</v>
      </c>
      <c r="AP114">
        <v>4</v>
      </c>
      <c r="AQ114">
        <v>3</v>
      </c>
      <c r="AR114">
        <v>11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s">
        <v>61</v>
      </c>
      <c r="BA114" t="s">
        <v>57</v>
      </c>
      <c r="BB114" t="s">
        <v>55</v>
      </c>
      <c r="BC114" t="s">
        <v>58</v>
      </c>
      <c r="BD114" t="s">
        <v>58</v>
      </c>
    </row>
    <row r="115" spans="1:56" x14ac:dyDescent="0.25">
      <c r="A115" t="str" cm="1">
        <f t="array" ref="A115">_xlfn.XLOOKUP(RIGHT(M115,8),TeamIdentity!C:C,TeamIdentity!A:A,NONE)</f>
        <v>Chargers</v>
      </c>
      <c r="B115" t="str" cm="1">
        <f t="array" ref="B115">_xlfn.XLOOKUP(RIGHT(F115,8),TeamIdentity!C:C,TeamIdentity!A:A,NONE)</f>
        <v>Lions</v>
      </c>
      <c r="C115" t="s">
        <v>54</v>
      </c>
      <c r="D115" t="s">
        <v>54</v>
      </c>
      <c r="E115" t="s">
        <v>54</v>
      </c>
      <c r="F115" t="s">
        <v>513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528</v>
      </c>
      <c r="N115">
        <v>-1</v>
      </c>
      <c r="O115">
        <v>0</v>
      </c>
      <c r="P115">
        <v>-1</v>
      </c>
      <c r="Q115">
        <v>0</v>
      </c>
      <c r="R115" t="s">
        <v>70</v>
      </c>
      <c r="S115">
        <v>0</v>
      </c>
      <c r="T115">
        <v>0</v>
      </c>
      <c r="U115">
        <v>965</v>
      </c>
      <c r="V115" t="s">
        <v>57</v>
      </c>
      <c r="W115">
        <v>0</v>
      </c>
      <c r="X115">
        <v>0</v>
      </c>
      <c r="Y115">
        <v>0</v>
      </c>
      <c r="Z115">
        <v>0</v>
      </c>
      <c r="AA115" t="s">
        <v>67</v>
      </c>
      <c r="AB115">
        <v>0</v>
      </c>
      <c r="AC115">
        <v>0</v>
      </c>
      <c r="AD115">
        <v>0</v>
      </c>
      <c r="AE115">
        <v>0</v>
      </c>
      <c r="AF115" t="s">
        <v>60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s">
        <v>58</v>
      </c>
      <c r="AM115" t="s">
        <v>58</v>
      </c>
      <c r="AN115" t="s">
        <v>71</v>
      </c>
      <c r="AO115">
        <v>14</v>
      </c>
      <c r="AP115">
        <v>2</v>
      </c>
      <c r="AQ115">
        <v>12</v>
      </c>
      <c r="AR115">
        <v>11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s">
        <v>61</v>
      </c>
      <c r="BA115" t="s">
        <v>57</v>
      </c>
      <c r="BB115" t="s">
        <v>55</v>
      </c>
      <c r="BC115" t="s">
        <v>58</v>
      </c>
      <c r="BD115" t="s">
        <v>58</v>
      </c>
    </row>
    <row r="116" spans="1:56" x14ac:dyDescent="0.25">
      <c r="A116" t="str" cm="1">
        <f t="array" ref="A116">_xlfn.XLOOKUP(RIGHT(M116,8),TeamIdentity!C:C,TeamIdentity!A:A,NONE)</f>
        <v>Giants</v>
      </c>
      <c r="B116" t="str" cm="1">
        <f t="array" ref="B116">_xlfn.XLOOKUP(RIGHT(F116,8),TeamIdentity!C:C,TeamIdentity!A:A,NONE)</f>
        <v>Chargers</v>
      </c>
      <c r="C116" t="s">
        <v>54</v>
      </c>
      <c r="D116" t="s">
        <v>54</v>
      </c>
      <c r="E116" t="s">
        <v>54</v>
      </c>
      <c r="F116" t="s">
        <v>528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514</v>
      </c>
      <c r="N116">
        <v>-1</v>
      </c>
      <c r="O116">
        <v>0</v>
      </c>
      <c r="P116">
        <v>-1</v>
      </c>
      <c r="Q116">
        <v>0</v>
      </c>
      <c r="R116" t="s">
        <v>70</v>
      </c>
      <c r="S116">
        <v>0</v>
      </c>
      <c r="T116">
        <v>0</v>
      </c>
      <c r="U116">
        <v>780</v>
      </c>
      <c r="V116" t="s">
        <v>57</v>
      </c>
      <c r="W116">
        <v>0</v>
      </c>
      <c r="X116">
        <v>0</v>
      </c>
      <c r="Y116">
        <v>0</v>
      </c>
      <c r="Z116">
        <v>0</v>
      </c>
      <c r="AA116" t="s">
        <v>67</v>
      </c>
      <c r="AB116">
        <v>0</v>
      </c>
      <c r="AC116">
        <v>0</v>
      </c>
      <c r="AD116">
        <v>0</v>
      </c>
      <c r="AE116">
        <v>0</v>
      </c>
      <c r="AF116" t="s">
        <v>60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s">
        <v>58</v>
      </c>
      <c r="AM116" t="s">
        <v>58</v>
      </c>
      <c r="AN116" t="s">
        <v>71</v>
      </c>
      <c r="AO116">
        <v>14</v>
      </c>
      <c r="AP116">
        <v>3</v>
      </c>
      <c r="AQ116">
        <v>5</v>
      </c>
      <c r="AR116">
        <v>11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s">
        <v>61</v>
      </c>
      <c r="BA116" t="s">
        <v>57</v>
      </c>
      <c r="BB116" t="s">
        <v>55</v>
      </c>
      <c r="BC116" t="s">
        <v>58</v>
      </c>
      <c r="BD116" t="s">
        <v>58</v>
      </c>
    </row>
    <row r="117" spans="1:56" x14ac:dyDescent="0.25">
      <c r="A117" t="str" cm="1">
        <f t="array" ref="A117">_xlfn.XLOOKUP(RIGHT(M117,8),TeamIdentity!C:C,TeamIdentity!A:A,NONE)</f>
        <v>Titans</v>
      </c>
      <c r="B117" t="str" cm="1">
        <f t="array" ref="B117">_xlfn.XLOOKUP(RIGHT(F117,8),TeamIdentity!C:C,TeamIdentity!A:A,NONE)</f>
        <v>Chiefs</v>
      </c>
      <c r="C117" t="s">
        <v>54</v>
      </c>
      <c r="D117" t="s">
        <v>54</v>
      </c>
      <c r="E117" t="s">
        <v>54</v>
      </c>
      <c r="F117" t="s">
        <v>535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534</v>
      </c>
      <c r="N117">
        <v>-1</v>
      </c>
      <c r="O117">
        <v>0</v>
      </c>
      <c r="P117">
        <v>-1</v>
      </c>
      <c r="Q117">
        <v>0</v>
      </c>
      <c r="R117" t="s">
        <v>70</v>
      </c>
      <c r="S117">
        <v>0</v>
      </c>
      <c r="T117">
        <v>0</v>
      </c>
      <c r="U117">
        <v>780</v>
      </c>
      <c r="V117" t="s">
        <v>57</v>
      </c>
      <c r="W117">
        <v>0</v>
      </c>
      <c r="X117">
        <v>0</v>
      </c>
      <c r="Y117">
        <v>0</v>
      </c>
      <c r="Z117">
        <v>0</v>
      </c>
      <c r="AA117" t="s">
        <v>67</v>
      </c>
      <c r="AB117">
        <v>0</v>
      </c>
      <c r="AC117">
        <v>0</v>
      </c>
      <c r="AD117">
        <v>0</v>
      </c>
      <c r="AE117">
        <v>0</v>
      </c>
      <c r="AF117" t="s">
        <v>60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s">
        <v>58</v>
      </c>
      <c r="AM117" t="s">
        <v>58</v>
      </c>
      <c r="AN117" t="s">
        <v>71</v>
      </c>
      <c r="AO117">
        <v>14</v>
      </c>
      <c r="AP117">
        <v>4</v>
      </c>
      <c r="AQ117">
        <v>4</v>
      </c>
      <c r="AR117">
        <v>11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s">
        <v>61</v>
      </c>
      <c r="BA117" t="s">
        <v>57</v>
      </c>
      <c r="BB117" t="s">
        <v>55</v>
      </c>
      <c r="BC117" t="s">
        <v>58</v>
      </c>
      <c r="BD117" t="s">
        <v>58</v>
      </c>
    </row>
    <row r="118" spans="1:56" x14ac:dyDescent="0.25">
      <c r="A118" t="str" cm="1">
        <f t="array" ref="A118">_xlfn.XLOOKUP(RIGHT(M118,8),TeamIdentity!C:C,TeamIdentity!A:A,NONE)</f>
        <v>Jets</v>
      </c>
      <c r="B118" t="str" cm="1">
        <f t="array" ref="B118">_xlfn.XLOOKUP(RIGHT(F118,8),TeamIdentity!C:C,TeamIdentity!A:A,NONE)</f>
        <v>Raiders</v>
      </c>
      <c r="C118" t="s">
        <v>54</v>
      </c>
      <c r="D118" t="s">
        <v>54</v>
      </c>
      <c r="E118" t="s">
        <v>54</v>
      </c>
      <c r="F118" t="s">
        <v>525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522</v>
      </c>
      <c r="N118">
        <v>-1</v>
      </c>
      <c r="O118">
        <v>0</v>
      </c>
      <c r="P118">
        <v>-1</v>
      </c>
      <c r="Q118">
        <v>0</v>
      </c>
      <c r="R118" t="s">
        <v>70</v>
      </c>
      <c r="S118">
        <v>0</v>
      </c>
      <c r="T118">
        <v>0</v>
      </c>
      <c r="U118">
        <v>780</v>
      </c>
      <c r="V118" t="s">
        <v>57</v>
      </c>
      <c r="W118">
        <v>0</v>
      </c>
      <c r="X118">
        <v>0</v>
      </c>
      <c r="Y118">
        <v>0</v>
      </c>
      <c r="Z118">
        <v>0</v>
      </c>
      <c r="AA118" t="s">
        <v>67</v>
      </c>
      <c r="AB118">
        <v>0</v>
      </c>
      <c r="AC118">
        <v>0</v>
      </c>
      <c r="AD118">
        <v>0</v>
      </c>
      <c r="AE118">
        <v>0</v>
      </c>
      <c r="AF118" t="s">
        <v>60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s">
        <v>58</v>
      </c>
      <c r="AM118" t="s">
        <v>58</v>
      </c>
      <c r="AN118" t="s">
        <v>71</v>
      </c>
      <c r="AO118">
        <v>14</v>
      </c>
      <c r="AP118">
        <v>5</v>
      </c>
      <c r="AQ118">
        <v>1</v>
      </c>
      <c r="AR118">
        <v>11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s">
        <v>61</v>
      </c>
      <c r="BA118" t="s">
        <v>57</v>
      </c>
      <c r="BB118" t="s">
        <v>55</v>
      </c>
      <c r="BC118" t="s">
        <v>58</v>
      </c>
      <c r="BD118" t="s">
        <v>58</v>
      </c>
    </row>
    <row r="119" spans="1:56" x14ac:dyDescent="0.25">
      <c r="A119" t="str" cm="1">
        <f t="array" ref="A119">_xlfn.XLOOKUP(RIGHT(M119,8),TeamIdentity!C:C,TeamIdentity!A:A,NONE)</f>
        <v>Chiefs</v>
      </c>
      <c r="B119" t="str" cm="1">
        <f t="array" ref="B119">_xlfn.XLOOKUP(RIGHT(F119,8),TeamIdentity!C:C,TeamIdentity!A:A,NONE)</f>
        <v>Raiders</v>
      </c>
      <c r="C119" t="s">
        <v>54</v>
      </c>
      <c r="D119" t="s">
        <v>54</v>
      </c>
      <c r="E119" t="s">
        <v>54</v>
      </c>
      <c r="F119" t="s">
        <v>525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535</v>
      </c>
      <c r="N119">
        <v>-1</v>
      </c>
      <c r="O119">
        <v>0</v>
      </c>
      <c r="P119">
        <v>-1</v>
      </c>
      <c r="Q119">
        <v>0</v>
      </c>
      <c r="R119" t="s">
        <v>70</v>
      </c>
      <c r="S119">
        <v>0</v>
      </c>
      <c r="T119">
        <v>0</v>
      </c>
      <c r="U119">
        <v>975</v>
      </c>
      <c r="V119" t="s">
        <v>57</v>
      </c>
      <c r="W119">
        <v>0</v>
      </c>
      <c r="X119">
        <v>0</v>
      </c>
      <c r="Y119">
        <v>0</v>
      </c>
      <c r="Z119">
        <v>0</v>
      </c>
      <c r="AA119" t="s">
        <v>67</v>
      </c>
      <c r="AB119">
        <v>0</v>
      </c>
      <c r="AC119">
        <v>0</v>
      </c>
      <c r="AD119">
        <v>0</v>
      </c>
      <c r="AE119">
        <v>0</v>
      </c>
      <c r="AF119" t="s">
        <v>60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s">
        <v>58</v>
      </c>
      <c r="AM119" t="s">
        <v>58</v>
      </c>
      <c r="AN119" t="s">
        <v>71</v>
      </c>
      <c r="AO119">
        <v>14</v>
      </c>
      <c r="AP119">
        <v>3</v>
      </c>
      <c r="AQ119">
        <v>11</v>
      </c>
      <c r="AR119">
        <v>11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s">
        <v>61</v>
      </c>
      <c r="BA119" t="s">
        <v>57</v>
      </c>
      <c r="BB119" t="s">
        <v>55</v>
      </c>
      <c r="BC119" t="s">
        <v>58</v>
      </c>
      <c r="BD119" t="s">
        <v>58</v>
      </c>
    </row>
    <row r="120" spans="1:56" x14ac:dyDescent="0.25">
      <c r="A120" t="str" cm="1">
        <f t="array" ref="A120">_xlfn.XLOOKUP(RIGHT(M120,8),TeamIdentity!C:C,TeamIdentity!A:A,NONE)</f>
        <v>Bills</v>
      </c>
      <c r="B120" t="str" cm="1">
        <f t="array" ref="B120">_xlfn.XLOOKUP(RIGHT(F120,8),TeamIdentity!C:C,TeamIdentity!A:A,NONE)</f>
        <v>Dolphins</v>
      </c>
      <c r="C120" t="s">
        <v>54</v>
      </c>
      <c r="D120" t="s">
        <v>54</v>
      </c>
      <c r="E120" t="s">
        <v>54</v>
      </c>
      <c r="F120" t="s">
        <v>516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524</v>
      </c>
      <c r="N120">
        <v>-1</v>
      </c>
      <c r="O120">
        <v>0</v>
      </c>
      <c r="P120">
        <v>-1</v>
      </c>
      <c r="Q120">
        <v>0</v>
      </c>
      <c r="R120" t="s">
        <v>70</v>
      </c>
      <c r="S120">
        <v>0</v>
      </c>
      <c r="T120">
        <v>0</v>
      </c>
      <c r="U120">
        <v>780</v>
      </c>
      <c r="V120" t="s">
        <v>57</v>
      </c>
      <c r="W120">
        <v>0</v>
      </c>
      <c r="X120">
        <v>0</v>
      </c>
      <c r="Y120">
        <v>0</v>
      </c>
      <c r="Z120">
        <v>0</v>
      </c>
      <c r="AA120" t="s">
        <v>67</v>
      </c>
      <c r="AB120">
        <v>0</v>
      </c>
      <c r="AC120">
        <v>0</v>
      </c>
      <c r="AD120">
        <v>0</v>
      </c>
      <c r="AE120">
        <v>0</v>
      </c>
      <c r="AF120" t="s">
        <v>60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s">
        <v>58</v>
      </c>
      <c r="AM120" t="s">
        <v>58</v>
      </c>
      <c r="AN120" t="s">
        <v>71</v>
      </c>
      <c r="AO120">
        <v>14</v>
      </c>
      <c r="AP120">
        <v>3</v>
      </c>
      <c r="AQ120">
        <v>6</v>
      </c>
      <c r="AR120">
        <v>11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s">
        <v>61</v>
      </c>
      <c r="BA120" t="s">
        <v>57</v>
      </c>
      <c r="BB120" t="s">
        <v>55</v>
      </c>
      <c r="BC120" t="s">
        <v>58</v>
      </c>
      <c r="BD120" t="s">
        <v>58</v>
      </c>
    </row>
    <row r="121" spans="1:56" x14ac:dyDescent="0.25">
      <c r="A121" t="str" cm="1">
        <f t="array" ref="A121">_xlfn.XLOOKUP(RIGHT(M121,8),TeamIdentity!C:C,TeamIdentity!A:A,NONE)</f>
        <v>Jaguars</v>
      </c>
      <c r="B121" t="str" cm="1">
        <f t="array" ref="B121">_xlfn.XLOOKUP(RIGHT(F121,8),TeamIdentity!C:C,TeamIdentity!A:A,NONE)</f>
        <v>Texans</v>
      </c>
      <c r="C121" t="s">
        <v>54</v>
      </c>
      <c r="D121" t="s">
        <v>54</v>
      </c>
      <c r="E121" t="s">
        <v>54</v>
      </c>
      <c r="F121" t="s">
        <v>517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536</v>
      </c>
      <c r="N121">
        <v>-1</v>
      </c>
      <c r="O121">
        <v>0</v>
      </c>
      <c r="P121">
        <v>-1</v>
      </c>
      <c r="Q121">
        <v>0</v>
      </c>
      <c r="R121" t="s">
        <v>70</v>
      </c>
      <c r="S121">
        <v>0</v>
      </c>
      <c r="T121">
        <v>0</v>
      </c>
      <c r="U121">
        <v>975</v>
      </c>
      <c r="V121" t="s">
        <v>57</v>
      </c>
      <c r="W121">
        <v>0</v>
      </c>
      <c r="X121">
        <v>0</v>
      </c>
      <c r="Y121">
        <v>0</v>
      </c>
      <c r="Z121">
        <v>0</v>
      </c>
      <c r="AA121" t="s">
        <v>67</v>
      </c>
      <c r="AB121">
        <v>0</v>
      </c>
      <c r="AC121">
        <v>0</v>
      </c>
      <c r="AD121">
        <v>0</v>
      </c>
      <c r="AE121">
        <v>0</v>
      </c>
      <c r="AF121" t="s">
        <v>60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s">
        <v>58</v>
      </c>
      <c r="AM121" t="s">
        <v>58</v>
      </c>
      <c r="AN121" t="s">
        <v>71</v>
      </c>
      <c r="AO121">
        <v>14</v>
      </c>
      <c r="AP121">
        <v>3</v>
      </c>
      <c r="AQ121">
        <v>12</v>
      </c>
      <c r="AR121">
        <v>11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s">
        <v>61</v>
      </c>
      <c r="BA121" t="s">
        <v>57</v>
      </c>
      <c r="BB121" t="s">
        <v>55</v>
      </c>
      <c r="BC121" t="s">
        <v>58</v>
      </c>
      <c r="BD121" t="s">
        <v>58</v>
      </c>
    </row>
    <row r="122" spans="1:56" x14ac:dyDescent="0.25">
      <c r="A122" t="str" cm="1">
        <f t="array" ref="A122">_xlfn.XLOOKUP(RIGHT(M122,8),TeamIdentity!C:C,TeamIdentity!A:A,NONE)</f>
        <v>49ers</v>
      </c>
      <c r="B122" t="str" cm="1">
        <f t="array" ref="B122">_xlfn.XLOOKUP(RIGHT(F122,8),TeamIdentity!C:C,TeamIdentity!A:A,NONE)</f>
        <v>Steelers</v>
      </c>
      <c r="C122" t="s">
        <v>54</v>
      </c>
      <c r="D122" t="s">
        <v>54</v>
      </c>
      <c r="E122" t="s">
        <v>54</v>
      </c>
      <c r="F122" t="s">
        <v>518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533</v>
      </c>
      <c r="N122">
        <v>-1</v>
      </c>
      <c r="O122">
        <v>0</v>
      </c>
      <c r="P122">
        <v>-1</v>
      </c>
      <c r="Q122">
        <v>0</v>
      </c>
      <c r="R122" t="s">
        <v>70</v>
      </c>
      <c r="S122">
        <v>0</v>
      </c>
      <c r="T122">
        <v>0</v>
      </c>
      <c r="U122">
        <v>965</v>
      </c>
      <c r="V122" t="s">
        <v>57</v>
      </c>
      <c r="W122">
        <v>0</v>
      </c>
      <c r="X122">
        <v>0</v>
      </c>
      <c r="Y122">
        <v>0</v>
      </c>
      <c r="Z122">
        <v>0</v>
      </c>
      <c r="AA122" t="s">
        <v>67</v>
      </c>
      <c r="AB122">
        <v>0</v>
      </c>
      <c r="AC122">
        <v>0</v>
      </c>
      <c r="AD122">
        <v>0</v>
      </c>
      <c r="AE122">
        <v>0</v>
      </c>
      <c r="AF122" t="s">
        <v>60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s">
        <v>58</v>
      </c>
      <c r="AM122" t="s">
        <v>58</v>
      </c>
      <c r="AN122" t="s">
        <v>71</v>
      </c>
      <c r="AO122">
        <v>14</v>
      </c>
      <c r="AP122">
        <v>3</v>
      </c>
      <c r="AQ122">
        <v>9</v>
      </c>
      <c r="AR122">
        <v>11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s">
        <v>61</v>
      </c>
      <c r="BA122" t="s">
        <v>57</v>
      </c>
      <c r="BB122" t="s">
        <v>55</v>
      </c>
      <c r="BC122" t="s">
        <v>58</v>
      </c>
      <c r="BD122" t="s">
        <v>58</v>
      </c>
    </row>
    <row r="123" spans="1:56" x14ac:dyDescent="0.25">
      <c r="A123" t="str" cm="1">
        <f t="array" ref="A123">_xlfn.XLOOKUP(RIGHT(M123,8),TeamIdentity!C:C,TeamIdentity!A:A,NONE)</f>
        <v>Cowboys</v>
      </c>
      <c r="B123" t="str" cm="1">
        <f t="array" ref="B123">_xlfn.XLOOKUP(RIGHT(F123,8),TeamIdentity!C:C,TeamIdentity!A:A,NONE)</f>
        <v>Saints</v>
      </c>
      <c r="C123" t="s">
        <v>54</v>
      </c>
      <c r="D123" t="s">
        <v>54</v>
      </c>
      <c r="E123" t="s">
        <v>54</v>
      </c>
      <c r="F123" t="s">
        <v>537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541</v>
      </c>
      <c r="N123">
        <v>-1</v>
      </c>
      <c r="O123">
        <v>0</v>
      </c>
      <c r="P123">
        <v>-1</v>
      </c>
      <c r="Q123">
        <v>0</v>
      </c>
      <c r="R123" t="s">
        <v>70</v>
      </c>
      <c r="S123">
        <v>0</v>
      </c>
      <c r="T123">
        <v>0</v>
      </c>
      <c r="U123">
        <v>1230</v>
      </c>
      <c r="V123" t="s">
        <v>57</v>
      </c>
      <c r="W123">
        <v>0</v>
      </c>
      <c r="X123">
        <v>0</v>
      </c>
      <c r="Y123">
        <v>0</v>
      </c>
      <c r="Z123">
        <v>0</v>
      </c>
      <c r="AA123" t="s">
        <v>65</v>
      </c>
      <c r="AB123">
        <v>0</v>
      </c>
      <c r="AC123">
        <v>0</v>
      </c>
      <c r="AD123">
        <v>0</v>
      </c>
      <c r="AE123">
        <v>0</v>
      </c>
      <c r="AF123" t="s">
        <v>65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s">
        <v>58</v>
      </c>
      <c r="AM123" t="s">
        <v>58</v>
      </c>
      <c r="AN123" t="s">
        <v>71</v>
      </c>
      <c r="AO123">
        <v>14</v>
      </c>
      <c r="AP123">
        <v>5</v>
      </c>
      <c r="AQ123">
        <v>12</v>
      </c>
      <c r="AR123">
        <v>11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s">
        <v>61</v>
      </c>
      <c r="BA123" t="s">
        <v>57</v>
      </c>
      <c r="BB123" t="s">
        <v>55</v>
      </c>
      <c r="BC123" t="s">
        <v>58</v>
      </c>
      <c r="BD123" t="s">
        <v>58</v>
      </c>
    </row>
    <row r="124" spans="1:56" x14ac:dyDescent="0.25">
      <c r="A124" t="str" cm="1">
        <f t="array" ref="A124">_xlfn.XLOOKUP(RIGHT(M124,8),TeamIdentity!C:C,TeamIdentity!A:A,NONE)</f>
        <v>Texans</v>
      </c>
      <c r="B124" t="str" cm="1">
        <f t="array" ref="B124">_xlfn.XLOOKUP(RIGHT(F124,8),TeamIdentity!C:C,TeamIdentity!A:A,NONE)</f>
        <v>Broncos</v>
      </c>
      <c r="C124" t="s">
        <v>54</v>
      </c>
      <c r="D124" t="s">
        <v>54</v>
      </c>
      <c r="E124" t="s">
        <v>54</v>
      </c>
      <c r="F124" t="s">
        <v>539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517</v>
      </c>
      <c r="N124">
        <v>-1</v>
      </c>
      <c r="O124">
        <v>0</v>
      </c>
      <c r="P124">
        <v>-1</v>
      </c>
      <c r="Q124">
        <v>0</v>
      </c>
      <c r="R124" t="s">
        <v>70</v>
      </c>
      <c r="S124">
        <v>0</v>
      </c>
      <c r="T124">
        <v>0</v>
      </c>
      <c r="U124">
        <v>1230</v>
      </c>
      <c r="V124" t="s">
        <v>57</v>
      </c>
      <c r="W124">
        <v>0</v>
      </c>
      <c r="X124">
        <v>0</v>
      </c>
      <c r="Y124">
        <v>0</v>
      </c>
      <c r="Z124">
        <v>0</v>
      </c>
      <c r="AA124" t="s">
        <v>65</v>
      </c>
      <c r="AB124">
        <v>0</v>
      </c>
      <c r="AC124">
        <v>0</v>
      </c>
      <c r="AD124">
        <v>0</v>
      </c>
      <c r="AE124">
        <v>0</v>
      </c>
      <c r="AF124" t="s">
        <v>65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s">
        <v>58</v>
      </c>
      <c r="AM124" t="s">
        <v>58</v>
      </c>
      <c r="AN124" t="s">
        <v>71</v>
      </c>
      <c r="AO124">
        <v>14</v>
      </c>
      <c r="AP124">
        <v>4</v>
      </c>
      <c r="AQ124">
        <v>14</v>
      </c>
      <c r="AR124">
        <v>11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s">
        <v>61</v>
      </c>
      <c r="BA124" t="s">
        <v>57</v>
      </c>
      <c r="BB124" t="s">
        <v>55</v>
      </c>
      <c r="BC124" t="s">
        <v>58</v>
      </c>
      <c r="BD124" t="s">
        <v>58</v>
      </c>
    </row>
    <row r="125" spans="1:56" x14ac:dyDescent="0.25">
      <c r="A125" t="str" cm="1">
        <f t="array" ref="A125">_xlfn.XLOOKUP(RIGHT(M125,8),TeamIdentity!C:C,TeamIdentity!A:A,NONE)</f>
        <v>Giants</v>
      </c>
      <c r="B125" t="str" cm="1">
        <f t="array" ref="B125">_xlfn.XLOOKUP(RIGHT(F125,8),TeamIdentity!C:C,TeamIdentity!A:A,NONE)</f>
        <v>49ers</v>
      </c>
      <c r="C125" t="s">
        <v>54</v>
      </c>
      <c r="D125" t="s">
        <v>54</v>
      </c>
      <c r="E125" t="s">
        <v>54</v>
      </c>
      <c r="F125" t="s">
        <v>533</v>
      </c>
      <c r="G125" t="s">
        <v>54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514</v>
      </c>
      <c r="N125">
        <v>-1</v>
      </c>
      <c r="O125">
        <v>0</v>
      </c>
      <c r="P125">
        <v>-1</v>
      </c>
      <c r="Q125">
        <v>0</v>
      </c>
      <c r="R125" t="s">
        <v>70</v>
      </c>
      <c r="S125">
        <v>0</v>
      </c>
      <c r="T125">
        <v>0</v>
      </c>
      <c r="U125">
        <v>780</v>
      </c>
      <c r="V125" t="s">
        <v>57</v>
      </c>
      <c r="W125">
        <v>0</v>
      </c>
      <c r="X125">
        <v>0</v>
      </c>
      <c r="Y125">
        <v>0</v>
      </c>
      <c r="Z125">
        <v>0</v>
      </c>
      <c r="AA125" t="s">
        <v>67</v>
      </c>
      <c r="AB125">
        <v>0</v>
      </c>
      <c r="AC125">
        <v>0</v>
      </c>
      <c r="AD125">
        <v>0</v>
      </c>
      <c r="AE125">
        <v>0</v>
      </c>
      <c r="AF125" t="s">
        <v>60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s">
        <v>58</v>
      </c>
      <c r="AM125" t="s">
        <v>58</v>
      </c>
      <c r="AN125" t="s">
        <v>71</v>
      </c>
      <c r="AO125">
        <v>14</v>
      </c>
      <c r="AP125">
        <v>4</v>
      </c>
      <c r="AQ125">
        <v>5</v>
      </c>
      <c r="AR125">
        <v>11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s">
        <v>61</v>
      </c>
      <c r="BA125" t="s">
        <v>57</v>
      </c>
      <c r="BB125" t="s">
        <v>55</v>
      </c>
      <c r="BC125" t="s">
        <v>58</v>
      </c>
      <c r="BD125" t="s">
        <v>58</v>
      </c>
    </row>
    <row r="126" spans="1:56" x14ac:dyDescent="0.25">
      <c r="A126" t="str" cm="1">
        <f t="array" ref="A126">_xlfn.XLOOKUP(RIGHT(M126,8),TeamIdentity!C:C,TeamIdentity!A:A,NONE)</f>
        <v>Packers</v>
      </c>
      <c r="B126" t="str" cm="1">
        <f t="array" ref="B126">_xlfn.XLOOKUP(RIGHT(F126,8),TeamIdentity!C:C,TeamIdentity!A:A,NONE)</f>
        <v>Bears</v>
      </c>
      <c r="C126" t="s">
        <v>54</v>
      </c>
      <c r="D126" t="s">
        <v>54</v>
      </c>
      <c r="E126" t="s">
        <v>54</v>
      </c>
      <c r="F126" t="s">
        <v>523</v>
      </c>
      <c r="G126" t="s">
        <v>54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529</v>
      </c>
      <c r="N126">
        <v>-1</v>
      </c>
      <c r="O126">
        <v>0</v>
      </c>
      <c r="P126">
        <v>-1</v>
      </c>
      <c r="Q126">
        <v>0</v>
      </c>
      <c r="R126" t="s">
        <v>70</v>
      </c>
      <c r="S126">
        <v>0</v>
      </c>
      <c r="T126">
        <v>0</v>
      </c>
      <c r="U126">
        <v>1220</v>
      </c>
      <c r="V126" t="s">
        <v>57</v>
      </c>
      <c r="W126">
        <v>0</v>
      </c>
      <c r="X126">
        <v>0</v>
      </c>
      <c r="Y126">
        <v>0</v>
      </c>
      <c r="Z126">
        <v>0</v>
      </c>
      <c r="AA126" t="s">
        <v>68</v>
      </c>
      <c r="AB126">
        <v>0</v>
      </c>
      <c r="AC126">
        <v>0</v>
      </c>
      <c r="AD126">
        <v>0</v>
      </c>
      <c r="AE126">
        <v>0</v>
      </c>
      <c r="AF126" t="s">
        <v>68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s">
        <v>58</v>
      </c>
      <c r="AM126" t="s">
        <v>58</v>
      </c>
      <c r="AN126" t="s">
        <v>71</v>
      </c>
      <c r="AO126">
        <v>14</v>
      </c>
      <c r="AP126">
        <v>4</v>
      </c>
      <c r="AQ126">
        <v>15</v>
      </c>
      <c r="AR126">
        <v>11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s">
        <v>61</v>
      </c>
      <c r="BA126" t="s">
        <v>57</v>
      </c>
      <c r="BB126" t="s">
        <v>55</v>
      </c>
      <c r="BC126" t="s">
        <v>58</v>
      </c>
      <c r="BD126" t="s">
        <v>58</v>
      </c>
    </row>
    <row r="127" spans="1:56" x14ac:dyDescent="0.25">
      <c r="A127" t="str" cm="1">
        <f t="array" ref="A127">_xlfn.XLOOKUP(RIGHT(M127,8),TeamIdentity!C:C,TeamIdentity!A:A,NONE)</f>
        <v>Eagles</v>
      </c>
      <c r="B127" t="str" cm="1">
        <f t="array" ref="B127">_xlfn.XLOOKUP(RIGHT(F127,8),TeamIdentity!C:C,TeamIdentity!A:A,NONE)</f>
        <v>Dolphins</v>
      </c>
      <c r="C127" t="s">
        <v>54</v>
      </c>
      <c r="D127" t="s">
        <v>54</v>
      </c>
      <c r="E127" t="s">
        <v>54</v>
      </c>
      <c r="F127" t="s">
        <v>516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519</v>
      </c>
      <c r="N127">
        <v>-1</v>
      </c>
      <c r="O127">
        <v>0</v>
      </c>
      <c r="P127">
        <v>-1</v>
      </c>
      <c r="Q127">
        <v>0</v>
      </c>
      <c r="R127" t="s">
        <v>70</v>
      </c>
      <c r="S127">
        <v>0</v>
      </c>
      <c r="T127">
        <v>0</v>
      </c>
      <c r="U127">
        <v>1220</v>
      </c>
      <c r="V127" t="s">
        <v>57</v>
      </c>
      <c r="W127">
        <v>0</v>
      </c>
      <c r="X127">
        <v>0</v>
      </c>
      <c r="Y127">
        <v>0</v>
      </c>
      <c r="Z127">
        <v>0</v>
      </c>
      <c r="AA127" t="s">
        <v>60</v>
      </c>
      <c r="AB127">
        <v>0</v>
      </c>
      <c r="AC127">
        <v>0</v>
      </c>
      <c r="AD127">
        <v>0</v>
      </c>
      <c r="AE127">
        <v>0</v>
      </c>
      <c r="AF127" t="s">
        <v>60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s">
        <v>58</v>
      </c>
      <c r="AM127" t="s">
        <v>58</v>
      </c>
      <c r="AN127" t="s">
        <v>71</v>
      </c>
      <c r="AO127">
        <v>14</v>
      </c>
      <c r="AP127">
        <v>5</v>
      </c>
      <c r="AQ127">
        <v>11</v>
      </c>
      <c r="AR127">
        <v>11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s">
        <v>61</v>
      </c>
      <c r="BA127" t="s">
        <v>57</v>
      </c>
      <c r="BB127" t="s">
        <v>55</v>
      </c>
      <c r="BC127" t="s">
        <v>58</v>
      </c>
      <c r="BD127" t="s">
        <v>58</v>
      </c>
    </row>
    <row r="128" spans="1:56" x14ac:dyDescent="0.25">
      <c r="A128" t="str" cm="1">
        <f t="array" ref="A128">_xlfn.XLOOKUP(RIGHT(M128,8),TeamIdentity!C:C,TeamIdentity!A:A,NONE)</f>
        <v>Seahawks</v>
      </c>
      <c r="B128" t="str" cm="1">
        <f t="array" ref="B128">_xlfn.XLOOKUP(RIGHT(F128,8),TeamIdentity!C:C,TeamIdentity!A:A,NONE)</f>
        <v>Colts</v>
      </c>
      <c r="C128" t="s">
        <v>54</v>
      </c>
      <c r="D128" t="s">
        <v>54</v>
      </c>
      <c r="E128" t="s">
        <v>54</v>
      </c>
      <c r="F128" t="s">
        <v>540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527</v>
      </c>
      <c r="N128">
        <v>-1</v>
      </c>
      <c r="O128">
        <v>0</v>
      </c>
      <c r="P128">
        <v>-1</v>
      </c>
      <c r="Q128">
        <v>0</v>
      </c>
      <c r="R128" t="s">
        <v>70</v>
      </c>
      <c r="S128">
        <v>0</v>
      </c>
      <c r="T128">
        <v>0</v>
      </c>
      <c r="U128">
        <v>975</v>
      </c>
      <c r="V128" t="s">
        <v>57</v>
      </c>
      <c r="W128">
        <v>0</v>
      </c>
      <c r="X128">
        <v>0</v>
      </c>
      <c r="Y128">
        <v>0</v>
      </c>
      <c r="Z128">
        <v>0</v>
      </c>
      <c r="AA128" t="s">
        <v>67</v>
      </c>
      <c r="AB128">
        <v>0</v>
      </c>
      <c r="AC128">
        <v>0</v>
      </c>
      <c r="AD128">
        <v>0</v>
      </c>
      <c r="AE128">
        <v>0</v>
      </c>
      <c r="AF128" t="s">
        <v>60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s">
        <v>58</v>
      </c>
      <c r="AM128" t="s">
        <v>58</v>
      </c>
      <c r="AN128" t="s">
        <v>71</v>
      </c>
      <c r="AO128">
        <v>14</v>
      </c>
      <c r="AP128">
        <v>5</v>
      </c>
      <c r="AQ128">
        <v>7</v>
      </c>
      <c r="AR128">
        <v>11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s">
        <v>61</v>
      </c>
      <c r="BA128" t="s">
        <v>57</v>
      </c>
      <c r="BB128" t="s">
        <v>55</v>
      </c>
      <c r="BC128" t="s">
        <v>58</v>
      </c>
      <c r="BD128" t="s">
        <v>58</v>
      </c>
    </row>
    <row r="129" spans="1:56" x14ac:dyDescent="0.25">
      <c r="A129" t="str" cm="1">
        <f t="array" ref="A129">_xlfn.XLOOKUP(RIGHT(M129,8),TeamIdentity!C:C,TeamIdentity!A:A,NONE)</f>
        <v>Bengals</v>
      </c>
      <c r="B129" t="str" cm="1">
        <f t="array" ref="B129">_xlfn.XLOOKUP(RIGHT(F129,8),TeamIdentity!C:C,TeamIdentity!A:A,NONE)</f>
        <v>Bills</v>
      </c>
      <c r="C129" t="s">
        <v>54</v>
      </c>
      <c r="D129" t="s">
        <v>54</v>
      </c>
      <c r="E129" t="s">
        <v>54</v>
      </c>
      <c r="F129" t="s">
        <v>524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532</v>
      </c>
      <c r="N129">
        <v>-1</v>
      </c>
      <c r="O129">
        <v>0</v>
      </c>
      <c r="P129">
        <v>-1</v>
      </c>
      <c r="Q129">
        <v>0</v>
      </c>
      <c r="R129" t="s">
        <v>70</v>
      </c>
      <c r="S129">
        <v>0</v>
      </c>
      <c r="T129">
        <v>0</v>
      </c>
      <c r="U129">
        <v>975</v>
      </c>
      <c r="V129" t="s">
        <v>57</v>
      </c>
      <c r="W129">
        <v>0</v>
      </c>
      <c r="X129">
        <v>0</v>
      </c>
      <c r="Y129">
        <v>0</v>
      </c>
      <c r="Z129">
        <v>0</v>
      </c>
      <c r="AA129" t="s">
        <v>67</v>
      </c>
      <c r="AB129">
        <v>0</v>
      </c>
      <c r="AC129">
        <v>0</v>
      </c>
      <c r="AD129">
        <v>0</v>
      </c>
      <c r="AE129">
        <v>0</v>
      </c>
      <c r="AF129" t="s">
        <v>60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s">
        <v>58</v>
      </c>
      <c r="AM129" t="s">
        <v>58</v>
      </c>
      <c r="AN129" t="s">
        <v>71</v>
      </c>
      <c r="AO129">
        <v>14</v>
      </c>
      <c r="AP129">
        <v>4</v>
      </c>
      <c r="AQ129">
        <v>10</v>
      </c>
      <c r="AR129">
        <v>11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s">
        <v>61</v>
      </c>
      <c r="BA129" t="s">
        <v>57</v>
      </c>
      <c r="BB129" t="s">
        <v>55</v>
      </c>
      <c r="BC129" t="s">
        <v>58</v>
      </c>
      <c r="BD129" t="s">
        <v>58</v>
      </c>
    </row>
    <row r="130" spans="1:56" x14ac:dyDescent="0.25">
      <c r="A130" t="str" cm="1">
        <f t="array" ref="A130">_xlfn.XLOOKUP(RIGHT(M130,8),TeamIdentity!C:C,TeamIdentity!A:A,NONE)</f>
        <v>Rams</v>
      </c>
      <c r="B130" t="str" cm="1">
        <f t="array" ref="B130">_xlfn.XLOOKUP(RIGHT(F130,8),TeamIdentity!C:C,TeamIdentity!A:A,NONE)</f>
        <v>49ers</v>
      </c>
      <c r="C130" t="s">
        <v>54</v>
      </c>
      <c r="D130" t="s">
        <v>54</v>
      </c>
      <c r="E130" t="s">
        <v>54</v>
      </c>
      <c r="F130" t="s">
        <v>533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542</v>
      </c>
      <c r="N130">
        <v>-1</v>
      </c>
      <c r="O130">
        <v>0</v>
      </c>
      <c r="P130">
        <v>-1</v>
      </c>
      <c r="Q130">
        <v>0</v>
      </c>
      <c r="R130" t="s">
        <v>70</v>
      </c>
      <c r="S130">
        <v>0</v>
      </c>
      <c r="T130">
        <v>0</v>
      </c>
      <c r="U130">
        <v>975</v>
      </c>
      <c r="V130" t="s">
        <v>57</v>
      </c>
      <c r="W130">
        <v>0</v>
      </c>
      <c r="X130">
        <v>0</v>
      </c>
      <c r="Y130">
        <v>0</v>
      </c>
      <c r="Z130">
        <v>0</v>
      </c>
      <c r="AA130" t="s">
        <v>67</v>
      </c>
      <c r="AB130">
        <v>0</v>
      </c>
      <c r="AC130">
        <v>0</v>
      </c>
      <c r="AD130">
        <v>0</v>
      </c>
      <c r="AE130">
        <v>0</v>
      </c>
      <c r="AF130" t="s">
        <v>60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s">
        <v>58</v>
      </c>
      <c r="AM130" t="s">
        <v>58</v>
      </c>
      <c r="AN130" t="s">
        <v>71</v>
      </c>
      <c r="AO130">
        <v>14</v>
      </c>
      <c r="AP130">
        <v>5</v>
      </c>
      <c r="AQ130">
        <v>8</v>
      </c>
      <c r="AR130">
        <v>11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s">
        <v>61</v>
      </c>
      <c r="BA130" t="s">
        <v>57</v>
      </c>
      <c r="BB130" t="s">
        <v>55</v>
      </c>
      <c r="BC130" t="s">
        <v>58</v>
      </c>
      <c r="BD130" t="s">
        <v>58</v>
      </c>
    </row>
    <row r="131" spans="1:56" x14ac:dyDescent="0.25">
      <c r="A131" t="str" cm="1">
        <f t="array" ref="A131">_xlfn.XLOOKUP(RIGHT(M131,8),TeamIdentity!C:C,TeamIdentity!A:A,NONE)</f>
        <v>Commanders</v>
      </c>
      <c r="B131" t="str" cm="1">
        <f t="array" ref="B131">_xlfn.XLOOKUP(RIGHT(F131,8),TeamIdentity!C:C,TeamIdentity!A:A,NONE)</f>
        <v>Jets</v>
      </c>
      <c r="C131" t="s">
        <v>54</v>
      </c>
      <c r="D131" t="s">
        <v>54</v>
      </c>
      <c r="E131" t="s">
        <v>54</v>
      </c>
      <c r="F131" t="s">
        <v>522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521</v>
      </c>
      <c r="N131">
        <v>-1</v>
      </c>
      <c r="O131">
        <v>0</v>
      </c>
      <c r="P131">
        <v>-1</v>
      </c>
      <c r="Q131">
        <v>0</v>
      </c>
      <c r="R131" t="s">
        <v>70</v>
      </c>
      <c r="S131">
        <v>0</v>
      </c>
      <c r="T131">
        <v>0</v>
      </c>
      <c r="U131">
        <v>780</v>
      </c>
      <c r="V131" t="s">
        <v>57</v>
      </c>
      <c r="W131">
        <v>0</v>
      </c>
      <c r="X131">
        <v>0</v>
      </c>
      <c r="Y131">
        <v>0</v>
      </c>
      <c r="Z131">
        <v>0</v>
      </c>
      <c r="AA131" t="s">
        <v>67</v>
      </c>
      <c r="AB131">
        <v>0</v>
      </c>
      <c r="AC131">
        <v>0</v>
      </c>
      <c r="AD131">
        <v>0</v>
      </c>
      <c r="AE131">
        <v>0</v>
      </c>
      <c r="AF131" t="s">
        <v>60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s">
        <v>58</v>
      </c>
      <c r="AM131" t="s">
        <v>58</v>
      </c>
      <c r="AN131" t="s">
        <v>71</v>
      </c>
      <c r="AO131">
        <v>14</v>
      </c>
      <c r="AP131">
        <v>3</v>
      </c>
      <c r="AQ131">
        <v>7</v>
      </c>
      <c r="AR131">
        <v>11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s">
        <v>61</v>
      </c>
      <c r="BA131" t="s">
        <v>57</v>
      </c>
      <c r="BB131" t="s">
        <v>55</v>
      </c>
      <c r="BC131" t="s">
        <v>58</v>
      </c>
      <c r="BD131" t="s">
        <v>58</v>
      </c>
    </row>
    <row r="132" spans="1:56" x14ac:dyDescent="0.25">
      <c r="A132" t="str" cm="1">
        <f t="array" ref="A132">_xlfn.XLOOKUP(RIGHT(M132,8),TeamIdentity!C:C,TeamIdentity!A:A,NONE)</f>
        <v>Buccaneers</v>
      </c>
      <c r="B132" t="str" cm="1">
        <f t="array" ref="B132">_xlfn.XLOOKUP(RIGHT(F132,8),TeamIdentity!C:C,TeamIdentity!A:A,NONE)</f>
        <v>Falcons</v>
      </c>
      <c r="C132" t="s">
        <v>54</v>
      </c>
      <c r="D132" t="s">
        <v>54</v>
      </c>
      <c r="E132" t="s">
        <v>54</v>
      </c>
      <c r="F132" t="s">
        <v>515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531</v>
      </c>
      <c r="N132">
        <v>-1</v>
      </c>
      <c r="O132">
        <v>0</v>
      </c>
      <c r="P132">
        <v>-1</v>
      </c>
      <c r="Q132">
        <v>0</v>
      </c>
      <c r="R132" t="s">
        <v>70</v>
      </c>
      <c r="S132">
        <v>0</v>
      </c>
      <c r="T132">
        <v>0</v>
      </c>
      <c r="U132">
        <v>780</v>
      </c>
      <c r="V132" t="s">
        <v>57</v>
      </c>
      <c r="W132">
        <v>0</v>
      </c>
      <c r="X132">
        <v>0</v>
      </c>
      <c r="Y132">
        <v>0</v>
      </c>
      <c r="Z132">
        <v>0</v>
      </c>
      <c r="AA132" t="s">
        <v>67</v>
      </c>
      <c r="AB132">
        <v>0</v>
      </c>
      <c r="AC132">
        <v>0</v>
      </c>
      <c r="AD132">
        <v>0</v>
      </c>
      <c r="AE132">
        <v>0</v>
      </c>
      <c r="AF132" t="s">
        <v>60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s">
        <v>58</v>
      </c>
      <c r="AM132" t="s">
        <v>58</v>
      </c>
      <c r="AN132" t="s">
        <v>71</v>
      </c>
      <c r="AO132">
        <v>14</v>
      </c>
      <c r="AP132">
        <v>5</v>
      </c>
      <c r="AQ132">
        <v>2</v>
      </c>
      <c r="AR132">
        <v>11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s">
        <v>61</v>
      </c>
      <c r="BA132" t="s">
        <v>57</v>
      </c>
      <c r="BB132" t="s">
        <v>55</v>
      </c>
      <c r="BC132" t="s">
        <v>58</v>
      </c>
      <c r="BD132" t="s">
        <v>58</v>
      </c>
    </row>
    <row r="133" spans="1:56" x14ac:dyDescent="0.25">
      <c r="A133" t="str" cm="1">
        <f t="array" ref="A133">_xlfn.XLOOKUP(RIGHT(M133,8),TeamIdentity!C:C,TeamIdentity!A:A,NONE)</f>
        <v>Browns</v>
      </c>
      <c r="B133" t="str" cm="1">
        <f t="array" ref="B133">_xlfn.XLOOKUP(RIGHT(F133,8),TeamIdentity!C:C,TeamIdentity!A:A,NONE)</f>
        <v>Dolphins</v>
      </c>
      <c r="C133" t="s">
        <v>54</v>
      </c>
      <c r="D133" t="s">
        <v>54</v>
      </c>
      <c r="E133" t="s">
        <v>54</v>
      </c>
      <c r="F133" t="s">
        <v>516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530</v>
      </c>
      <c r="N133">
        <v>-1</v>
      </c>
      <c r="O133">
        <v>0</v>
      </c>
      <c r="P133">
        <v>-1</v>
      </c>
      <c r="Q133">
        <v>0</v>
      </c>
      <c r="R133" t="s">
        <v>70</v>
      </c>
      <c r="S133">
        <v>0</v>
      </c>
      <c r="T133">
        <v>0</v>
      </c>
      <c r="U133">
        <v>975</v>
      </c>
      <c r="V133" t="s">
        <v>57</v>
      </c>
      <c r="W133">
        <v>0</v>
      </c>
      <c r="X133">
        <v>0</v>
      </c>
      <c r="Y133">
        <v>0</v>
      </c>
      <c r="Z133">
        <v>0</v>
      </c>
      <c r="AA133" t="s">
        <v>67</v>
      </c>
      <c r="AB133">
        <v>0</v>
      </c>
      <c r="AC133">
        <v>0</v>
      </c>
      <c r="AD133">
        <v>0</v>
      </c>
      <c r="AE133">
        <v>0</v>
      </c>
      <c r="AF133" t="s">
        <v>60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s">
        <v>58</v>
      </c>
      <c r="AM133" t="s">
        <v>58</v>
      </c>
      <c r="AN133" t="s">
        <v>71</v>
      </c>
      <c r="AO133">
        <v>14</v>
      </c>
      <c r="AP133">
        <v>4</v>
      </c>
      <c r="AQ133">
        <v>11</v>
      </c>
      <c r="AR133">
        <v>11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s">
        <v>61</v>
      </c>
      <c r="BA133" t="s">
        <v>57</v>
      </c>
      <c r="BB133" t="s">
        <v>55</v>
      </c>
      <c r="BC133" t="s">
        <v>58</v>
      </c>
      <c r="BD133" t="s">
        <v>58</v>
      </c>
    </row>
    <row r="134" spans="1:56" x14ac:dyDescent="0.25">
      <c r="A134" t="str" cm="1">
        <f t="array" ref="A134">_xlfn.XLOOKUP(RIGHT(M134,8),TeamIdentity!C:C,TeamIdentity!A:A,NONE)</f>
        <v>Commanders</v>
      </c>
      <c r="B134" t="str" cm="1">
        <f t="array" ref="B134">_xlfn.XLOOKUP(RIGHT(F134,8),TeamIdentity!C:C,TeamIdentity!A:A,NONE)</f>
        <v>Cowboys</v>
      </c>
      <c r="C134" t="s">
        <v>54</v>
      </c>
      <c r="D134" t="s">
        <v>54</v>
      </c>
      <c r="E134" t="s">
        <v>54</v>
      </c>
      <c r="F134" t="s">
        <v>541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521</v>
      </c>
      <c r="N134">
        <v>-1</v>
      </c>
      <c r="O134">
        <v>0</v>
      </c>
      <c r="P134">
        <v>-1</v>
      </c>
      <c r="Q134">
        <v>0</v>
      </c>
      <c r="R134" t="s">
        <v>70</v>
      </c>
      <c r="S134">
        <v>0</v>
      </c>
      <c r="T134">
        <v>0</v>
      </c>
      <c r="U134">
        <v>975</v>
      </c>
      <c r="V134" t="s">
        <v>57</v>
      </c>
      <c r="W134">
        <v>0</v>
      </c>
      <c r="X134">
        <v>0</v>
      </c>
      <c r="Y134">
        <v>0</v>
      </c>
      <c r="Z134">
        <v>0</v>
      </c>
      <c r="AA134" t="s">
        <v>67</v>
      </c>
      <c r="AB134">
        <v>0</v>
      </c>
      <c r="AC134">
        <v>0</v>
      </c>
      <c r="AD134">
        <v>0</v>
      </c>
      <c r="AE134">
        <v>0</v>
      </c>
      <c r="AF134" t="s">
        <v>60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s">
        <v>58</v>
      </c>
      <c r="AM134" t="s">
        <v>58</v>
      </c>
      <c r="AN134" t="s">
        <v>71</v>
      </c>
      <c r="AO134">
        <v>14</v>
      </c>
      <c r="AP134">
        <v>4</v>
      </c>
      <c r="AQ134">
        <v>12</v>
      </c>
      <c r="AR134">
        <v>11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s">
        <v>61</v>
      </c>
      <c r="BA134" t="s">
        <v>57</v>
      </c>
      <c r="BB134" t="s">
        <v>55</v>
      </c>
      <c r="BC134" t="s">
        <v>58</v>
      </c>
      <c r="BD134" t="s">
        <v>58</v>
      </c>
    </row>
    <row r="135" spans="1:56" x14ac:dyDescent="0.25">
      <c r="A135" t="str" cm="1">
        <f t="array" ref="A135">_xlfn.XLOOKUP(RIGHT(M135,8),TeamIdentity!C:C,TeamIdentity!A:A,NONE)</f>
        <v>Rams</v>
      </c>
      <c r="B135" t="str" cm="1">
        <f t="array" ref="B135">_xlfn.XLOOKUP(RIGHT(F135,8),TeamIdentity!C:C,TeamIdentity!A:A,NONE)</f>
        <v>Giants</v>
      </c>
      <c r="C135" t="s">
        <v>54</v>
      </c>
      <c r="D135" t="s">
        <v>54</v>
      </c>
      <c r="E135" t="s">
        <v>54</v>
      </c>
      <c r="F135" t="s">
        <v>514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542</v>
      </c>
      <c r="N135">
        <v>-1</v>
      </c>
      <c r="O135">
        <v>0</v>
      </c>
      <c r="P135">
        <v>-1</v>
      </c>
      <c r="Q135">
        <v>0</v>
      </c>
      <c r="R135" t="s">
        <v>70</v>
      </c>
      <c r="S135">
        <v>0</v>
      </c>
      <c r="T135">
        <v>0</v>
      </c>
      <c r="U135">
        <v>975</v>
      </c>
      <c r="V135" t="s">
        <v>57</v>
      </c>
      <c r="W135">
        <v>0</v>
      </c>
      <c r="X135">
        <v>0</v>
      </c>
      <c r="Y135">
        <v>0</v>
      </c>
      <c r="Z135">
        <v>0</v>
      </c>
      <c r="AA135" t="s">
        <v>67</v>
      </c>
      <c r="AB135">
        <v>0</v>
      </c>
      <c r="AC135">
        <v>0</v>
      </c>
      <c r="AD135">
        <v>0</v>
      </c>
      <c r="AE135">
        <v>0</v>
      </c>
      <c r="AF135" t="s">
        <v>60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s">
        <v>58</v>
      </c>
      <c r="AM135" t="s">
        <v>58</v>
      </c>
      <c r="AN135" t="s">
        <v>71</v>
      </c>
      <c r="AO135">
        <v>14</v>
      </c>
      <c r="AP135">
        <v>6</v>
      </c>
      <c r="AQ135">
        <v>8</v>
      </c>
      <c r="AR135">
        <v>11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s">
        <v>61</v>
      </c>
      <c r="BA135" t="s">
        <v>57</v>
      </c>
      <c r="BB135" t="s">
        <v>55</v>
      </c>
      <c r="BC135" t="s">
        <v>58</v>
      </c>
      <c r="BD135" t="s">
        <v>58</v>
      </c>
    </row>
    <row r="136" spans="1:56" x14ac:dyDescent="0.25">
      <c r="A136" t="str" cm="1">
        <f t="array" ref="A136">_xlfn.XLOOKUP(RIGHT(M136,8),TeamIdentity!C:C,TeamIdentity!A:A,NONE)</f>
        <v>Vikings</v>
      </c>
      <c r="B136" t="str" cm="1">
        <f t="array" ref="B136">_xlfn.XLOOKUP(RIGHT(F136,8),TeamIdentity!C:C,TeamIdentity!A:A,NONE)</f>
        <v>Lions</v>
      </c>
      <c r="C136" t="s">
        <v>54</v>
      </c>
      <c r="D136" t="s">
        <v>54</v>
      </c>
      <c r="E136" t="s">
        <v>54</v>
      </c>
      <c r="F136" t="s">
        <v>513</v>
      </c>
      <c r="G136" t="s">
        <v>54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526</v>
      </c>
      <c r="N136">
        <v>-1</v>
      </c>
      <c r="O136">
        <v>0</v>
      </c>
      <c r="P136">
        <v>-1</v>
      </c>
      <c r="Q136">
        <v>0</v>
      </c>
      <c r="R136" t="s">
        <v>70</v>
      </c>
      <c r="S136">
        <v>0</v>
      </c>
      <c r="T136">
        <v>0</v>
      </c>
      <c r="U136">
        <v>780</v>
      </c>
      <c r="V136" t="s">
        <v>57</v>
      </c>
      <c r="W136">
        <v>0</v>
      </c>
      <c r="X136">
        <v>0</v>
      </c>
      <c r="Y136">
        <v>0</v>
      </c>
      <c r="Z136">
        <v>0</v>
      </c>
      <c r="AA136" t="s">
        <v>67</v>
      </c>
      <c r="AB136">
        <v>0</v>
      </c>
      <c r="AC136">
        <v>0</v>
      </c>
      <c r="AD136">
        <v>0</v>
      </c>
      <c r="AE136">
        <v>0</v>
      </c>
      <c r="AF136" t="s">
        <v>60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s">
        <v>58</v>
      </c>
      <c r="AM136" t="s">
        <v>58</v>
      </c>
      <c r="AN136" t="s">
        <v>71</v>
      </c>
      <c r="AO136">
        <v>14</v>
      </c>
      <c r="AP136">
        <v>4</v>
      </c>
      <c r="AQ136">
        <v>6</v>
      </c>
      <c r="AR136">
        <v>11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s">
        <v>61</v>
      </c>
      <c r="BA136" t="s">
        <v>57</v>
      </c>
      <c r="BB136" t="s">
        <v>55</v>
      </c>
      <c r="BC136" t="s">
        <v>58</v>
      </c>
      <c r="BD136" t="s">
        <v>58</v>
      </c>
    </row>
    <row r="137" spans="1:56" x14ac:dyDescent="0.25">
      <c r="A137" t="str" cm="1">
        <f t="array" ref="A137">_xlfn.XLOOKUP(RIGHT(M137,8),TeamIdentity!C:C,TeamIdentity!A:A,NONE)</f>
        <v>Bills</v>
      </c>
      <c r="B137" t="str" cm="1">
        <f t="array" ref="B137">_xlfn.XLOOKUP(RIGHT(F137,8),TeamIdentity!C:C,TeamIdentity!A:A,NONE)</f>
        <v>Chiefs</v>
      </c>
      <c r="C137" t="s">
        <v>54</v>
      </c>
      <c r="D137" t="s">
        <v>54</v>
      </c>
      <c r="E137" t="s">
        <v>54</v>
      </c>
      <c r="F137" t="s">
        <v>535</v>
      </c>
      <c r="G137" t="s">
        <v>54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524</v>
      </c>
      <c r="N137">
        <v>-1</v>
      </c>
      <c r="O137">
        <v>0</v>
      </c>
      <c r="P137">
        <v>-1</v>
      </c>
      <c r="Q137">
        <v>0</v>
      </c>
      <c r="R137" t="s">
        <v>70</v>
      </c>
      <c r="S137">
        <v>0</v>
      </c>
      <c r="T137">
        <v>0</v>
      </c>
      <c r="U137">
        <v>1220</v>
      </c>
      <c r="V137" t="s">
        <v>57</v>
      </c>
      <c r="W137">
        <v>0</v>
      </c>
      <c r="X137">
        <v>0</v>
      </c>
      <c r="Y137">
        <v>0</v>
      </c>
      <c r="Z137">
        <v>0</v>
      </c>
      <c r="AA137" t="s">
        <v>68</v>
      </c>
      <c r="AB137">
        <v>0</v>
      </c>
      <c r="AC137">
        <v>0</v>
      </c>
      <c r="AD137">
        <v>0</v>
      </c>
      <c r="AE137">
        <v>0</v>
      </c>
      <c r="AF137" t="s">
        <v>68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s">
        <v>58</v>
      </c>
      <c r="AM137" t="s">
        <v>58</v>
      </c>
      <c r="AN137" t="s">
        <v>71</v>
      </c>
      <c r="AO137">
        <v>14</v>
      </c>
      <c r="AP137">
        <v>5</v>
      </c>
      <c r="AQ137">
        <v>13</v>
      </c>
      <c r="AR137">
        <v>11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s">
        <v>61</v>
      </c>
      <c r="BA137" t="s">
        <v>57</v>
      </c>
      <c r="BB137" t="s">
        <v>55</v>
      </c>
      <c r="BC137" t="s">
        <v>58</v>
      </c>
      <c r="BD137" t="s">
        <v>58</v>
      </c>
    </row>
    <row r="138" spans="1:56" x14ac:dyDescent="0.25">
      <c r="A138" t="str" cm="1">
        <f t="array" ref="A138">_xlfn.XLOOKUP(RIGHT(M138,8),TeamIdentity!C:C,TeamIdentity!A:A,NONE)</f>
        <v>Panthers</v>
      </c>
      <c r="B138" t="str" cm="1">
        <f t="array" ref="B138">_xlfn.XLOOKUP(RIGHT(F138,8),TeamIdentity!C:C,TeamIdentity!A:A,NONE)</f>
        <v>Jets</v>
      </c>
      <c r="C138" t="s">
        <v>54</v>
      </c>
      <c r="D138" t="s">
        <v>54</v>
      </c>
      <c r="E138" t="s">
        <v>54</v>
      </c>
      <c r="F138" t="s">
        <v>522</v>
      </c>
      <c r="G138" t="s">
        <v>54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511</v>
      </c>
      <c r="N138">
        <v>-1</v>
      </c>
      <c r="O138">
        <v>0</v>
      </c>
      <c r="P138">
        <v>-1</v>
      </c>
      <c r="Q138">
        <v>0</v>
      </c>
      <c r="R138" t="s">
        <v>70</v>
      </c>
      <c r="S138">
        <v>0</v>
      </c>
      <c r="T138">
        <v>0</v>
      </c>
      <c r="U138">
        <v>780</v>
      </c>
      <c r="V138" t="s">
        <v>57</v>
      </c>
      <c r="W138">
        <v>0</v>
      </c>
      <c r="X138">
        <v>0</v>
      </c>
      <c r="Y138">
        <v>0</v>
      </c>
      <c r="Z138">
        <v>0</v>
      </c>
      <c r="AA138" t="s">
        <v>67</v>
      </c>
      <c r="AB138">
        <v>0</v>
      </c>
      <c r="AC138">
        <v>0</v>
      </c>
      <c r="AD138">
        <v>0</v>
      </c>
      <c r="AE138">
        <v>0</v>
      </c>
      <c r="AF138" t="s">
        <v>60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s">
        <v>58</v>
      </c>
      <c r="AM138" t="s">
        <v>58</v>
      </c>
      <c r="AN138" t="s">
        <v>71</v>
      </c>
      <c r="AO138">
        <v>14</v>
      </c>
      <c r="AP138">
        <v>6</v>
      </c>
      <c r="AQ138">
        <v>0</v>
      </c>
      <c r="AR138">
        <v>11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s">
        <v>61</v>
      </c>
      <c r="BA138" t="s">
        <v>57</v>
      </c>
      <c r="BB138" t="s">
        <v>55</v>
      </c>
      <c r="BC138" t="s">
        <v>58</v>
      </c>
      <c r="BD138" t="s">
        <v>58</v>
      </c>
    </row>
    <row r="139" spans="1:56" x14ac:dyDescent="0.25">
      <c r="A139" t="str" cm="1">
        <f t="array" ref="A139">_xlfn.XLOOKUP(RIGHT(M139,8),TeamIdentity!C:C,TeamIdentity!A:A,NONE)</f>
        <v>Cardinals</v>
      </c>
      <c r="B139" t="str" cm="1">
        <f t="array" ref="B139">_xlfn.XLOOKUP(RIGHT(F139,8),TeamIdentity!C:C,TeamIdentity!A:A,NONE)</f>
        <v>Texans</v>
      </c>
      <c r="C139" t="s">
        <v>54</v>
      </c>
      <c r="D139" t="s">
        <v>54</v>
      </c>
      <c r="E139" t="s">
        <v>54</v>
      </c>
      <c r="F139" t="s">
        <v>517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538</v>
      </c>
      <c r="N139">
        <v>-1</v>
      </c>
      <c r="O139">
        <v>0</v>
      </c>
      <c r="P139">
        <v>-1</v>
      </c>
      <c r="Q139">
        <v>0</v>
      </c>
      <c r="R139" t="s">
        <v>70</v>
      </c>
      <c r="S139">
        <v>0</v>
      </c>
      <c r="T139">
        <v>0</v>
      </c>
      <c r="U139">
        <v>975</v>
      </c>
      <c r="V139" t="s">
        <v>57</v>
      </c>
      <c r="W139">
        <v>0</v>
      </c>
      <c r="X139">
        <v>0</v>
      </c>
      <c r="Y139">
        <v>0</v>
      </c>
      <c r="Z139">
        <v>0</v>
      </c>
      <c r="AA139" t="s">
        <v>67</v>
      </c>
      <c r="AB139">
        <v>0</v>
      </c>
      <c r="AC139">
        <v>0</v>
      </c>
      <c r="AD139">
        <v>0</v>
      </c>
      <c r="AE139">
        <v>0</v>
      </c>
      <c r="AF139" t="s">
        <v>60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s">
        <v>58</v>
      </c>
      <c r="AM139" t="s">
        <v>58</v>
      </c>
      <c r="AN139" t="s">
        <v>71</v>
      </c>
      <c r="AO139">
        <v>14</v>
      </c>
      <c r="AP139">
        <v>5</v>
      </c>
      <c r="AQ139">
        <v>9</v>
      </c>
      <c r="AR139">
        <v>11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s">
        <v>61</v>
      </c>
      <c r="BA139" t="s">
        <v>57</v>
      </c>
      <c r="BB139" t="s">
        <v>55</v>
      </c>
      <c r="BC139" t="s">
        <v>58</v>
      </c>
      <c r="BD139" t="s">
        <v>58</v>
      </c>
    </row>
    <row r="140" spans="1:56" x14ac:dyDescent="0.25">
      <c r="A140" t="str" cm="1">
        <f t="array" ref="A140">_xlfn.XLOOKUP(RIGHT(M140,8),TeamIdentity!C:C,TeamIdentity!A:A,NONE)</f>
        <v>Broncos</v>
      </c>
      <c r="B140" t="str" cm="1">
        <f t="array" ref="B140">_xlfn.XLOOKUP(RIGHT(F140,8),TeamIdentity!C:C,TeamIdentity!A:A,NONE)</f>
        <v>Steelers</v>
      </c>
      <c r="C140" t="s">
        <v>54</v>
      </c>
      <c r="D140" t="s">
        <v>54</v>
      </c>
      <c r="E140" t="s">
        <v>54</v>
      </c>
      <c r="F140" t="s">
        <v>518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539</v>
      </c>
      <c r="N140">
        <v>-1</v>
      </c>
      <c r="O140">
        <v>0</v>
      </c>
      <c r="P140">
        <v>-1</v>
      </c>
      <c r="Q140">
        <v>0</v>
      </c>
      <c r="R140" t="s">
        <v>70</v>
      </c>
      <c r="S140">
        <v>0</v>
      </c>
      <c r="T140">
        <v>0</v>
      </c>
      <c r="U140">
        <v>975</v>
      </c>
      <c r="V140" t="s">
        <v>57</v>
      </c>
      <c r="W140">
        <v>0</v>
      </c>
      <c r="X140">
        <v>0</v>
      </c>
      <c r="Y140">
        <v>0</v>
      </c>
      <c r="Z140">
        <v>0</v>
      </c>
      <c r="AA140" t="s">
        <v>67</v>
      </c>
      <c r="AB140">
        <v>0</v>
      </c>
      <c r="AC140">
        <v>0</v>
      </c>
      <c r="AD140">
        <v>0</v>
      </c>
      <c r="AE140">
        <v>0</v>
      </c>
      <c r="AF140" t="s">
        <v>60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s">
        <v>58</v>
      </c>
      <c r="AM140" t="s">
        <v>58</v>
      </c>
      <c r="AN140" t="s">
        <v>71</v>
      </c>
      <c r="AO140">
        <v>14</v>
      </c>
      <c r="AP140">
        <v>5</v>
      </c>
      <c r="AQ140">
        <v>10</v>
      </c>
      <c r="AR140">
        <v>11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s">
        <v>61</v>
      </c>
      <c r="BA140" t="s">
        <v>57</v>
      </c>
      <c r="BB140" t="s">
        <v>55</v>
      </c>
      <c r="BC140" t="s">
        <v>58</v>
      </c>
      <c r="BD140" t="s">
        <v>58</v>
      </c>
    </row>
    <row r="141" spans="1:56" x14ac:dyDescent="0.25">
      <c r="A141" t="str" cm="1">
        <f t="array" ref="A141">_xlfn.XLOOKUP(RIGHT(M141,8),TeamIdentity!C:C,TeamIdentity!A:A,NONE)</f>
        <v>Jaguars</v>
      </c>
      <c r="B141" t="str" cm="1">
        <f t="array" ref="B141">_xlfn.XLOOKUP(RIGHT(F141,8),TeamIdentity!C:C,TeamIdentity!A:A,NONE)</f>
        <v>Panthers</v>
      </c>
      <c r="C141" t="s">
        <v>54</v>
      </c>
      <c r="D141" t="s">
        <v>54</v>
      </c>
      <c r="E141" t="s">
        <v>54</v>
      </c>
      <c r="F141" t="s">
        <v>511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536</v>
      </c>
      <c r="N141">
        <v>-1</v>
      </c>
      <c r="O141">
        <v>0</v>
      </c>
      <c r="P141">
        <v>-1</v>
      </c>
      <c r="Q141">
        <v>0</v>
      </c>
      <c r="R141" t="s">
        <v>70</v>
      </c>
      <c r="S141">
        <v>0</v>
      </c>
      <c r="T141">
        <v>0</v>
      </c>
      <c r="U141">
        <v>780</v>
      </c>
      <c r="V141" t="s">
        <v>57</v>
      </c>
      <c r="W141">
        <v>0</v>
      </c>
      <c r="X141">
        <v>0</v>
      </c>
      <c r="Y141">
        <v>0</v>
      </c>
      <c r="Z141">
        <v>0</v>
      </c>
      <c r="AA141" t="s">
        <v>67</v>
      </c>
      <c r="AB141">
        <v>0</v>
      </c>
      <c r="AC141">
        <v>0</v>
      </c>
      <c r="AD141">
        <v>0</v>
      </c>
      <c r="AE141">
        <v>0</v>
      </c>
      <c r="AF141" t="s">
        <v>60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s">
        <v>58</v>
      </c>
      <c r="AM141" t="s">
        <v>58</v>
      </c>
      <c r="AN141" t="s">
        <v>71</v>
      </c>
      <c r="AO141">
        <v>14</v>
      </c>
      <c r="AP141">
        <v>5</v>
      </c>
      <c r="AQ141">
        <v>3</v>
      </c>
      <c r="AR141">
        <v>11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s">
        <v>61</v>
      </c>
      <c r="BA141" t="s">
        <v>57</v>
      </c>
      <c r="BB141" t="s">
        <v>55</v>
      </c>
      <c r="BC141" t="s">
        <v>58</v>
      </c>
      <c r="BD141" t="s">
        <v>58</v>
      </c>
    </row>
    <row r="142" spans="1:56" x14ac:dyDescent="0.25">
      <c r="A142" t="str" cm="1">
        <f t="array" ref="A142">_xlfn.XLOOKUP(RIGHT(M142,8),TeamIdentity!C:C,TeamIdentity!A:A,NONE)</f>
        <v>Packers</v>
      </c>
      <c r="B142" t="str" cm="1">
        <f t="array" ref="B142">_xlfn.XLOOKUP(RIGHT(F142,8),TeamIdentity!C:C,TeamIdentity!A:A,NONE)</f>
        <v>Commanders</v>
      </c>
      <c r="C142" t="s">
        <v>54</v>
      </c>
      <c r="D142" t="s">
        <v>54</v>
      </c>
      <c r="E142" t="s">
        <v>54</v>
      </c>
      <c r="F142" t="s">
        <v>521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529</v>
      </c>
      <c r="N142">
        <v>-1</v>
      </c>
      <c r="O142">
        <v>0</v>
      </c>
      <c r="P142">
        <v>-1</v>
      </c>
      <c r="Q142">
        <v>0</v>
      </c>
      <c r="R142" t="s">
        <v>70</v>
      </c>
      <c r="S142">
        <v>0</v>
      </c>
      <c r="T142">
        <v>0</v>
      </c>
      <c r="U142">
        <v>780</v>
      </c>
      <c r="V142" t="s">
        <v>57</v>
      </c>
      <c r="W142">
        <v>0</v>
      </c>
      <c r="X142">
        <v>0</v>
      </c>
      <c r="Y142">
        <v>0</v>
      </c>
      <c r="Z142">
        <v>0</v>
      </c>
      <c r="AA142" t="s">
        <v>67</v>
      </c>
      <c r="AB142">
        <v>0</v>
      </c>
      <c r="AC142">
        <v>0</v>
      </c>
      <c r="AD142">
        <v>0</v>
      </c>
      <c r="AE142">
        <v>0</v>
      </c>
      <c r="AF142" t="s">
        <v>60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s">
        <v>58</v>
      </c>
      <c r="AM142" t="s">
        <v>58</v>
      </c>
      <c r="AN142" t="s">
        <v>71</v>
      </c>
      <c r="AO142">
        <v>14</v>
      </c>
      <c r="AP142">
        <v>5</v>
      </c>
      <c r="AQ142">
        <v>4</v>
      </c>
      <c r="AR142">
        <v>11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s">
        <v>61</v>
      </c>
      <c r="BA142" t="s">
        <v>57</v>
      </c>
      <c r="BB142" t="s">
        <v>55</v>
      </c>
      <c r="BC142" t="s">
        <v>58</v>
      </c>
      <c r="BD142" t="s">
        <v>58</v>
      </c>
    </row>
    <row r="143" spans="1:56" x14ac:dyDescent="0.25">
      <c r="A143" t="str" cm="1">
        <f t="array" ref="A143">_xlfn.XLOOKUP(RIGHT(M143,8),TeamIdentity!C:C,TeamIdentity!A:A,NONE)</f>
        <v>Eagles</v>
      </c>
      <c r="B143" t="str" cm="1">
        <f t="array" ref="B143">_xlfn.XLOOKUP(RIGHT(F143,8),TeamIdentity!C:C,TeamIdentity!A:A,NONE)</f>
        <v>Commanders</v>
      </c>
      <c r="C143" t="s">
        <v>54</v>
      </c>
      <c r="D143" t="s">
        <v>54</v>
      </c>
      <c r="E143" t="s">
        <v>54</v>
      </c>
      <c r="F143" t="s">
        <v>521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519</v>
      </c>
      <c r="N143">
        <v>-1</v>
      </c>
      <c r="O143">
        <v>0</v>
      </c>
      <c r="P143">
        <v>-1</v>
      </c>
      <c r="Q143">
        <v>0</v>
      </c>
      <c r="R143" t="s">
        <v>70</v>
      </c>
      <c r="S143">
        <v>0</v>
      </c>
      <c r="T143">
        <v>0</v>
      </c>
      <c r="U143">
        <v>780</v>
      </c>
      <c r="V143" t="s">
        <v>57</v>
      </c>
      <c r="W143">
        <v>0</v>
      </c>
      <c r="X143">
        <v>0</v>
      </c>
      <c r="Y143">
        <v>0</v>
      </c>
      <c r="Z143">
        <v>0</v>
      </c>
      <c r="AA143" t="s">
        <v>67</v>
      </c>
      <c r="AB143">
        <v>0</v>
      </c>
      <c r="AC143">
        <v>0</v>
      </c>
      <c r="AD143">
        <v>0</v>
      </c>
      <c r="AE143">
        <v>0</v>
      </c>
      <c r="AF143" t="s">
        <v>60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s">
        <v>58</v>
      </c>
      <c r="AM143" t="s">
        <v>58</v>
      </c>
      <c r="AN143" t="s">
        <v>71</v>
      </c>
      <c r="AO143">
        <v>14</v>
      </c>
      <c r="AP143">
        <v>7</v>
      </c>
      <c r="AQ143">
        <v>0</v>
      </c>
      <c r="AR143">
        <v>11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s">
        <v>61</v>
      </c>
      <c r="BA143" t="s">
        <v>57</v>
      </c>
      <c r="BB143" t="s">
        <v>55</v>
      </c>
      <c r="BC143" t="s">
        <v>58</v>
      </c>
      <c r="BD143" t="s">
        <v>58</v>
      </c>
    </row>
    <row r="144" spans="1:56" x14ac:dyDescent="0.25">
      <c r="A144" t="str" cm="1">
        <f t="array" ref="A144">_xlfn.XLOOKUP(RIGHT(M144,8),TeamIdentity!C:C,TeamIdentity!A:A,NONE)</f>
        <v>Steelers</v>
      </c>
      <c r="B144" t="str" cm="1">
        <f t="array" ref="B144">_xlfn.XLOOKUP(RIGHT(F144,8),TeamIdentity!C:C,TeamIdentity!A:A,NONE)</f>
        <v>Colts</v>
      </c>
      <c r="C144" t="s">
        <v>54</v>
      </c>
      <c r="D144" t="s">
        <v>54</v>
      </c>
      <c r="E144" t="s">
        <v>54</v>
      </c>
      <c r="F144" t="s">
        <v>540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518</v>
      </c>
      <c r="N144">
        <v>-1</v>
      </c>
      <c r="O144">
        <v>0</v>
      </c>
      <c r="P144">
        <v>-1</v>
      </c>
      <c r="Q144">
        <v>0</v>
      </c>
      <c r="R144" t="s">
        <v>70</v>
      </c>
      <c r="S144">
        <v>0</v>
      </c>
      <c r="T144">
        <v>0</v>
      </c>
      <c r="U144">
        <v>780</v>
      </c>
      <c r="V144" t="s">
        <v>57</v>
      </c>
      <c r="W144">
        <v>0</v>
      </c>
      <c r="X144">
        <v>0</v>
      </c>
      <c r="Y144">
        <v>0</v>
      </c>
      <c r="Z144">
        <v>0</v>
      </c>
      <c r="AA144" t="s">
        <v>67</v>
      </c>
      <c r="AB144">
        <v>0</v>
      </c>
      <c r="AC144">
        <v>0</v>
      </c>
      <c r="AD144">
        <v>0</v>
      </c>
      <c r="AE144">
        <v>0</v>
      </c>
      <c r="AF144" t="s">
        <v>60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s">
        <v>58</v>
      </c>
      <c r="AM144" t="s">
        <v>58</v>
      </c>
      <c r="AN144" t="s">
        <v>71</v>
      </c>
      <c r="AO144">
        <v>14</v>
      </c>
      <c r="AP144">
        <v>6</v>
      </c>
      <c r="AQ144">
        <v>1</v>
      </c>
      <c r="AR144">
        <v>11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s">
        <v>61</v>
      </c>
      <c r="BA144" t="s">
        <v>57</v>
      </c>
      <c r="BB144" t="s">
        <v>55</v>
      </c>
      <c r="BC144" t="s">
        <v>58</v>
      </c>
      <c r="BD144" t="s">
        <v>58</v>
      </c>
    </row>
    <row r="145" spans="1:56" x14ac:dyDescent="0.25">
      <c r="A145" t="str" cm="1">
        <f t="array" ref="A145">_xlfn.XLOOKUP(RIGHT(M145,8),TeamIdentity!C:C,TeamIdentity!A:A,NONE)</f>
        <v>Ravens</v>
      </c>
      <c r="B145" t="str" cm="1">
        <f t="array" ref="B145">_xlfn.XLOOKUP(RIGHT(F145,8),TeamIdentity!C:C,TeamIdentity!A:A,NONE)</f>
        <v>Bengals</v>
      </c>
      <c r="C145" t="s">
        <v>54</v>
      </c>
      <c r="D145" t="s">
        <v>54</v>
      </c>
      <c r="E145" t="s">
        <v>54</v>
      </c>
      <c r="F145" t="s">
        <v>532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520</v>
      </c>
      <c r="N145">
        <v>-1</v>
      </c>
      <c r="O145">
        <v>0</v>
      </c>
      <c r="P145">
        <v>-1</v>
      </c>
      <c r="Q145">
        <v>0</v>
      </c>
      <c r="R145" t="s">
        <v>70</v>
      </c>
      <c r="S145">
        <v>0</v>
      </c>
      <c r="T145">
        <v>0</v>
      </c>
      <c r="U145">
        <v>780</v>
      </c>
      <c r="V145" t="s">
        <v>57</v>
      </c>
      <c r="W145">
        <v>0</v>
      </c>
      <c r="X145">
        <v>0</v>
      </c>
      <c r="Y145">
        <v>0</v>
      </c>
      <c r="Z145">
        <v>0</v>
      </c>
      <c r="AA145" t="s">
        <v>67</v>
      </c>
      <c r="AB145">
        <v>0</v>
      </c>
      <c r="AC145">
        <v>0</v>
      </c>
      <c r="AD145">
        <v>0</v>
      </c>
      <c r="AE145">
        <v>0</v>
      </c>
      <c r="AF145" t="s">
        <v>60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s">
        <v>58</v>
      </c>
      <c r="AM145" t="s">
        <v>58</v>
      </c>
      <c r="AN145" t="s">
        <v>71</v>
      </c>
      <c r="AO145">
        <v>14</v>
      </c>
      <c r="AP145">
        <v>5</v>
      </c>
      <c r="AQ145">
        <v>5</v>
      </c>
      <c r="AR145">
        <v>11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s">
        <v>61</v>
      </c>
      <c r="BA145" t="s">
        <v>57</v>
      </c>
      <c r="BB145" t="s">
        <v>55</v>
      </c>
      <c r="BC145" t="s">
        <v>58</v>
      </c>
      <c r="BD145" t="s">
        <v>58</v>
      </c>
    </row>
    <row r="146" spans="1:56" x14ac:dyDescent="0.25">
      <c r="A146" t="str" cm="1">
        <f t="array" ref="A146">_xlfn.XLOOKUP(RIGHT(M146,8),TeamIdentity!C:C,TeamIdentity!A:A,NONE)</f>
        <v>Texans</v>
      </c>
      <c r="B146" t="str" cm="1">
        <f t="array" ref="B146">_xlfn.XLOOKUP(RIGHT(F146,8),TeamIdentity!C:C,TeamIdentity!A:A,NONE)</f>
        <v>Jaguars</v>
      </c>
      <c r="C146" t="s">
        <v>54</v>
      </c>
      <c r="D146" t="s">
        <v>54</v>
      </c>
      <c r="E146" t="s">
        <v>54</v>
      </c>
      <c r="F146" t="s">
        <v>536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517</v>
      </c>
      <c r="N146">
        <v>-1</v>
      </c>
      <c r="O146">
        <v>0</v>
      </c>
      <c r="P146">
        <v>-1</v>
      </c>
      <c r="Q146">
        <v>0</v>
      </c>
      <c r="R146" t="s">
        <v>70</v>
      </c>
      <c r="S146">
        <v>0</v>
      </c>
      <c r="T146">
        <v>0</v>
      </c>
      <c r="U146">
        <v>780</v>
      </c>
      <c r="V146" t="s">
        <v>57</v>
      </c>
      <c r="W146">
        <v>0</v>
      </c>
      <c r="X146">
        <v>0</v>
      </c>
      <c r="Y146">
        <v>0</v>
      </c>
      <c r="Z146">
        <v>0</v>
      </c>
      <c r="AA146" t="s">
        <v>67</v>
      </c>
      <c r="AB146">
        <v>0</v>
      </c>
      <c r="AC146">
        <v>0</v>
      </c>
      <c r="AD146">
        <v>0</v>
      </c>
      <c r="AE146">
        <v>0</v>
      </c>
      <c r="AF146" t="s">
        <v>60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s">
        <v>58</v>
      </c>
      <c r="AM146" t="s">
        <v>58</v>
      </c>
      <c r="AN146" t="s">
        <v>71</v>
      </c>
      <c r="AO146">
        <v>14</v>
      </c>
      <c r="AP146">
        <v>6</v>
      </c>
      <c r="AQ146">
        <v>2</v>
      </c>
      <c r="AR146">
        <v>11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s">
        <v>61</v>
      </c>
      <c r="BA146" t="s">
        <v>57</v>
      </c>
      <c r="BB146" t="s">
        <v>55</v>
      </c>
      <c r="BC146" t="s">
        <v>58</v>
      </c>
      <c r="BD146" t="s">
        <v>58</v>
      </c>
    </row>
    <row r="147" spans="1:56" x14ac:dyDescent="0.25">
      <c r="A147" t="str" cm="1">
        <f t="array" ref="A147">_xlfn.XLOOKUP(RIGHT(M147,8),TeamIdentity!C:C,TeamIdentity!A:A,NONE)</f>
        <v>Patriots</v>
      </c>
      <c r="B147" t="str" cm="1">
        <f t="array" ref="B147">_xlfn.XLOOKUP(RIGHT(F147,8),TeamIdentity!C:C,TeamIdentity!A:A,NONE)</f>
        <v>Jets</v>
      </c>
      <c r="C147" t="s">
        <v>54</v>
      </c>
      <c r="D147" t="s">
        <v>54</v>
      </c>
      <c r="E147" t="s">
        <v>54</v>
      </c>
      <c r="F147" t="s">
        <v>522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512</v>
      </c>
      <c r="N147">
        <v>-1</v>
      </c>
      <c r="O147">
        <v>0</v>
      </c>
      <c r="P147">
        <v>-1</v>
      </c>
      <c r="Q147">
        <v>0</v>
      </c>
      <c r="R147" t="s">
        <v>70</v>
      </c>
      <c r="S147">
        <v>0</v>
      </c>
      <c r="T147">
        <v>0</v>
      </c>
      <c r="U147">
        <v>780</v>
      </c>
      <c r="V147" t="s">
        <v>57</v>
      </c>
      <c r="W147">
        <v>0</v>
      </c>
      <c r="X147">
        <v>0</v>
      </c>
      <c r="Y147">
        <v>0</v>
      </c>
      <c r="Z147">
        <v>0</v>
      </c>
      <c r="AA147" t="s">
        <v>67</v>
      </c>
      <c r="AB147">
        <v>0</v>
      </c>
      <c r="AC147">
        <v>0</v>
      </c>
      <c r="AD147">
        <v>0</v>
      </c>
      <c r="AE147">
        <v>0</v>
      </c>
      <c r="AF147" t="s">
        <v>60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s">
        <v>58</v>
      </c>
      <c r="AM147" t="s">
        <v>58</v>
      </c>
      <c r="AN147" t="s">
        <v>71</v>
      </c>
      <c r="AO147">
        <v>14</v>
      </c>
      <c r="AP147">
        <v>4</v>
      </c>
      <c r="AQ147">
        <v>7</v>
      </c>
      <c r="AR147">
        <v>11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s">
        <v>61</v>
      </c>
      <c r="BA147" t="s">
        <v>57</v>
      </c>
      <c r="BB147" t="s">
        <v>55</v>
      </c>
      <c r="BC147" t="s">
        <v>58</v>
      </c>
      <c r="BD147" t="s">
        <v>58</v>
      </c>
    </row>
    <row r="148" spans="1:56" x14ac:dyDescent="0.25">
      <c r="A148" t="str" cm="1">
        <f t="array" ref="A148">_xlfn.XLOOKUP(RIGHT(M148,8),TeamIdentity!C:C,TeamIdentity!A:A,NONE)</f>
        <v>Dolphins</v>
      </c>
      <c r="B148" t="str" cm="1">
        <f t="array" ref="B148">_xlfn.XLOOKUP(RIGHT(F148,8),TeamIdentity!C:C,TeamIdentity!A:A,NONE)</f>
        <v>Bills</v>
      </c>
      <c r="C148" t="s">
        <v>54</v>
      </c>
      <c r="D148" t="s">
        <v>54</v>
      </c>
      <c r="E148" t="s">
        <v>54</v>
      </c>
      <c r="F148" t="s">
        <v>524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516</v>
      </c>
      <c r="N148">
        <v>-1</v>
      </c>
      <c r="O148">
        <v>0</v>
      </c>
      <c r="P148">
        <v>-1</v>
      </c>
      <c r="Q148">
        <v>0</v>
      </c>
      <c r="R148" t="s">
        <v>70</v>
      </c>
      <c r="S148">
        <v>0</v>
      </c>
      <c r="T148">
        <v>0</v>
      </c>
      <c r="U148">
        <v>1220</v>
      </c>
      <c r="V148" t="s">
        <v>57</v>
      </c>
      <c r="W148">
        <v>0</v>
      </c>
      <c r="X148">
        <v>0</v>
      </c>
      <c r="Y148">
        <v>0</v>
      </c>
      <c r="Z148">
        <v>0</v>
      </c>
      <c r="AA148" t="s">
        <v>68</v>
      </c>
      <c r="AB148">
        <v>0</v>
      </c>
      <c r="AC148">
        <v>0</v>
      </c>
      <c r="AD148">
        <v>0</v>
      </c>
      <c r="AE148">
        <v>0</v>
      </c>
      <c r="AF148" t="s">
        <v>68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s">
        <v>58</v>
      </c>
      <c r="AM148" t="s">
        <v>58</v>
      </c>
      <c r="AN148" t="s">
        <v>71</v>
      </c>
      <c r="AO148">
        <v>14</v>
      </c>
      <c r="AP148">
        <v>6</v>
      </c>
      <c r="AQ148">
        <v>12</v>
      </c>
      <c r="AR148">
        <v>11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s">
        <v>61</v>
      </c>
      <c r="BA148" t="s">
        <v>57</v>
      </c>
      <c r="BB148" t="s">
        <v>55</v>
      </c>
      <c r="BC148" t="s">
        <v>58</v>
      </c>
      <c r="BD148" t="s">
        <v>58</v>
      </c>
    </row>
    <row r="149" spans="1:56" x14ac:dyDescent="0.25">
      <c r="A149" t="str" cm="1">
        <f t="array" ref="A149">_xlfn.XLOOKUP(RIGHT(M149,8),TeamIdentity!C:C,TeamIdentity!A:A,NONE)</f>
        <v>Cowboys</v>
      </c>
      <c r="B149" t="str" cm="1">
        <f t="array" ref="B149">_xlfn.XLOOKUP(RIGHT(F149,8),TeamIdentity!C:C,TeamIdentity!A:A,NONE)</f>
        <v>Commanders</v>
      </c>
      <c r="C149" t="s">
        <v>54</v>
      </c>
      <c r="D149" t="s">
        <v>54</v>
      </c>
      <c r="E149" t="s">
        <v>54</v>
      </c>
      <c r="F149" t="s">
        <v>521</v>
      </c>
      <c r="G149" t="s">
        <v>54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541</v>
      </c>
      <c r="N149">
        <v>-1</v>
      </c>
      <c r="O149">
        <v>0</v>
      </c>
      <c r="P149">
        <v>-1</v>
      </c>
      <c r="Q149">
        <v>0</v>
      </c>
      <c r="R149" t="s">
        <v>70</v>
      </c>
      <c r="S149">
        <v>0</v>
      </c>
      <c r="T149">
        <v>0</v>
      </c>
      <c r="U149">
        <v>780</v>
      </c>
      <c r="V149" t="s">
        <v>57</v>
      </c>
      <c r="W149">
        <v>0</v>
      </c>
      <c r="X149">
        <v>0</v>
      </c>
      <c r="Y149">
        <v>0</v>
      </c>
      <c r="Z149">
        <v>0</v>
      </c>
      <c r="AA149" t="s">
        <v>67</v>
      </c>
      <c r="AB149">
        <v>0</v>
      </c>
      <c r="AC149">
        <v>0</v>
      </c>
      <c r="AD149">
        <v>0</v>
      </c>
      <c r="AE149">
        <v>0</v>
      </c>
      <c r="AF149" t="s">
        <v>60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s">
        <v>58</v>
      </c>
      <c r="AM149" t="s">
        <v>58</v>
      </c>
      <c r="AN149" t="s">
        <v>71</v>
      </c>
      <c r="AO149">
        <v>14</v>
      </c>
      <c r="AP149">
        <v>6</v>
      </c>
      <c r="AQ149">
        <v>3</v>
      </c>
      <c r="AR149">
        <v>11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s">
        <v>61</v>
      </c>
      <c r="BA149" t="s">
        <v>57</v>
      </c>
      <c r="BB149" t="s">
        <v>55</v>
      </c>
      <c r="BC149" t="s">
        <v>58</v>
      </c>
      <c r="BD149" t="s">
        <v>58</v>
      </c>
    </row>
    <row r="150" spans="1:56" x14ac:dyDescent="0.25">
      <c r="A150" t="str" cm="1">
        <f t="array" ref="A150">_xlfn.XLOOKUP(RIGHT(M150,8),TeamIdentity!C:C,TeamIdentity!A:A,NONE)</f>
        <v>Bears</v>
      </c>
      <c r="B150" t="str" cm="1">
        <f t="array" ref="B150">_xlfn.XLOOKUP(RIGHT(F150,8),TeamIdentity!C:C,TeamIdentity!A:A,NONE)</f>
        <v>Browns</v>
      </c>
      <c r="C150" t="s">
        <v>54</v>
      </c>
      <c r="D150" t="s">
        <v>54</v>
      </c>
      <c r="E150" t="s">
        <v>54</v>
      </c>
      <c r="F150" t="s">
        <v>530</v>
      </c>
      <c r="G150" t="s">
        <v>54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523</v>
      </c>
      <c r="N150">
        <v>-1</v>
      </c>
      <c r="O150">
        <v>0</v>
      </c>
      <c r="P150">
        <v>-1</v>
      </c>
      <c r="Q150">
        <v>0</v>
      </c>
      <c r="R150" t="s">
        <v>70</v>
      </c>
      <c r="S150">
        <v>0</v>
      </c>
      <c r="T150">
        <v>0</v>
      </c>
      <c r="U150">
        <v>1220</v>
      </c>
      <c r="V150" t="s">
        <v>57</v>
      </c>
      <c r="W150">
        <v>0</v>
      </c>
      <c r="X150">
        <v>0</v>
      </c>
      <c r="Y150">
        <v>0</v>
      </c>
      <c r="Z150">
        <v>0</v>
      </c>
      <c r="AA150" t="s">
        <v>60</v>
      </c>
      <c r="AB150">
        <v>0</v>
      </c>
      <c r="AC150">
        <v>0</v>
      </c>
      <c r="AD150">
        <v>0</v>
      </c>
      <c r="AE150">
        <v>0</v>
      </c>
      <c r="AF150" t="s">
        <v>60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s">
        <v>58</v>
      </c>
      <c r="AM150" t="s">
        <v>58</v>
      </c>
      <c r="AN150" t="s">
        <v>71</v>
      </c>
      <c r="AO150">
        <v>14</v>
      </c>
      <c r="AP150">
        <v>7</v>
      </c>
      <c r="AQ150">
        <v>12</v>
      </c>
      <c r="AR150">
        <v>11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s">
        <v>61</v>
      </c>
      <c r="BA150" t="s">
        <v>57</v>
      </c>
      <c r="BB150" t="s">
        <v>55</v>
      </c>
      <c r="BC150" t="s">
        <v>58</v>
      </c>
      <c r="BD150" t="s">
        <v>58</v>
      </c>
    </row>
    <row r="151" spans="1:56" x14ac:dyDescent="0.25">
      <c r="A151" t="str" cm="1">
        <f t="array" ref="A151">_xlfn.XLOOKUP(RIGHT(M151,8),TeamIdentity!C:C,TeamIdentity!A:A,NONE)</f>
        <v>Chargers</v>
      </c>
      <c r="B151" t="str" cm="1">
        <f t="array" ref="B151">_xlfn.XLOOKUP(RIGHT(F151,8),TeamIdentity!C:C,TeamIdentity!A:A,NONE)</f>
        <v>Raiders</v>
      </c>
      <c r="C151" t="s">
        <v>54</v>
      </c>
      <c r="D151" t="s">
        <v>54</v>
      </c>
      <c r="E151" t="s">
        <v>54</v>
      </c>
      <c r="F151" t="s">
        <v>525</v>
      </c>
      <c r="G151" t="s">
        <v>54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528</v>
      </c>
      <c r="N151">
        <v>-1</v>
      </c>
      <c r="O151">
        <v>0</v>
      </c>
      <c r="P151">
        <v>-1</v>
      </c>
      <c r="Q151">
        <v>0</v>
      </c>
      <c r="R151" t="s">
        <v>70</v>
      </c>
      <c r="S151">
        <v>0</v>
      </c>
      <c r="T151">
        <v>0</v>
      </c>
      <c r="U151">
        <v>1220</v>
      </c>
      <c r="V151" t="s">
        <v>57</v>
      </c>
      <c r="W151">
        <v>0</v>
      </c>
      <c r="X151">
        <v>0</v>
      </c>
      <c r="Y151">
        <v>0</v>
      </c>
      <c r="Z151">
        <v>0</v>
      </c>
      <c r="AA151" t="s">
        <v>60</v>
      </c>
      <c r="AB151">
        <v>0</v>
      </c>
      <c r="AC151">
        <v>0</v>
      </c>
      <c r="AD151">
        <v>0</v>
      </c>
      <c r="AE151">
        <v>0</v>
      </c>
      <c r="AF151" t="s">
        <v>60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s">
        <v>58</v>
      </c>
      <c r="AM151" t="s">
        <v>58</v>
      </c>
      <c r="AN151" t="s">
        <v>71</v>
      </c>
      <c r="AO151">
        <v>14</v>
      </c>
      <c r="AP151">
        <v>4</v>
      </c>
      <c r="AQ151">
        <v>13</v>
      </c>
      <c r="AR151">
        <v>11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s">
        <v>61</v>
      </c>
      <c r="BA151" t="s">
        <v>57</v>
      </c>
      <c r="BB151" t="s">
        <v>55</v>
      </c>
      <c r="BC151" t="s">
        <v>58</v>
      </c>
      <c r="BD151" t="s">
        <v>58</v>
      </c>
    </row>
    <row r="152" spans="1:56" x14ac:dyDescent="0.25">
      <c r="A152" t="str" cm="1">
        <f t="array" ref="A152">_xlfn.XLOOKUP(RIGHT(M152,8),TeamIdentity!C:C,TeamIdentity!A:A,NONE)</f>
        <v>49ers</v>
      </c>
      <c r="B152" t="str" cm="1">
        <f t="array" ref="B152">_xlfn.XLOOKUP(RIGHT(F152,8),TeamIdentity!C:C,TeamIdentity!A:A,NONE)</f>
        <v>Seahawks</v>
      </c>
      <c r="C152" t="s">
        <v>54</v>
      </c>
      <c r="D152" t="s">
        <v>54</v>
      </c>
      <c r="E152" t="s">
        <v>54</v>
      </c>
      <c r="F152" t="s">
        <v>527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533</v>
      </c>
      <c r="N152">
        <v>-1</v>
      </c>
      <c r="O152">
        <v>0</v>
      </c>
      <c r="P152">
        <v>-1</v>
      </c>
      <c r="Q152">
        <v>0</v>
      </c>
      <c r="R152" t="s">
        <v>70</v>
      </c>
      <c r="S152">
        <v>0</v>
      </c>
      <c r="T152">
        <v>0</v>
      </c>
      <c r="U152">
        <v>965</v>
      </c>
      <c r="V152" t="s">
        <v>57</v>
      </c>
      <c r="W152">
        <v>0</v>
      </c>
      <c r="X152">
        <v>0</v>
      </c>
      <c r="Y152">
        <v>0</v>
      </c>
      <c r="Z152">
        <v>0</v>
      </c>
      <c r="AA152" t="s">
        <v>67</v>
      </c>
      <c r="AB152">
        <v>0</v>
      </c>
      <c r="AC152">
        <v>0</v>
      </c>
      <c r="AD152">
        <v>0</v>
      </c>
      <c r="AE152">
        <v>0</v>
      </c>
      <c r="AF152" t="s">
        <v>60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s">
        <v>58</v>
      </c>
      <c r="AM152" t="s">
        <v>58</v>
      </c>
      <c r="AN152" t="s">
        <v>71</v>
      </c>
      <c r="AO152">
        <v>14</v>
      </c>
      <c r="AP152">
        <v>6</v>
      </c>
      <c r="AQ152">
        <v>7</v>
      </c>
      <c r="AR152">
        <v>11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s">
        <v>61</v>
      </c>
      <c r="BA152" t="s">
        <v>57</v>
      </c>
      <c r="BB152" t="s">
        <v>55</v>
      </c>
      <c r="BC152" t="s">
        <v>58</v>
      </c>
      <c r="BD152" t="s">
        <v>58</v>
      </c>
    </row>
    <row r="153" spans="1:56" x14ac:dyDescent="0.25">
      <c r="A153" t="str" cm="1">
        <f t="array" ref="A153">_xlfn.XLOOKUP(RIGHT(M153,8),TeamIdentity!C:C,TeamIdentity!A:A,NONE)</f>
        <v>Patriots</v>
      </c>
      <c r="B153" t="str" cm="1">
        <f t="array" ref="B153">_xlfn.XLOOKUP(RIGHT(F153,8),TeamIdentity!C:C,TeamIdentity!A:A,NONE)</f>
        <v>Raiders</v>
      </c>
      <c r="C153" t="s">
        <v>54</v>
      </c>
      <c r="D153" t="s">
        <v>54</v>
      </c>
      <c r="E153" t="s">
        <v>54</v>
      </c>
      <c r="F153" t="s">
        <v>525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512</v>
      </c>
      <c r="N153">
        <v>-1</v>
      </c>
      <c r="O153">
        <v>0</v>
      </c>
      <c r="P153">
        <v>-1</v>
      </c>
      <c r="Q153">
        <v>0</v>
      </c>
      <c r="R153" t="s">
        <v>70</v>
      </c>
      <c r="S153">
        <v>0</v>
      </c>
      <c r="T153">
        <v>0</v>
      </c>
      <c r="U153">
        <v>1220</v>
      </c>
      <c r="V153" t="s">
        <v>57</v>
      </c>
      <c r="W153">
        <v>0</v>
      </c>
      <c r="X153">
        <v>0</v>
      </c>
      <c r="Y153">
        <v>0</v>
      </c>
      <c r="Z153">
        <v>0</v>
      </c>
      <c r="AA153" t="s">
        <v>60</v>
      </c>
      <c r="AB153">
        <v>0</v>
      </c>
      <c r="AC153">
        <v>0</v>
      </c>
      <c r="AD153">
        <v>0</v>
      </c>
      <c r="AE153">
        <v>0</v>
      </c>
      <c r="AF153" t="s">
        <v>60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s">
        <v>58</v>
      </c>
      <c r="AM153" t="s">
        <v>58</v>
      </c>
      <c r="AN153" t="s">
        <v>71</v>
      </c>
      <c r="AO153">
        <v>14</v>
      </c>
      <c r="AP153">
        <v>6</v>
      </c>
      <c r="AQ153">
        <v>10</v>
      </c>
      <c r="AR153">
        <v>11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s">
        <v>61</v>
      </c>
      <c r="BA153" t="s">
        <v>57</v>
      </c>
      <c r="BB153" t="s">
        <v>55</v>
      </c>
      <c r="BC153" t="s">
        <v>58</v>
      </c>
      <c r="BD153" t="s">
        <v>58</v>
      </c>
    </row>
    <row r="154" spans="1:56" x14ac:dyDescent="0.25">
      <c r="A154" t="str" cm="1">
        <f t="array" ref="A154">_xlfn.XLOOKUP(RIGHT(M154,8),TeamIdentity!C:C,TeamIdentity!A:A,NONE)</f>
        <v>Packers</v>
      </c>
      <c r="B154" t="str" cm="1">
        <f t="array" ref="B154">_xlfn.XLOOKUP(RIGHT(F154,8),TeamIdentity!C:C,TeamIdentity!A:A,NONE)</f>
        <v>Broncos</v>
      </c>
      <c r="C154" t="s">
        <v>54</v>
      </c>
      <c r="D154" t="s">
        <v>54</v>
      </c>
      <c r="E154" t="s">
        <v>54</v>
      </c>
      <c r="F154" t="s">
        <v>539</v>
      </c>
      <c r="G154" t="s">
        <v>54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529</v>
      </c>
      <c r="N154">
        <v>-1</v>
      </c>
      <c r="O154">
        <v>0</v>
      </c>
      <c r="P154">
        <v>-1</v>
      </c>
      <c r="Q154">
        <v>0</v>
      </c>
      <c r="R154" t="s">
        <v>70</v>
      </c>
      <c r="S154">
        <v>0</v>
      </c>
      <c r="T154">
        <v>0</v>
      </c>
      <c r="U154">
        <v>780</v>
      </c>
      <c r="V154" t="s">
        <v>57</v>
      </c>
      <c r="W154">
        <v>0</v>
      </c>
      <c r="X154">
        <v>0</v>
      </c>
      <c r="Y154">
        <v>0</v>
      </c>
      <c r="Z154">
        <v>0</v>
      </c>
      <c r="AA154" t="s">
        <v>67</v>
      </c>
      <c r="AB154">
        <v>0</v>
      </c>
      <c r="AC154">
        <v>0</v>
      </c>
      <c r="AD154">
        <v>0</v>
      </c>
      <c r="AE154">
        <v>0</v>
      </c>
      <c r="AF154" t="s">
        <v>60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s">
        <v>58</v>
      </c>
      <c r="AM154" t="s">
        <v>58</v>
      </c>
      <c r="AN154" t="s">
        <v>71</v>
      </c>
      <c r="AO154">
        <v>14</v>
      </c>
      <c r="AP154">
        <v>8</v>
      </c>
      <c r="AQ154">
        <v>0</v>
      </c>
      <c r="AR154">
        <v>11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s">
        <v>61</v>
      </c>
      <c r="BA154" t="s">
        <v>57</v>
      </c>
      <c r="BB154" t="s">
        <v>55</v>
      </c>
      <c r="BC154" t="s">
        <v>58</v>
      </c>
      <c r="BD154" t="s">
        <v>58</v>
      </c>
    </row>
    <row r="155" spans="1:56" x14ac:dyDescent="0.25">
      <c r="A155" t="str" cm="1">
        <f t="array" ref="A155">_xlfn.XLOOKUP(RIGHT(M155,8),TeamIdentity!C:C,TeamIdentity!A:A,NONE)</f>
        <v>Dolphins</v>
      </c>
      <c r="B155" t="str" cm="1">
        <f t="array" ref="B155">_xlfn.XLOOKUP(RIGHT(F155,8),TeamIdentity!C:C,TeamIdentity!A:A,NONE)</f>
        <v>Chiefs</v>
      </c>
      <c r="C155" t="s">
        <v>54</v>
      </c>
      <c r="D155" t="s">
        <v>54</v>
      </c>
      <c r="E155" t="s">
        <v>54</v>
      </c>
      <c r="F155" t="s">
        <v>535</v>
      </c>
      <c r="G155" t="s">
        <v>54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516</v>
      </c>
      <c r="N155">
        <v>-1</v>
      </c>
      <c r="O155">
        <v>0</v>
      </c>
      <c r="P155">
        <v>-1</v>
      </c>
      <c r="Q155">
        <v>0</v>
      </c>
      <c r="R155" t="s">
        <v>70</v>
      </c>
      <c r="S155">
        <v>0</v>
      </c>
      <c r="T155">
        <v>0</v>
      </c>
      <c r="U155">
        <v>780</v>
      </c>
      <c r="V155" t="s">
        <v>57</v>
      </c>
      <c r="W155">
        <v>0</v>
      </c>
      <c r="X155">
        <v>0</v>
      </c>
      <c r="Y155">
        <v>0</v>
      </c>
      <c r="Z155">
        <v>0</v>
      </c>
      <c r="AA155" t="s">
        <v>67</v>
      </c>
      <c r="AB155">
        <v>0</v>
      </c>
      <c r="AC155">
        <v>0</v>
      </c>
      <c r="AD155">
        <v>0</v>
      </c>
      <c r="AE155">
        <v>0</v>
      </c>
      <c r="AF155" t="s">
        <v>60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s">
        <v>58</v>
      </c>
      <c r="AM155" t="s">
        <v>58</v>
      </c>
      <c r="AN155" t="s">
        <v>71</v>
      </c>
      <c r="AO155">
        <v>14</v>
      </c>
      <c r="AP155">
        <v>7</v>
      </c>
      <c r="AQ155">
        <v>1</v>
      </c>
      <c r="AR155">
        <v>11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s">
        <v>61</v>
      </c>
      <c r="BA155" t="s">
        <v>57</v>
      </c>
      <c r="BB155" t="s">
        <v>55</v>
      </c>
      <c r="BC155" t="s">
        <v>58</v>
      </c>
      <c r="BD155" t="s">
        <v>58</v>
      </c>
    </row>
    <row r="156" spans="1:56" x14ac:dyDescent="0.25">
      <c r="A156" t="str" cm="1">
        <f t="array" ref="A156">_xlfn.XLOOKUP(RIGHT(M156,8),TeamIdentity!C:C,TeamIdentity!A:A,NONE)</f>
        <v>49ers</v>
      </c>
      <c r="B156" t="str" cm="1">
        <f t="array" ref="B156">_xlfn.XLOOKUP(RIGHT(F156,8),TeamIdentity!C:C,TeamIdentity!A:A,NONE)</f>
        <v>Ravens</v>
      </c>
      <c r="C156" t="s">
        <v>54</v>
      </c>
      <c r="D156" t="s">
        <v>54</v>
      </c>
      <c r="E156" t="s">
        <v>54</v>
      </c>
      <c r="F156" t="s">
        <v>520</v>
      </c>
      <c r="G156" t="s">
        <v>54</v>
      </c>
      <c r="H156" t="s">
        <v>54</v>
      </c>
      <c r="I156" t="s">
        <v>54</v>
      </c>
      <c r="J156" t="s">
        <v>54</v>
      </c>
      <c r="K156" t="s">
        <v>54</v>
      </c>
      <c r="L156" t="s">
        <v>54</v>
      </c>
      <c r="M156" t="s">
        <v>533</v>
      </c>
      <c r="N156">
        <v>-1</v>
      </c>
      <c r="O156">
        <v>0</v>
      </c>
      <c r="P156">
        <v>-1</v>
      </c>
      <c r="Q156">
        <v>0</v>
      </c>
      <c r="R156" t="s">
        <v>70</v>
      </c>
      <c r="S156">
        <v>0</v>
      </c>
      <c r="T156">
        <v>0</v>
      </c>
      <c r="U156">
        <v>975</v>
      </c>
      <c r="V156" t="s">
        <v>57</v>
      </c>
      <c r="W156">
        <v>0</v>
      </c>
      <c r="X156">
        <v>0</v>
      </c>
      <c r="Y156">
        <v>0</v>
      </c>
      <c r="Z156">
        <v>0</v>
      </c>
      <c r="AA156" t="s">
        <v>67</v>
      </c>
      <c r="AB156">
        <v>0</v>
      </c>
      <c r="AC156">
        <v>0</v>
      </c>
      <c r="AD156">
        <v>0</v>
      </c>
      <c r="AE156">
        <v>0</v>
      </c>
      <c r="AF156" t="s">
        <v>60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s">
        <v>58</v>
      </c>
      <c r="AM156" t="s">
        <v>58</v>
      </c>
      <c r="AN156" t="s">
        <v>71</v>
      </c>
      <c r="AO156">
        <v>14</v>
      </c>
      <c r="AP156">
        <v>8</v>
      </c>
      <c r="AQ156">
        <v>9</v>
      </c>
      <c r="AR156">
        <v>11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s">
        <v>61</v>
      </c>
      <c r="BA156" t="s">
        <v>57</v>
      </c>
      <c r="BB156" t="s">
        <v>55</v>
      </c>
      <c r="BC156" t="s">
        <v>58</v>
      </c>
      <c r="BD156" t="s">
        <v>58</v>
      </c>
    </row>
    <row r="157" spans="1:56" x14ac:dyDescent="0.25">
      <c r="A157" t="str" cm="1">
        <f t="array" ref="A157">_xlfn.XLOOKUP(RIGHT(M157,8),TeamIdentity!C:C,TeamIdentity!A:A,NONE)</f>
        <v>Patriots</v>
      </c>
      <c r="B157" t="str" cm="1">
        <f t="array" ref="B157">_xlfn.XLOOKUP(RIGHT(F157,8),TeamIdentity!C:C,TeamIdentity!A:A,NONE)</f>
        <v>Texans</v>
      </c>
      <c r="C157" t="s">
        <v>54</v>
      </c>
      <c r="D157" t="s">
        <v>54</v>
      </c>
      <c r="E157" t="s">
        <v>54</v>
      </c>
      <c r="F157" t="s">
        <v>517</v>
      </c>
      <c r="G157" t="s">
        <v>54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512</v>
      </c>
      <c r="N157">
        <v>-1</v>
      </c>
      <c r="O157">
        <v>0</v>
      </c>
      <c r="P157">
        <v>-1</v>
      </c>
      <c r="Q157">
        <v>0</v>
      </c>
      <c r="R157" t="s">
        <v>70</v>
      </c>
      <c r="S157">
        <v>0</v>
      </c>
      <c r="T157">
        <v>0</v>
      </c>
      <c r="U157">
        <v>780</v>
      </c>
      <c r="V157" t="s">
        <v>57</v>
      </c>
      <c r="W157">
        <v>0</v>
      </c>
      <c r="X157">
        <v>0</v>
      </c>
      <c r="Y157">
        <v>0</v>
      </c>
      <c r="Z157">
        <v>0</v>
      </c>
      <c r="AA157" t="s">
        <v>67</v>
      </c>
      <c r="AB157">
        <v>0</v>
      </c>
      <c r="AC157">
        <v>0</v>
      </c>
      <c r="AD157">
        <v>0</v>
      </c>
      <c r="AE157">
        <v>0</v>
      </c>
      <c r="AF157" t="s">
        <v>60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s">
        <v>58</v>
      </c>
      <c r="AM157" t="s">
        <v>58</v>
      </c>
      <c r="AN157" t="s">
        <v>71</v>
      </c>
      <c r="AO157">
        <v>14</v>
      </c>
      <c r="AP157">
        <v>7</v>
      </c>
      <c r="AQ157">
        <v>2</v>
      </c>
      <c r="AR157">
        <v>11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s">
        <v>61</v>
      </c>
      <c r="BA157" t="s">
        <v>57</v>
      </c>
      <c r="BB157" t="s">
        <v>55</v>
      </c>
      <c r="BC157" t="s">
        <v>58</v>
      </c>
      <c r="BD157" t="s">
        <v>58</v>
      </c>
    </row>
    <row r="158" spans="1:56" x14ac:dyDescent="0.25">
      <c r="A158" t="str" cm="1">
        <f t="array" ref="A158">_xlfn.XLOOKUP(RIGHT(M158,8),TeamIdentity!C:C,TeamIdentity!A:A,NONE)</f>
        <v>Steelers</v>
      </c>
      <c r="B158" t="str" cm="1">
        <f t="array" ref="B158">_xlfn.XLOOKUP(RIGHT(F158,8),TeamIdentity!C:C,TeamIdentity!A:A,NONE)</f>
        <v>Ravens</v>
      </c>
      <c r="C158" t="s">
        <v>54</v>
      </c>
      <c r="D158" t="s">
        <v>54</v>
      </c>
      <c r="E158" t="s">
        <v>54</v>
      </c>
      <c r="F158" t="s">
        <v>520</v>
      </c>
      <c r="G158" t="s">
        <v>54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518</v>
      </c>
      <c r="N158">
        <v>-1</v>
      </c>
      <c r="O158">
        <v>0</v>
      </c>
      <c r="P158">
        <v>-1</v>
      </c>
      <c r="Q158">
        <v>0</v>
      </c>
      <c r="R158" t="s">
        <v>70</v>
      </c>
      <c r="S158">
        <v>0</v>
      </c>
      <c r="T158">
        <v>0</v>
      </c>
      <c r="U158">
        <v>1220</v>
      </c>
      <c r="V158" t="s">
        <v>57</v>
      </c>
      <c r="W158">
        <v>0</v>
      </c>
      <c r="X158">
        <v>0</v>
      </c>
      <c r="Y158">
        <v>0</v>
      </c>
      <c r="Z158">
        <v>0</v>
      </c>
      <c r="AA158" t="s">
        <v>68</v>
      </c>
      <c r="AB158">
        <v>0</v>
      </c>
      <c r="AC158">
        <v>0</v>
      </c>
      <c r="AD158">
        <v>0</v>
      </c>
      <c r="AE158">
        <v>0</v>
      </c>
      <c r="AF158" t="s">
        <v>68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s">
        <v>58</v>
      </c>
      <c r="AM158" t="s">
        <v>58</v>
      </c>
      <c r="AN158" t="s">
        <v>71</v>
      </c>
      <c r="AO158">
        <v>14</v>
      </c>
      <c r="AP158">
        <v>7</v>
      </c>
      <c r="AQ158">
        <v>14</v>
      </c>
      <c r="AR158">
        <v>11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s">
        <v>61</v>
      </c>
      <c r="BA158" t="s">
        <v>57</v>
      </c>
      <c r="BB158" t="s">
        <v>55</v>
      </c>
      <c r="BC158" t="s">
        <v>58</v>
      </c>
      <c r="BD158" t="s">
        <v>58</v>
      </c>
    </row>
    <row r="159" spans="1:56" x14ac:dyDescent="0.25">
      <c r="A159" t="str" cm="1">
        <f t="array" ref="A159">_xlfn.XLOOKUP(RIGHT(M159,8),TeamIdentity!C:C,TeamIdentity!A:A,NONE)</f>
        <v>Titans</v>
      </c>
      <c r="B159" t="str" cm="1">
        <f t="array" ref="B159">_xlfn.XLOOKUP(RIGHT(F159,8),TeamIdentity!C:C,TeamIdentity!A:A,NONE)</f>
        <v>Texans</v>
      </c>
      <c r="C159" t="s">
        <v>54</v>
      </c>
      <c r="D159" t="s">
        <v>54</v>
      </c>
      <c r="E159" t="s">
        <v>54</v>
      </c>
      <c r="F159" t="s">
        <v>517</v>
      </c>
      <c r="G159" t="s">
        <v>54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534</v>
      </c>
      <c r="N159">
        <v>-1</v>
      </c>
      <c r="O159">
        <v>0</v>
      </c>
      <c r="P159">
        <v>-1</v>
      </c>
      <c r="Q159">
        <v>0</v>
      </c>
      <c r="R159" t="s">
        <v>70</v>
      </c>
      <c r="S159">
        <v>0</v>
      </c>
      <c r="T159">
        <v>0</v>
      </c>
      <c r="U159">
        <v>780</v>
      </c>
      <c r="V159" t="s">
        <v>57</v>
      </c>
      <c r="W159">
        <v>0</v>
      </c>
      <c r="X159">
        <v>0</v>
      </c>
      <c r="Y159">
        <v>0</v>
      </c>
      <c r="Z159">
        <v>0</v>
      </c>
      <c r="AA159" t="s">
        <v>67</v>
      </c>
      <c r="AB159">
        <v>0</v>
      </c>
      <c r="AC159">
        <v>0</v>
      </c>
      <c r="AD159">
        <v>0</v>
      </c>
      <c r="AE159">
        <v>0</v>
      </c>
      <c r="AF159" t="s">
        <v>60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s">
        <v>58</v>
      </c>
      <c r="AM159" t="s">
        <v>58</v>
      </c>
      <c r="AN159" t="s">
        <v>71</v>
      </c>
      <c r="AO159">
        <v>14</v>
      </c>
      <c r="AP159">
        <v>8</v>
      </c>
      <c r="AQ159">
        <v>1</v>
      </c>
      <c r="AR159">
        <v>11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s">
        <v>61</v>
      </c>
      <c r="BA159" t="s">
        <v>57</v>
      </c>
      <c r="BB159" t="s">
        <v>55</v>
      </c>
      <c r="BC159" t="s">
        <v>58</v>
      </c>
      <c r="BD159" t="s">
        <v>58</v>
      </c>
    </row>
    <row r="160" spans="1:56" x14ac:dyDescent="0.25">
      <c r="A160" t="str" cm="1">
        <f t="array" ref="A160">_xlfn.XLOOKUP(RIGHT(M160,8),TeamIdentity!C:C,TeamIdentity!A:A,NONE)</f>
        <v>Bengals</v>
      </c>
      <c r="B160" t="str" cm="1">
        <f t="array" ref="B160">_xlfn.XLOOKUP(RIGHT(F160,8),TeamIdentity!C:C,TeamIdentity!A:A,NONE)</f>
        <v>Browns</v>
      </c>
      <c r="C160" t="s">
        <v>54</v>
      </c>
      <c r="D160" t="s">
        <v>54</v>
      </c>
      <c r="E160" t="s">
        <v>54</v>
      </c>
      <c r="F160" t="s">
        <v>530</v>
      </c>
      <c r="G160" t="s">
        <v>54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532</v>
      </c>
      <c r="N160">
        <v>-1</v>
      </c>
      <c r="O160">
        <v>0</v>
      </c>
      <c r="P160">
        <v>-1</v>
      </c>
      <c r="Q160">
        <v>0</v>
      </c>
      <c r="R160" t="s">
        <v>70</v>
      </c>
      <c r="S160">
        <v>0</v>
      </c>
      <c r="T160">
        <v>0</v>
      </c>
      <c r="U160">
        <v>1230</v>
      </c>
      <c r="V160" t="s">
        <v>57</v>
      </c>
      <c r="W160">
        <v>0</v>
      </c>
      <c r="X160">
        <v>0</v>
      </c>
      <c r="Y160">
        <v>0</v>
      </c>
      <c r="Z160">
        <v>0</v>
      </c>
      <c r="AA160" t="s">
        <v>65</v>
      </c>
      <c r="AB160">
        <v>0</v>
      </c>
      <c r="AC160">
        <v>0</v>
      </c>
      <c r="AD160">
        <v>0</v>
      </c>
      <c r="AE160">
        <v>0</v>
      </c>
      <c r="AF160" t="s">
        <v>65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s">
        <v>58</v>
      </c>
      <c r="AM160" t="s">
        <v>58</v>
      </c>
      <c r="AN160" t="s">
        <v>71</v>
      </c>
      <c r="AO160">
        <v>14</v>
      </c>
      <c r="AP160">
        <v>6</v>
      </c>
      <c r="AQ160">
        <v>11</v>
      </c>
      <c r="AR160">
        <v>11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s">
        <v>61</v>
      </c>
      <c r="BA160" t="s">
        <v>57</v>
      </c>
      <c r="BB160" t="s">
        <v>55</v>
      </c>
      <c r="BC160" t="s">
        <v>58</v>
      </c>
      <c r="BD160" t="s">
        <v>58</v>
      </c>
    </row>
    <row r="161" spans="1:56" x14ac:dyDescent="0.25">
      <c r="A161" t="str" cm="1">
        <f t="array" ref="A161">_xlfn.XLOOKUP(RIGHT(M161,8),TeamIdentity!C:C,TeamIdentity!A:A,NONE)</f>
        <v>Cardinals</v>
      </c>
      <c r="B161" t="str" cm="1">
        <f t="array" ref="B161">_xlfn.XLOOKUP(RIGHT(F161,8),TeamIdentity!C:C,TeamIdentity!A:A,NONE)</f>
        <v>Lions</v>
      </c>
      <c r="C161" t="s">
        <v>54</v>
      </c>
      <c r="D161" t="s">
        <v>54</v>
      </c>
      <c r="E161" t="s">
        <v>54</v>
      </c>
      <c r="F161" t="s">
        <v>513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538</v>
      </c>
      <c r="N161">
        <v>-1</v>
      </c>
      <c r="O161">
        <v>0</v>
      </c>
      <c r="P161">
        <v>-1</v>
      </c>
      <c r="Q161">
        <v>0</v>
      </c>
      <c r="R161" t="s">
        <v>70</v>
      </c>
      <c r="S161">
        <v>0</v>
      </c>
      <c r="T161">
        <v>0</v>
      </c>
      <c r="U161">
        <v>975</v>
      </c>
      <c r="V161" t="s">
        <v>57</v>
      </c>
      <c r="W161">
        <v>0</v>
      </c>
      <c r="X161">
        <v>0</v>
      </c>
      <c r="Y161">
        <v>0</v>
      </c>
      <c r="Z161">
        <v>0</v>
      </c>
      <c r="AA161" t="s">
        <v>67</v>
      </c>
      <c r="AB161">
        <v>0</v>
      </c>
      <c r="AC161">
        <v>0</v>
      </c>
      <c r="AD161">
        <v>0</v>
      </c>
      <c r="AE161">
        <v>0</v>
      </c>
      <c r="AF161" t="s">
        <v>60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s">
        <v>58</v>
      </c>
      <c r="AM161" t="s">
        <v>58</v>
      </c>
      <c r="AN161" t="s">
        <v>71</v>
      </c>
      <c r="AO161">
        <v>14</v>
      </c>
      <c r="AP161">
        <v>6</v>
      </c>
      <c r="AQ161">
        <v>9</v>
      </c>
      <c r="AR161">
        <v>11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s">
        <v>61</v>
      </c>
      <c r="BA161" t="s">
        <v>57</v>
      </c>
      <c r="BB161" t="s">
        <v>55</v>
      </c>
      <c r="BC161" t="s">
        <v>58</v>
      </c>
      <c r="BD161" t="s">
        <v>58</v>
      </c>
    </row>
    <row r="162" spans="1:56" x14ac:dyDescent="0.25">
      <c r="A162" t="str" cm="1">
        <f t="array" ref="A162">_xlfn.XLOOKUP(RIGHT(M162,8),TeamIdentity!C:C,TeamIdentity!A:A,NONE)</f>
        <v>Seahawks</v>
      </c>
      <c r="B162" t="str" cm="1">
        <f t="array" ref="B162">_xlfn.XLOOKUP(RIGHT(F162,8),TeamIdentity!C:C,TeamIdentity!A:A,NONE)</f>
        <v>Cardinals</v>
      </c>
      <c r="C162" t="s">
        <v>54</v>
      </c>
      <c r="D162" t="s">
        <v>54</v>
      </c>
      <c r="E162" t="s">
        <v>54</v>
      </c>
      <c r="F162" t="s">
        <v>538</v>
      </c>
      <c r="G162" t="s">
        <v>54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527</v>
      </c>
      <c r="N162">
        <v>-1</v>
      </c>
      <c r="O162">
        <v>0</v>
      </c>
      <c r="P162">
        <v>-1</v>
      </c>
      <c r="Q162">
        <v>0</v>
      </c>
      <c r="R162" t="s">
        <v>70</v>
      </c>
      <c r="S162">
        <v>0</v>
      </c>
      <c r="T162">
        <v>0</v>
      </c>
      <c r="U162">
        <v>975</v>
      </c>
      <c r="V162" t="s">
        <v>57</v>
      </c>
      <c r="W162">
        <v>0</v>
      </c>
      <c r="X162">
        <v>0</v>
      </c>
      <c r="Y162">
        <v>0</v>
      </c>
      <c r="Z162">
        <v>0</v>
      </c>
      <c r="AA162" t="s">
        <v>67</v>
      </c>
      <c r="AB162">
        <v>0</v>
      </c>
      <c r="AC162">
        <v>0</v>
      </c>
      <c r="AD162">
        <v>0</v>
      </c>
      <c r="AE162">
        <v>0</v>
      </c>
      <c r="AF162" t="s">
        <v>60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s">
        <v>58</v>
      </c>
      <c r="AM162" t="s">
        <v>58</v>
      </c>
      <c r="AN162" t="s">
        <v>71</v>
      </c>
      <c r="AO162">
        <v>14</v>
      </c>
      <c r="AP162">
        <v>7</v>
      </c>
      <c r="AQ162">
        <v>9</v>
      </c>
      <c r="AR162">
        <v>11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s">
        <v>61</v>
      </c>
      <c r="BA162" t="s">
        <v>57</v>
      </c>
      <c r="BB162" t="s">
        <v>55</v>
      </c>
      <c r="BC162" t="s">
        <v>58</v>
      </c>
      <c r="BD162" t="s">
        <v>58</v>
      </c>
    </row>
    <row r="163" spans="1:56" x14ac:dyDescent="0.25">
      <c r="A163" t="str" cm="1">
        <f t="array" ref="A163">_xlfn.XLOOKUP(RIGHT(M163,8),TeamIdentity!C:C,TeamIdentity!A:A,NONE)</f>
        <v>Bears</v>
      </c>
      <c r="B163" t="str" cm="1">
        <f t="array" ref="B163">_xlfn.XLOOKUP(RIGHT(F163,8),TeamIdentity!C:C,TeamIdentity!A:A,NONE)</f>
        <v>Chargers</v>
      </c>
      <c r="C163" t="s">
        <v>54</v>
      </c>
      <c r="D163" t="s">
        <v>54</v>
      </c>
      <c r="E163" t="s">
        <v>54</v>
      </c>
      <c r="F163" t="s">
        <v>528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523</v>
      </c>
      <c r="N163">
        <v>-1</v>
      </c>
      <c r="O163">
        <v>0</v>
      </c>
      <c r="P163">
        <v>-1</v>
      </c>
      <c r="Q163">
        <v>0</v>
      </c>
      <c r="R163" t="s">
        <v>70</v>
      </c>
      <c r="S163">
        <v>0</v>
      </c>
      <c r="T163">
        <v>0</v>
      </c>
      <c r="U163">
        <v>780</v>
      </c>
      <c r="V163" t="s">
        <v>57</v>
      </c>
      <c r="W163">
        <v>0</v>
      </c>
      <c r="X163">
        <v>0</v>
      </c>
      <c r="Y163">
        <v>0</v>
      </c>
      <c r="Z163">
        <v>0</v>
      </c>
      <c r="AA163" t="s">
        <v>67</v>
      </c>
      <c r="AB163">
        <v>0</v>
      </c>
      <c r="AC163">
        <v>0</v>
      </c>
      <c r="AD163">
        <v>0</v>
      </c>
      <c r="AE163">
        <v>0</v>
      </c>
      <c r="AF163" t="s">
        <v>60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s">
        <v>58</v>
      </c>
      <c r="AM163" t="s">
        <v>58</v>
      </c>
      <c r="AN163" t="s">
        <v>71</v>
      </c>
      <c r="AO163">
        <v>14</v>
      </c>
      <c r="AP163">
        <v>5</v>
      </c>
      <c r="AQ163">
        <v>6</v>
      </c>
      <c r="AR163">
        <v>11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s">
        <v>61</v>
      </c>
      <c r="BA163" t="s">
        <v>57</v>
      </c>
      <c r="BB163" t="s">
        <v>55</v>
      </c>
      <c r="BC163" t="s">
        <v>58</v>
      </c>
      <c r="BD163" t="s">
        <v>58</v>
      </c>
    </row>
    <row r="164" spans="1:56" x14ac:dyDescent="0.25">
      <c r="A164" t="str" cm="1">
        <f t="array" ref="A164">_xlfn.XLOOKUP(RIGHT(M164,8),TeamIdentity!C:C,TeamIdentity!A:A,NONE)</f>
        <v>Falcons</v>
      </c>
      <c r="B164" t="str" cm="1">
        <f t="array" ref="B164">_xlfn.XLOOKUP(RIGHT(F164,8),TeamIdentity!C:C,TeamIdentity!A:A,NONE)</f>
        <v>Bills</v>
      </c>
      <c r="C164" t="s">
        <v>54</v>
      </c>
      <c r="D164" t="s">
        <v>54</v>
      </c>
      <c r="E164" t="s">
        <v>54</v>
      </c>
      <c r="F164" t="s">
        <v>524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515</v>
      </c>
      <c r="N164">
        <v>-1</v>
      </c>
      <c r="O164">
        <v>0</v>
      </c>
      <c r="P164">
        <v>-1</v>
      </c>
      <c r="Q164">
        <v>0</v>
      </c>
      <c r="R164" t="s">
        <v>70</v>
      </c>
      <c r="S164">
        <v>0</v>
      </c>
      <c r="T164">
        <v>0</v>
      </c>
      <c r="U164">
        <v>780</v>
      </c>
      <c r="V164" t="s">
        <v>57</v>
      </c>
      <c r="W164">
        <v>0</v>
      </c>
      <c r="X164">
        <v>0</v>
      </c>
      <c r="Y164">
        <v>0</v>
      </c>
      <c r="Z164">
        <v>0</v>
      </c>
      <c r="AA164" t="s">
        <v>67</v>
      </c>
      <c r="AB164">
        <v>0</v>
      </c>
      <c r="AC164">
        <v>0</v>
      </c>
      <c r="AD164">
        <v>0</v>
      </c>
      <c r="AE164">
        <v>0</v>
      </c>
      <c r="AF164" t="s">
        <v>60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s">
        <v>58</v>
      </c>
      <c r="AM164" t="s">
        <v>58</v>
      </c>
      <c r="AN164" t="s">
        <v>71</v>
      </c>
      <c r="AO164">
        <v>14</v>
      </c>
      <c r="AP164">
        <v>7</v>
      </c>
      <c r="AQ164">
        <v>3</v>
      </c>
      <c r="AR164">
        <v>11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s">
        <v>61</v>
      </c>
      <c r="BA164" t="s">
        <v>57</v>
      </c>
      <c r="BB164" t="s">
        <v>55</v>
      </c>
      <c r="BC164" t="s">
        <v>58</v>
      </c>
      <c r="BD164" t="s">
        <v>58</v>
      </c>
    </row>
    <row r="165" spans="1:56" x14ac:dyDescent="0.25">
      <c r="A165" t="str" cm="1">
        <f t="array" ref="A165">_xlfn.XLOOKUP(RIGHT(M165,8),TeamIdentity!C:C,TeamIdentity!A:A,NONE)</f>
        <v>Buccaneers</v>
      </c>
      <c r="B165" t="str" cm="1">
        <f t="array" ref="B165">_xlfn.XLOOKUP(RIGHT(F165,8),TeamIdentity!C:C,TeamIdentity!A:A,NONE)</f>
        <v>Jaguars</v>
      </c>
      <c r="C165" t="s">
        <v>54</v>
      </c>
      <c r="D165" t="s">
        <v>54</v>
      </c>
      <c r="E165" t="s">
        <v>54</v>
      </c>
      <c r="F165" t="s">
        <v>536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531</v>
      </c>
      <c r="N165">
        <v>-1</v>
      </c>
      <c r="O165">
        <v>0</v>
      </c>
      <c r="P165">
        <v>-1</v>
      </c>
      <c r="Q165">
        <v>0</v>
      </c>
      <c r="R165" t="s">
        <v>70</v>
      </c>
      <c r="S165">
        <v>0</v>
      </c>
      <c r="T165">
        <v>0</v>
      </c>
      <c r="U165">
        <v>1230</v>
      </c>
      <c r="V165" t="s">
        <v>57</v>
      </c>
      <c r="W165">
        <v>0</v>
      </c>
      <c r="X165">
        <v>0</v>
      </c>
      <c r="Y165">
        <v>0</v>
      </c>
      <c r="Z165">
        <v>0</v>
      </c>
      <c r="AA165" t="s">
        <v>65</v>
      </c>
      <c r="AB165">
        <v>0</v>
      </c>
      <c r="AC165">
        <v>0</v>
      </c>
      <c r="AD165">
        <v>0</v>
      </c>
      <c r="AE165">
        <v>0</v>
      </c>
      <c r="AF165" t="s">
        <v>65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s">
        <v>58</v>
      </c>
      <c r="AM165" t="s">
        <v>58</v>
      </c>
      <c r="AN165" t="s">
        <v>71</v>
      </c>
      <c r="AO165">
        <v>14</v>
      </c>
      <c r="AP165">
        <v>7</v>
      </c>
      <c r="AQ165">
        <v>13</v>
      </c>
      <c r="AR165">
        <v>11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s">
        <v>61</v>
      </c>
      <c r="BA165" t="s">
        <v>57</v>
      </c>
      <c r="BB165" t="s">
        <v>55</v>
      </c>
      <c r="BC165" t="s">
        <v>58</v>
      </c>
      <c r="BD165" t="s">
        <v>58</v>
      </c>
    </row>
    <row r="166" spans="1:56" x14ac:dyDescent="0.25">
      <c r="A166" t="str" cm="1">
        <f t="array" ref="A166">_xlfn.XLOOKUP(RIGHT(M166,8),TeamIdentity!C:C,TeamIdentity!A:A,NONE)</f>
        <v>Jets</v>
      </c>
      <c r="B166" t="str" cm="1">
        <f t="array" ref="B166">_xlfn.XLOOKUP(RIGHT(F166,8),TeamIdentity!C:C,TeamIdentity!A:A,NONE)</f>
        <v>Titans</v>
      </c>
      <c r="C166" t="s">
        <v>54</v>
      </c>
      <c r="D166" t="s">
        <v>54</v>
      </c>
      <c r="E166" t="s">
        <v>54</v>
      </c>
      <c r="F166" t="s">
        <v>534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522</v>
      </c>
      <c r="N166">
        <v>-1</v>
      </c>
      <c r="O166">
        <v>0</v>
      </c>
      <c r="P166">
        <v>-1</v>
      </c>
      <c r="Q166">
        <v>0</v>
      </c>
      <c r="R166" t="s">
        <v>70</v>
      </c>
      <c r="S166">
        <v>0</v>
      </c>
      <c r="T166">
        <v>0</v>
      </c>
      <c r="U166">
        <v>780</v>
      </c>
      <c r="V166" t="s">
        <v>57</v>
      </c>
      <c r="W166">
        <v>0</v>
      </c>
      <c r="X166">
        <v>0</v>
      </c>
      <c r="Y166">
        <v>0</v>
      </c>
      <c r="Z166">
        <v>0</v>
      </c>
      <c r="AA166" t="s">
        <v>67</v>
      </c>
      <c r="AB166">
        <v>0</v>
      </c>
      <c r="AC166">
        <v>0</v>
      </c>
      <c r="AD166">
        <v>0</v>
      </c>
      <c r="AE166">
        <v>0</v>
      </c>
      <c r="AF166" t="s">
        <v>60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s">
        <v>58</v>
      </c>
      <c r="AM166" t="s">
        <v>58</v>
      </c>
      <c r="AN166" t="s">
        <v>71</v>
      </c>
      <c r="AO166">
        <v>14</v>
      </c>
      <c r="AP166">
        <v>7</v>
      </c>
      <c r="AQ166">
        <v>4</v>
      </c>
      <c r="AR166">
        <v>11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s">
        <v>61</v>
      </c>
      <c r="BA166" t="s">
        <v>57</v>
      </c>
      <c r="BB166" t="s">
        <v>55</v>
      </c>
      <c r="BC166" t="s">
        <v>58</v>
      </c>
      <c r="BD166" t="s">
        <v>58</v>
      </c>
    </row>
    <row r="167" spans="1:56" x14ac:dyDescent="0.25">
      <c r="A167" t="str" cm="1">
        <f t="array" ref="A167">_xlfn.XLOOKUP(RIGHT(M167,8),TeamIdentity!C:C,TeamIdentity!A:A,NONE)</f>
        <v>Vikings</v>
      </c>
      <c r="B167" t="str" cm="1">
        <f t="array" ref="B167">_xlfn.XLOOKUP(RIGHT(F167,8),TeamIdentity!C:C,TeamIdentity!A:A,NONE)</f>
        <v>Chargers</v>
      </c>
      <c r="C167" t="s">
        <v>54</v>
      </c>
      <c r="D167" t="s">
        <v>54</v>
      </c>
      <c r="E167" t="s">
        <v>54</v>
      </c>
      <c r="F167" t="s">
        <v>528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526</v>
      </c>
      <c r="N167">
        <v>-1</v>
      </c>
      <c r="O167">
        <v>0</v>
      </c>
      <c r="P167">
        <v>-1</v>
      </c>
      <c r="Q167">
        <v>0</v>
      </c>
      <c r="R167" t="s">
        <v>70</v>
      </c>
      <c r="S167">
        <v>0</v>
      </c>
      <c r="T167">
        <v>0</v>
      </c>
      <c r="U167">
        <v>780</v>
      </c>
      <c r="V167" t="s">
        <v>57</v>
      </c>
      <c r="W167">
        <v>0</v>
      </c>
      <c r="X167">
        <v>0</v>
      </c>
      <c r="Y167">
        <v>0</v>
      </c>
      <c r="Z167">
        <v>0</v>
      </c>
      <c r="AA167" t="s">
        <v>67</v>
      </c>
      <c r="AB167">
        <v>0</v>
      </c>
      <c r="AC167">
        <v>0</v>
      </c>
      <c r="AD167">
        <v>0</v>
      </c>
      <c r="AE167">
        <v>0</v>
      </c>
      <c r="AF167" t="s">
        <v>60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s">
        <v>58</v>
      </c>
      <c r="AM167" t="s">
        <v>58</v>
      </c>
      <c r="AN167" t="s">
        <v>71</v>
      </c>
      <c r="AO167">
        <v>14</v>
      </c>
      <c r="AP167">
        <v>8</v>
      </c>
      <c r="AQ167">
        <v>2</v>
      </c>
      <c r="AR167">
        <v>11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s">
        <v>61</v>
      </c>
      <c r="BA167" t="s">
        <v>57</v>
      </c>
      <c r="BB167" t="s">
        <v>55</v>
      </c>
      <c r="BC167" t="s">
        <v>58</v>
      </c>
      <c r="BD167" t="s">
        <v>58</v>
      </c>
    </row>
    <row r="168" spans="1:56" x14ac:dyDescent="0.25">
      <c r="A168" t="str" cm="1">
        <f t="array" ref="A168">_xlfn.XLOOKUP(RIGHT(M168,8),TeamIdentity!C:C,TeamIdentity!A:A,NONE)</f>
        <v>Panthers</v>
      </c>
      <c r="B168" t="str" cm="1">
        <f t="array" ref="B168">_xlfn.XLOOKUP(RIGHT(F168,8),TeamIdentity!C:C,TeamIdentity!A:A,NONE)</f>
        <v>Lions</v>
      </c>
      <c r="C168" t="s">
        <v>54</v>
      </c>
      <c r="D168" t="s">
        <v>54</v>
      </c>
      <c r="E168" t="s">
        <v>54</v>
      </c>
      <c r="F168" t="s">
        <v>513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511</v>
      </c>
      <c r="N168">
        <v>-1</v>
      </c>
      <c r="O168">
        <v>0</v>
      </c>
      <c r="P168">
        <v>-1</v>
      </c>
      <c r="Q168">
        <v>0</v>
      </c>
      <c r="R168" t="s">
        <v>70</v>
      </c>
      <c r="S168">
        <v>0</v>
      </c>
      <c r="T168">
        <v>0</v>
      </c>
      <c r="U168">
        <v>780</v>
      </c>
      <c r="V168" t="s">
        <v>57</v>
      </c>
      <c r="W168">
        <v>0</v>
      </c>
      <c r="X168">
        <v>0</v>
      </c>
      <c r="Y168">
        <v>0</v>
      </c>
      <c r="Z168">
        <v>0</v>
      </c>
      <c r="AA168" t="s">
        <v>67</v>
      </c>
      <c r="AB168">
        <v>0</v>
      </c>
      <c r="AC168">
        <v>0</v>
      </c>
      <c r="AD168">
        <v>0</v>
      </c>
      <c r="AE168">
        <v>0</v>
      </c>
      <c r="AF168" t="s">
        <v>60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s">
        <v>58</v>
      </c>
      <c r="AM168" t="s">
        <v>58</v>
      </c>
      <c r="AN168" t="s">
        <v>71</v>
      </c>
      <c r="AO168">
        <v>14</v>
      </c>
      <c r="AP168">
        <v>7</v>
      </c>
      <c r="AQ168">
        <v>5</v>
      </c>
      <c r="AR168">
        <v>11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s">
        <v>61</v>
      </c>
      <c r="BA168" t="s">
        <v>57</v>
      </c>
      <c r="BB168" t="s">
        <v>55</v>
      </c>
      <c r="BC168" t="s">
        <v>58</v>
      </c>
      <c r="BD168" t="s">
        <v>58</v>
      </c>
    </row>
    <row r="169" spans="1:56" x14ac:dyDescent="0.25">
      <c r="A169" t="str" cm="1">
        <f t="array" ref="A169">_xlfn.XLOOKUP(RIGHT(M169,8),TeamIdentity!C:C,TeamIdentity!A:A,NONE)</f>
        <v>Bengals</v>
      </c>
      <c r="B169" t="str" cm="1">
        <f t="array" ref="B169">_xlfn.XLOOKUP(RIGHT(F169,8),TeamIdentity!C:C,TeamIdentity!A:A,NONE)</f>
        <v>Steelers</v>
      </c>
      <c r="C169" t="s">
        <v>54</v>
      </c>
      <c r="D169" t="s">
        <v>54</v>
      </c>
      <c r="E169" t="s">
        <v>54</v>
      </c>
      <c r="F169" t="s">
        <v>518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532</v>
      </c>
      <c r="N169">
        <v>-1</v>
      </c>
      <c r="O169">
        <v>0</v>
      </c>
      <c r="P169">
        <v>-1</v>
      </c>
      <c r="Q169">
        <v>0</v>
      </c>
      <c r="R169" t="s">
        <v>70</v>
      </c>
      <c r="S169">
        <v>0</v>
      </c>
      <c r="T169">
        <v>0</v>
      </c>
      <c r="U169">
        <v>1220</v>
      </c>
      <c r="V169" t="s">
        <v>57</v>
      </c>
      <c r="W169">
        <v>0</v>
      </c>
      <c r="X169">
        <v>0</v>
      </c>
      <c r="Y169">
        <v>0</v>
      </c>
      <c r="Z169">
        <v>0</v>
      </c>
      <c r="AA169" t="s">
        <v>60</v>
      </c>
      <c r="AB169">
        <v>0</v>
      </c>
      <c r="AC169">
        <v>0</v>
      </c>
      <c r="AD169">
        <v>0</v>
      </c>
      <c r="AE169">
        <v>0</v>
      </c>
      <c r="AF169" t="s">
        <v>60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s">
        <v>58</v>
      </c>
      <c r="AM169" t="s">
        <v>58</v>
      </c>
      <c r="AN169" t="s">
        <v>71</v>
      </c>
      <c r="AO169">
        <v>14</v>
      </c>
      <c r="AP169">
        <v>8</v>
      </c>
      <c r="AQ169">
        <v>11</v>
      </c>
      <c r="AR169">
        <v>11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s">
        <v>61</v>
      </c>
      <c r="BA169" t="s">
        <v>57</v>
      </c>
      <c r="BB169" t="s">
        <v>55</v>
      </c>
      <c r="BC169" t="s">
        <v>58</v>
      </c>
      <c r="BD169" t="s">
        <v>58</v>
      </c>
    </row>
    <row r="170" spans="1:56" x14ac:dyDescent="0.25">
      <c r="A170" t="str" cm="1">
        <f t="array" ref="A170">_xlfn.XLOOKUP(RIGHT(M170,8),TeamIdentity!C:C,TeamIdentity!A:A,NONE)</f>
        <v>Rams</v>
      </c>
      <c r="B170" t="str" cm="1">
        <f t="array" ref="B170">_xlfn.XLOOKUP(RIGHT(F170,8),TeamIdentity!C:C,TeamIdentity!A:A,NONE)</f>
        <v>Bengals</v>
      </c>
      <c r="C170" t="s">
        <v>54</v>
      </c>
      <c r="D170" t="s">
        <v>54</v>
      </c>
      <c r="E170" t="s">
        <v>54</v>
      </c>
      <c r="F170" t="s">
        <v>532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542</v>
      </c>
      <c r="N170">
        <v>-1</v>
      </c>
      <c r="O170">
        <v>0</v>
      </c>
      <c r="P170">
        <v>-1</v>
      </c>
      <c r="Q170">
        <v>0</v>
      </c>
      <c r="R170" t="s">
        <v>70</v>
      </c>
      <c r="S170">
        <v>0</v>
      </c>
      <c r="T170">
        <v>0</v>
      </c>
      <c r="U170">
        <v>975</v>
      </c>
      <c r="V170" t="s">
        <v>57</v>
      </c>
      <c r="W170">
        <v>0</v>
      </c>
      <c r="X170">
        <v>0</v>
      </c>
      <c r="Y170">
        <v>0</v>
      </c>
      <c r="Z170">
        <v>0</v>
      </c>
      <c r="AA170" t="s">
        <v>67</v>
      </c>
      <c r="AB170">
        <v>0</v>
      </c>
      <c r="AC170">
        <v>0</v>
      </c>
      <c r="AD170">
        <v>0</v>
      </c>
      <c r="AE170">
        <v>0</v>
      </c>
      <c r="AF170" t="s">
        <v>60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s">
        <v>58</v>
      </c>
      <c r="AM170" t="s">
        <v>58</v>
      </c>
      <c r="AN170" t="s">
        <v>71</v>
      </c>
      <c r="AO170">
        <v>14</v>
      </c>
      <c r="AP170">
        <v>7</v>
      </c>
      <c r="AQ170">
        <v>10</v>
      </c>
      <c r="AR170">
        <v>11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s">
        <v>61</v>
      </c>
      <c r="BA170" t="s">
        <v>57</v>
      </c>
      <c r="BB170" t="s">
        <v>55</v>
      </c>
      <c r="BC170" t="s">
        <v>58</v>
      </c>
      <c r="BD170" t="s">
        <v>58</v>
      </c>
    </row>
    <row r="171" spans="1:56" x14ac:dyDescent="0.25">
      <c r="A171" t="str" cm="1">
        <f t="array" ref="A171">_xlfn.XLOOKUP(RIGHT(M171,8),TeamIdentity!C:C,TeamIdentity!A:A,NONE)</f>
        <v>Chiefs</v>
      </c>
      <c r="B171" t="str" cm="1">
        <f t="array" ref="B171">_xlfn.XLOOKUP(RIGHT(F171,8),TeamIdentity!C:C,TeamIdentity!A:A,NONE)</f>
        <v>Patriots</v>
      </c>
      <c r="C171" t="s">
        <v>54</v>
      </c>
      <c r="D171" t="s">
        <v>54</v>
      </c>
      <c r="E171" t="s">
        <v>54</v>
      </c>
      <c r="F171" t="s">
        <v>512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535</v>
      </c>
      <c r="N171">
        <v>-1</v>
      </c>
      <c r="O171">
        <v>0</v>
      </c>
      <c r="P171">
        <v>-1</v>
      </c>
      <c r="Q171">
        <v>0</v>
      </c>
      <c r="R171" t="s">
        <v>70</v>
      </c>
      <c r="S171">
        <v>0</v>
      </c>
      <c r="T171">
        <v>0</v>
      </c>
      <c r="U171">
        <v>780</v>
      </c>
      <c r="V171" t="s">
        <v>57</v>
      </c>
      <c r="W171">
        <v>0</v>
      </c>
      <c r="X171">
        <v>0</v>
      </c>
      <c r="Y171">
        <v>0</v>
      </c>
      <c r="Z171">
        <v>0</v>
      </c>
      <c r="AA171" t="s">
        <v>67</v>
      </c>
      <c r="AB171">
        <v>0</v>
      </c>
      <c r="AC171">
        <v>0</v>
      </c>
      <c r="AD171">
        <v>0</v>
      </c>
      <c r="AE171">
        <v>0</v>
      </c>
      <c r="AF171" t="s">
        <v>60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s">
        <v>58</v>
      </c>
      <c r="AM171" t="s">
        <v>58</v>
      </c>
      <c r="AN171" t="s">
        <v>71</v>
      </c>
      <c r="AO171">
        <v>14</v>
      </c>
      <c r="AP171">
        <v>8</v>
      </c>
      <c r="AQ171">
        <v>3</v>
      </c>
      <c r="AR171">
        <v>11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s">
        <v>61</v>
      </c>
      <c r="BA171" t="s">
        <v>57</v>
      </c>
      <c r="BB171" t="s">
        <v>55</v>
      </c>
      <c r="BC171" t="s">
        <v>58</v>
      </c>
      <c r="BD171" t="s">
        <v>58</v>
      </c>
    </row>
    <row r="172" spans="1:56" x14ac:dyDescent="0.25">
      <c r="A172" t="str" cm="1">
        <f t="array" ref="A172">_xlfn.XLOOKUP(RIGHT(M172,8),TeamIdentity!C:C,TeamIdentity!A:A,NONE)</f>
        <v>Lions</v>
      </c>
      <c r="B172" t="str" cm="1">
        <f t="array" ref="B172">_xlfn.XLOOKUP(RIGHT(F172,8),TeamIdentity!C:C,TeamIdentity!A:A,NONE)</f>
        <v>Broncos</v>
      </c>
      <c r="C172" t="s">
        <v>54</v>
      </c>
      <c r="D172" t="s">
        <v>54</v>
      </c>
      <c r="E172" t="s">
        <v>54</v>
      </c>
      <c r="F172" t="s">
        <v>539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513</v>
      </c>
      <c r="N172">
        <v>-1</v>
      </c>
      <c r="O172">
        <v>0</v>
      </c>
      <c r="P172">
        <v>-1</v>
      </c>
      <c r="Q172">
        <v>0</v>
      </c>
      <c r="R172" t="s">
        <v>70</v>
      </c>
      <c r="S172">
        <v>0</v>
      </c>
      <c r="T172">
        <v>0</v>
      </c>
      <c r="U172">
        <v>1230</v>
      </c>
      <c r="V172" t="s">
        <v>57</v>
      </c>
      <c r="W172">
        <v>0</v>
      </c>
      <c r="X172">
        <v>0</v>
      </c>
      <c r="Y172">
        <v>0</v>
      </c>
      <c r="Z172">
        <v>0</v>
      </c>
      <c r="AA172" t="s">
        <v>65</v>
      </c>
      <c r="AB172">
        <v>0</v>
      </c>
      <c r="AC172">
        <v>0</v>
      </c>
      <c r="AD172">
        <v>0</v>
      </c>
      <c r="AE172">
        <v>0</v>
      </c>
      <c r="AF172" t="s">
        <v>65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s">
        <v>58</v>
      </c>
      <c r="AM172" t="s">
        <v>58</v>
      </c>
      <c r="AN172" t="s">
        <v>71</v>
      </c>
      <c r="AO172">
        <v>14</v>
      </c>
      <c r="AP172">
        <v>9</v>
      </c>
      <c r="AQ172">
        <v>12</v>
      </c>
      <c r="AR172">
        <v>11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s">
        <v>61</v>
      </c>
      <c r="BA172" t="s">
        <v>57</v>
      </c>
      <c r="BB172" t="s">
        <v>55</v>
      </c>
      <c r="BC172" t="s">
        <v>58</v>
      </c>
      <c r="BD172" t="s">
        <v>58</v>
      </c>
    </row>
    <row r="173" spans="1:56" x14ac:dyDescent="0.25">
      <c r="A173" t="str" cm="1">
        <f t="array" ref="A173">_xlfn.XLOOKUP(RIGHT(M173,8),TeamIdentity!C:C,TeamIdentity!A:A,NONE)</f>
        <v>Broncos</v>
      </c>
      <c r="B173" t="str" cm="1">
        <f t="array" ref="B173">_xlfn.XLOOKUP(RIGHT(F173,8),TeamIdentity!C:C,TeamIdentity!A:A,NONE)</f>
        <v>Vikings</v>
      </c>
      <c r="C173" t="s">
        <v>54</v>
      </c>
      <c r="D173" t="s">
        <v>54</v>
      </c>
      <c r="E173" t="s">
        <v>54</v>
      </c>
      <c r="F173" t="s">
        <v>526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539</v>
      </c>
      <c r="N173">
        <v>-1</v>
      </c>
      <c r="O173">
        <v>0</v>
      </c>
      <c r="P173">
        <v>-1</v>
      </c>
      <c r="Q173">
        <v>0</v>
      </c>
      <c r="R173" t="s">
        <v>70</v>
      </c>
      <c r="S173">
        <v>0</v>
      </c>
      <c r="T173">
        <v>0</v>
      </c>
      <c r="U173">
        <v>965</v>
      </c>
      <c r="V173" t="s">
        <v>57</v>
      </c>
      <c r="W173">
        <v>0</v>
      </c>
      <c r="X173">
        <v>0</v>
      </c>
      <c r="Y173">
        <v>0</v>
      </c>
      <c r="Z173">
        <v>0</v>
      </c>
      <c r="AA173" t="s">
        <v>67</v>
      </c>
      <c r="AB173">
        <v>0</v>
      </c>
      <c r="AC173">
        <v>0</v>
      </c>
      <c r="AD173">
        <v>0</v>
      </c>
      <c r="AE173">
        <v>0</v>
      </c>
      <c r="AF173" t="s">
        <v>60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s">
        <v>58</v>
      </c>
      <c r="AM173" t="s">
        <v>58</v>
      </c>
      <c r="AN173" t="s">
        <v>71</v>
      </c>
      <c r="AO173">
        <v>14</v>
      </c>
      <c r="AP173">
        <v>7</v>
      </c>
      <c r="AQ173">
        <v>8</v>
      </c>
      <c r="AR173">
        <v>11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s">
        <v>61</v>
      </c>
      <c r="BA173" t="s">
        <v>57</v>
      </c>
      <c r="BB173" t="s">
        <v>55</v>
      </c>
      <c r="BC173" t="s">
        <v>58</v>
      </c>
      <c r="BD173" t="s">
        <v>58</v>
      </c>
    </row>
    <row r="174" spans="1:56" x14ac:dyDescent="0.25">
      <c r="A174" t="str" cm="1">
        <f t="array" ref="A174">_xlfn.XLOOKUP(RIGHT(M174,8),TeamIdentity!C:C,TeamIdentity!A:A,NONE)</f>
        <v>Cowboys</v>
      </c>
      <c r="B174" t="str" cm="1">
        <f t="array" ref="B174">_xlfn.XLOOKUP(RIGHT(F174,8),TeamIdentity!C:C,TeamIdentity!A:A,NONE)</f>
        <v>Giants</v>
      </c>
      <c r="C174" t="s">
        <v>54</v>
      </c>
      <c r="D174" t="s">
        <v>54</v>
      </c>
      <c r="E174" t="s">
        <v>54</v>
      </c>
      <c r="F174" t="s">
        <v>514</v>
      </c>
      <c r="G174" t="s">
        <v>54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541</v>
      </c>
      <c r="N174">
        <v>-1</v>
      </c>
      <c r="O174">
        <v>0</v>
      </c>
      <c r="P174">
        <v>-1</v>
      </c>
      <c r="Q174">
        <v>0</v>
      </c>
      <c r="R174" t="s">
        <v>70</v>
      </c>
      <c r="S174">
        <v>0</v>
      </c>
      <c r="T174">
        <v>0</v>
      </c>
      <c r="U174">
        <v>780</v>
      </c>
      <c r="V174" t="s">
        <v>57</v>
      </c>
      <c r="W174">
        <v>0</v>
      </c>
      <c r="X174">
        <v>0</v>
      </c>
      <c r="Y174">
        <v>0</v>
      </c>
      <c r="Z174">
        <v>0</v>
      </c>
      <c r="AA174" t="s">
        <v>67</v>
      </c>
      <c r="AB174">
        <v>0</v>
      </c>
      <c r="AC174">
        <v>0</v>
      </c>
      <c r="AD174">
        <v>0</v>
      </c>
      <c r="AE174">
        <v>0</v>
      </c>
      <c r="AF174" t="s">
        <v>60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s">
        <v>58</v>
      </c>
      <c r="AM174" t="s">
        <v>58</v>
      </c>
      <c r="AN174" t="s">
        <v>71</v>
      </c>
      <c r="AO174">
        <v>14</v>
      </c>
      <c r="AP174">
        <v>7</v>
      </c>
      <c r="AQ174">
        <v>6</v>
      </c>
      <c r="AR174">
        <v>11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s">
        <v>61</v>
      </c>
      <c r="BA174" t="s">
        <v>57</v>
      </c>
      <c r="BB174" t="s">
        <v>55</v>
      </c>
      <c r="BC174" t="s">
        <v>58</v>
      </c>
      <c r="BD174" t="s">
        <v>58</v>
      </c>
    </row>
    <row r="175" spans="1:56" x14ac:dyDescent="0.25">
      <c r="A175" t="str" cm="1">
        <f t="array" ref="A175">_xlfn.XLOOKUP(RIGHT(M175,8),TeamIdentity!C:C,TeamIdentity!A:A,NONE)</f>
        <v>Bears</v>
      </c>
      <c r="B175" t="str" cm="1">
        <f t="array" ref="B175">_xlfn.XLOOKUP(RIGHT(F175,8),TeamIdentity!C:C,TeamIdentity!A:A,NONE)</f>
        <v>Saints</v>
      </c>
      <c r="C175" t="s">
        <v>54</v>
      </c>
      <c r="D175" t="s">
        <v>54</v>
      </c>
      <c r="E175" t="s">
        <v>54</v>
      </c>
      <c r="F175" t="s">
        <v>537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523</v>
      </c>
      <c r="N175">
        <v>-1</v>
      </c>
      <c r="O175">
        <v>0</v>
      </c>
      <c r="P175">
        <v>-1</v>
      </c>
      <c r="Q175">
        <v>0</v>
      </c>
      <c r="R175" t="s">
        <v>70</v>
      </c>
      <c r="S175">
        <v>0</v>
      </c>
      <c r="T175">
        <v>0</v>
      </c>
      <c r="U175">
        <v>780</v>
      </c>
      <c r="V175" t="s">
        <v>57</v>
      </c>
      <c r="W175">
        <v>0</v>
      </c>
      <c r="X175">
        <v>0</v>
      </c>
      <c r="Y175">
        <v>0</v>
      </c>
      <c r="Z175">
        <v>0</v>
      </c>
      <c r="AA175" t="s">
        <v>67</v>
      </c>
      <c r="AB175">
        <v>0</v>
      </c>
      <c r="AC175">
        <v>0</v>
      </c>
      <c r="AD175">
        <v>0</v>
      </c>
      <c r="AE175">
        <v>0</v>
      </c>
      <c r="AF175" t="s">
        <v>60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s">
        <v>58</v>
      </c>
      <c r="AM175" t="s">
        <v>58</v>
      </c>
      <c r="AN175" t="s">
        <v>71</v>
      </c>
      <c r="AO175">
        <v>14</v>
      </c>
      <c r="AP175">
        <v>8</v>
      </c>
      <c r="AQ175">
        <v>4</v>
      </c>
      <c r="AR175">
        <v>11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s">
        <v>61</v>
      </c>
      <c r="BA175" t="s">
        <v>57</v>
      </c>
      <c r="BB175" t="s">
        <v>55</v>
      </c>
      <c r="BC175" t="s">
        <v>58</v>
      </c>
      <c r="BD175" t="s">
        <v>58</v>
      </c>
    </row>
    <row r="176" spans="1:56" x14ac:dyDescent="0.25">
      <c r="A176" t="str" cm="1">
        <f t="array" ref="A176">_xlfn.XLOOKUP(RIGHT(M176,8),TeamIdentity!C:C,TeamIdentity!A:A,NONE)</f>
        <v>Titans</v>
      </c>
      <c r="B176" t="str" cm="1">
        <f t="array" ref="B176">_xlfn.XLOOKUP(RIGHT(F176,8),TeamIdentity!C:C,TeamIdentity!A:A,NONE)</f>
        <v>Ravens</v>
      </c>
      <c r="C176" t="s">
        <v>54</v>
      </c>
      <c r="D176" t="s">
        <v>54</v>
      </c>
      <c r="E176" t="s">
        <v>54</v>
      </c>
      <c r="F176" t="s">
        <v>520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534</v>
      </c>
      <c r="N176">
        <v>-1</v>
      </c>
      <c r="O176">
        <v>0</v>
      </c>
      <c r="P176">
        <v>-1</v>
      </c>
      <c r="Q176">
        <v>0</v>
      </c>
      <c r="R176" t="s">
        <v>70</v>
      </c>
      <c r="S176">
        <v>0</v>
      </c>
      <c r="T176">
        <v>0</v>
      </c>
      <c r="U176">
        <v>780</v>
      </c>
      <c r="V176" t="s">
        <v>57</v>
      </c>
      <c r="W176">
        <v>0</v>
      </c>
      <c r="X176">
        <v>0</v>
      </c>
      <c r="Y176">
        <v>0</v>
      </c>
      <c r="Z176">
        <v>0</v>
      </c>
      <c r="AA176" t="s">
        <v>67</v>
      </c>
      <c r="AB176">
        <v>0</v>
      </c>
      <c r="AC176">
        <v>0</v>
      </c>
      <c r="AD176">
        <v>0</v>
      </c>
      <c r="AE176">
        <v>0</v>
      </c>
      <c r="AF176" t="s">
        <v>60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s">
        <v>58</v>
      </c>
      <c r="AM176" t="s">
        <v>58</v>
      </c>
      <c r="AN176" t="s">
        <v>71</v>
      </c>
      <c r="AO176">
        <v>14</v>
      </c>
      <c r="AP176">
        <v>6</v>
      </c>
      <c r="AQ176">
        <v>4</v>
      </c>
      <c r="AR176">
        <v>11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s">
        <v>61</v>
      </c>
      <c r="BA176" t="s">
        <v>57</v>
      </c>
      <c r="BB176" t="s">
        <v>55</v>
      </c>
      <c r="BC176" t="s">
        <v>58</v>
      </c>
      <c r="BD176" t="s">
        <v>58</v>
      </c>
    </row>
    <row r="177" spans="1:56" x14ac:dyDescent="0.25">
      <c r="A177" t="str" cm="1">
        <f t="array" ref="A177">_xlfn.XLOOKUP(RIGHT(M177,8),TeamIdentity!C:C,TeamIdentity!A:A,NONE)</f>
        <v>Bills</v>
      </c>
      <c r="B177" t="str" cm="1">
        <f t="array" ref="B177">_xlfn.XLOOKUP(RIGHT(F177,8),TeamIdentity!C:C,TeamIdentity!A:A,NONE)</f>
        <v>Jets</v>
      </c>
      <c r="C177" t="s">
        <v>54</v>
      </c>
      <c r="D177" t="s">
        <v>54</v>
      </c>
      <c r="E177" t="s">
        <v>54</v>
      </c>
      <c r="F177" t="s">
        <v>522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524</v>
      </c>
      <c r="N177">
        <v>-1</v>
      </c>
      <c r="O177">
        <v>0</v>
      </c>
      <c r="P177">
        <v>-1</v>
      </c>
      <c r="Q177">
        <v>0</v>
      </c>
      <c r="R177" t="s">
        <v>70</v>
      </c>
      <c r="S177">
        <v>0</v>
      </c>
      <c r="T177">
        <v>0</v>
      </c>
      <c r="U177">
        <v>1220</v>
      </c>
      <c r="V177" t="s">
        <v>57</v>
      </c>
      <c r="W177">
        <v>0</v>
      </c>
      <c r="X177">
        <v>0</v>
      </c>
      <c r="Y177">
        <v>0</v>
      </c>
      <c r="Z177">
        <v>0</v>
      </c>
      <c r="AA177" t="s">
        <v>68</v>
      </c>
      <c r="AB177">
        <v>0</v>
      </c>
      <c r="AC177">
        <v>0</v>
      </c>
      <c r="AD177">
        <v>0</v>
      </c>
      <c r="AE177">
        <v>0</v>
      </c>
      <c r="AF177" t="s">
        <v>68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s">
        <v>58</v>
      </c>
      <c r="AM177" t="s">
        <v>58</v>
      </c>
      <c r="AN177" t="s">
        <v>71</v>
      </c>
      <c r="AO177">
        <v>14</v>
      </c>
      <c r="AP177">
        <v>8</v>
      </c>
      <c r="AQ177">
        <v>13</v>
      </c>
      <c r="AR177">
        <v>11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s">
        <v>61</v>
      </c>
      <c r="BA177" t="s">
        <v>57</v>
      </c>
      <c r="BB177" t="s">
        <v>55</v>
      </c>
      <c r="BC177" t="s">
        <v>58</v>
      </c>
      <c r="BD177" t="s">
        <v>58</v>
      </c>
    </row>
    <row r="178" spans="1:56" x14ac:dyDescent="0.25">
      <c r="A178" t="str" cm="1">
        <f t="array" ref="A178">_xlfn.XLOOKUP(RIGHT(M178,8),TeamIdentity!C:C,TeamIdentity!A:A,NONE)</f>
        <v>Giants</v>
      </c>
      <c r="B178" t="str" cm="1">
        <f t="array" ref="B178">_xlfn.XLOOKUP(RIGHT(F178,8),TeamIdentity!C:C,TeamIdentity!A:A,NONE)</f>
        <v>Dolphins</v>
      </c>
      <c r="C178" t="s">
        <v>54</v>
      </c>
      <c r="D178" t="s">
        <v>54</v>
      </c>
      <c r="E178" t="s">
        <v>54</v>
      </c>
      <c r="F178" t="s">
        <v>516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514</v>
      </c>
      <c r="N178">
        <v>-1</v>
      </c>
      <c r="O178">
        <v>0</v>
      </c>
      <c r="P178">
        <v>-1</v>
      </c>
      <c r="Q178">
        <v>0</v>
      </c>
      <c r="R178" t="s">
        <v>70</v>
      </c>
      <c r="S178">
        <v>0</v>
      </c>
      <c r="T178">
        <v>0</v>
      </c>
      <c r="U178">
        <v>1220</v>
      </c>
      <c r="V178" t="s">
        <v>57</v>
      </c>
      <c r="W178">
        <v>0</v>
      </c>
      <c r="X178">
        <v>0</v>
      </c>
      <c r="Y178">
        <v>0</v>
      </c>
      <c r="Z178">
        <v>0</v>
      </c>
      <c r="AA178" t="s">
        <v>60</v>
      </c>
      <c r="AB178">
        <v>0</v>
      </c>
      <c r="AC178">
        <v>0</v>
      </c>
      <c r="AD178">
        <v>0</v>
      </c>
      <c r="AE178">
        <v>0</v>
      </c>
      <c r="AF178" t="s">
        <v>60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s">
        <v>58</v>
      </c>
      <c r="AM178" t="s">
        <v>58</v>
      </c>
      <c r="AN178" t="s">
        <v>71</v>
      </c>
      <c r="AO178">
        <v>14</v>
      </c>
      <c r="AP178">
        <v>9</v>
      </c>
      <c r="AQ178">
        <v>11</v>
      </c>
      <c r="AR178">
        <v>11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s">
        <v>61</v>
      </c>
      <c r="BA178" t="s">
        <v>57</v>
      </c>
      <c r="BB178" t="s">
        <v>55</v>
      </c>
      <c r="BC178" t="s">
        <v>58</v>
      </c>
      <c r="BD178" t="s">
        <v>58</v>
      </c>
    </row>
    <row r="179" spans="1:56" x14ac:dyDescent="0.25">
      <c r="A179" t="str" cm="1">
        <f t="array" ref="A179">_xlfn.XLOOKUP(RIGHT(M179,8),TeamIdentity!C:C,TeamIdentity!A:A,NONE)</f>
        <v>Bears</v>
      </c>
      <c r="B179" t="str" cm="1">
        <f t="array" ref="B179">_xlfn.XLOOKUP(RIGHT(F179,8),TeamIdentity!C:C,TeamIdentity!A:A,NONE)</f>
        <v>Vikings</v>
      </c>
      <c r="C179" t="s">
        <v>54</v>
      </c>
      <c r="D179" t="s">
        <v>54</v>
      </c>
      <c r="E179" t="s">
        <v>54</v>
      </c>
      <c r="F179" t="s">
        <v>526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523</v>
      </c>
      <c r="N179">
        <v>-1</v>
      </c>
      <c r="O179">
        <v>0</v>
      </c>
      <c r="P179">
        <v>-1</v>
      </c>
      <c r="Q179">
        <v>0</v>
      </c>
      <c r="R179" t="s">
        <v>70</v>
      </c>
      <c r="S179">
        <v>0</v>
      </c>
      <c r="T179">
        <v>0</v>
      </c>
      <c r="U179">
        <v>780</v>
      </c>
      <c r="V179" t="s">
        <v>57</v>
      </c>
      <c r="W179">
        <v>0</v>
      </c>
      <c r="X179">
        <v>0</v>
      </c>
      <c r="Y179">
        <v>0</v>
      </c>
      <c r="Z179">
        <v>0</v>
      </c>
      <c r="AA179" t="s">
        <v>67</v>
      </c>
      <c r="AB179">
        <v>0</v>
      </c>
      <c r="AC179">
        <v>0</v>
      </c>
      <c r="AD179">
        <v>0</v>
      </c>
      <c r="AE179">
        <v>0</v>
      </c>
      <c r="AF179" t="s">
        <v>60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s">
        <v>58</v>
      </c>
      <c r="AM179" t="s">
        <v>58</v>
      </c>
      <c r="AN179" t="s">
        <v>71</v>
      </c>
      <c r="AO179">
        <v>14</v>
      </c>
      <c r="AP179">
        <v>6</v>
      </c>
      <c r="AQ179">
        <v>5</v>
      </c>
      <c r="AR179">
        <v>11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s">
        <v>61</v>
      </c>
      <c r="BA179" t="s">
        <v>57</v>
      </c>
      <c r="BB179" t="s">
        <v>55</v>
      </c>
      <c r="BC179" t="s">
        <v>58</v>
      </c>
      <c r="BD179" t="s">
        <v>58</v>
      </c>
    </row>
    <row r="180" spans="1:56" x14ac:dyDescent="0.25">
      <c r="A180" t="str" cm="1">
        <f t="array" ref="A180">_xlfn.XLOOKUP(RIGHT(M180,8),TeamIdentity!C:C,TeamIdentity!A:A,NONE)</f>
        <v>Saints</v>
      </c>
      <c r="B180" t="str" cm="1">
        <f t="array" ref="B180">_xlfn.XLOOKUP(RIGHT(F180,8),TeamIdentity!C:C,TeamIdentity!A:A,NONE)</f>
        <v>Packers</v>
      </c>
      <c r="C180" t="s">
        <v>54</v>
      </c>
      <c r="D180" t="s">
        <v>54</v>
      </c>
      <c r="E180" t="s">
        <v>54</v>
      </c>
      <c r="F180" t="s">
        <v>529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537</v>
      </c>
      <c r="N180">
        <v>-1</v>
      </c>
      <c r="O180">
        <v>0</v>
      </c>
      <c r="P180">
        <v>-1</v>
      </c>
      <c r="Q180">
        <v>0</v>
      </c>
      <c r="R180" t="s">
        <v>70</v>
      </c>
      <c r="S180">
        <v>0</v>
      </c>
      <c r="T180">
        <v>0</v>
      </c>
      <c r="U180">
        <v>780</v>
      </c>
      <c r="V180" t="s">
        <v>57</v>
      </c>
      <c r="W180">
        <v>0</v>
      </c>
      <c r="X180">
        <v>0</v>
      </c>
      <c r="Y180">
        <v>0</v>
      </c>
      <c r="Z180">
        <v>0</v>
      </c>
      <c r="AA180" t="s">
        <v>67</v>
      </c>
      <c r="AB180">
        <v>0</v>
      </c>
      <c r="AC180">
        <v>0</v>
      </c>
      <c r="AD180">
        <v>0</v>
      </c>
      <c r="AE180">
        <v>0</v>
      </c>
      <c r="AF180" t="s">
        <v>60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s">
        <v>58</v>
      </c>
      <c r="AM180" t="s">
        <v>58</v>
      </c>
      <c r="AN180" t="s">
        <v>71</v>
      </c>
      <c r="AO180">
        <v>14</v>
      </c>
      <c r="AP180">
        <v>6</v>
      </c>
      <c r="AQ180">
        <v>6</v>
      </c>
      <c r="AR180">
        <v>11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s">
        <v>61</v>
      </c>
      <c r="BA180" t="s">
        <v>57</v>
      </c>
      <c r="BB180" t="s">
        <v>55</v>
      </c>
      <c r="BC180" t="s">
        <v>58</v>
      </c>
      <c r="BD180" t="s">
        <v>58</v>
      </c>
    </row>
    <row r="181" spans="1:56" x14ac:dyDescent="0.25">
      <c r="A181" t="str" cm="1">
        <f t="array" ref="A181">_xlfn.XLOOKUP(RIGHT(M181,8),TeamIdentity!C:C,TeamIdentity!A:A,NONE)</f>
        <v>Lions</v>
      </c>
      <c r="B181" t="str" cm="1">
        <f t="array" ref="B181">_xlfn.XLOOKUP(RIGHT(F181,8),TeamIdentity!C:C,TeamIdentity!A:A,NONE)</f>
        <v>Falcons</v>
      </c>
      <c r="C181" t="s">
        <v>54</v>
      </c>
      <c r="D181" t="s">
        <v>54</v>
      </c>
      <c r="E181" t="s">
        <v>54</v>
      </c>
      <c r="F181" t="s">
        <v>515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513</v>
      </c>
      <c r="N181">
        <v>-1</v>
      </c>
      <c r="O181">
        <v>0</v>
      </c>
      <c r="P181">
        <v>-1</v>
      </c>
      <c r="Q181">
        <v>0</v>
      </c>
      <c r="R181" t="s">
        <v>70</v>
      </c>
      <c r="S181">
        <v>0</v>
      </c>
      <c r="T181">
        <v>0</v>
      </c>
      <c r="U181">
        <v>975</v>
      </c>
      <c r="V181" t="s">
        <v>57</v>
      </c>
      <c r="W181">
        <v>0</v>
      </c>
      <c r="X181">
        <v>0</v>
      </c>
      <c r="Y181">
        <v>0</v>
      </c>
      <c r="Z181">
        <v>0</v>
      </c>
      <c r="AA181" t="s">
        <v>67</v>
      </c>
      <c r="AB181">
        <v>0</v>
      </c>
      <c r="AC181">
        <v>0</v>
      </c>
      <c r="AD181">
        <v>0</v>
      </c>
      <c r="AE181">
        <v>0</v>
      </c>
      <c r="AF181" t="s">
        <v>60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s">
        <v>58</v>
      </c>
      <c r="AM181" t="s">
        <v>58</v>
      </c>
      <c r="AN181" t="s">
        <v>71</v>
      </c>
      <c r="AO181">
        <v>14</v>
      </c>
      <c r="AP181">
        <v>8</v>
      </c>
      <c r="AQ181">
        <v>10</v>
      </c>
      <c r="AR181">
        <v>11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s">
        <v>61</v>
      </c>
      <c r="BA181" t="s">
        <v>57</v>
      </c>
      <c r="BB181" t="s">
        <v>55</v>
      </c>
      <c r="BC181" t="s">
        <v>58</v>
      </c>
      <c r="BD181" t="s">
        <v>58</v>
      </c>
    </row>
    <row r="182" spans="1:56" x14ac:dyDescent="0.25">
      <c r="A182" t="str" cm="1">
        <f t="array" ref="A182">_xlfn.XLOOKUP(RIGHT(M182,8),TeamIdentity!C:C,TeamIdentity!A:A,NONE)</f>
        <v>Giants</v>
      </c>
      <c r="B182" t="str" cm="1">
        <f t="array" ref="B182">_xlfn.XLOOKUP(RIGHT(F182,8),TeamIdentity!C:C,TeamIdentity!A:A,NONE)</f>
        <v>Cardinals</v>
      </c>
      <c r="C182" t="s">
        <v>54</v>
      </c>
      <c r="D182" t="s">
        <v>54</v>
      </c>
      <c r="E182" t="s">
        <v>54</v>
      </c>
      <c r="F182" t="s">
        <v>538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514</v>
      </c>
      <c r="N182">
        <v>-1</v>
      </c>
      <c r="O182">
        <v>0</v>
      </c>
      <c r="P182">
        <v>-1</v>
      </c>
      <c r="Q182">
        <v>0</v>
      </c>
      <c r="R182" t="s">
        <v>70</v>
      </c>
      <c r="S182">
        <v>0</v>
      </c>
      <c r="T182">
        <v>0</v>
      </c>
      <c r="U182">
        <v>1230</v>
      </c>
      <c r="V182" t="s">
        <v>57</v>
      </c>
      <c r="W182">
        <v>0</v>
      </c>
      <c r="X182">
        <v>0</v>
      </c>
      <c r="Y182">
        <v>0</v>
      </c>
      <c r="Z182">
        <v>0</v>
      </c>
      <c r="AA182" t="s">
        <v>65</v>
      </c>
      <c r="AB182">
        <v>0</v>
      </c>
      <c r="AC182">
        <v>0</v>
      </c>
      <c r="AD182">
        <v>0</v>
      </c>
      <c r="AE182">
        <v>0</v>
      </c>
      <c r="AF182" t="s">
        <v>65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s">
        <v>58</v>
      </c>
      <c r="AM182" t="s">
        <v>58</v>
      </c>
      <c r="AN182" t="s">
        <v>71</v>
      </c>
      <c r="AO182">
        <v>14</v>
      </c>
      <c r="AP182">
        <v>8</v>
      </c>
      <c r="AQ182">
        <v>12</v>
      </c>
      <c r="AR182">
        <v>11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s">
        <v>61</v>
      </c>
      <c r="BA182" t="s">
        <v>57</v>
      </c>
      <c r="BB182" t="s">
        <v>55</v>
      </c>
      <c r="BC182" t="s">
        <v>58</v>
      </c>
      <c r="BD182" t="s">
        <v>58</v>
      </c>
    </row>
    <row r="183" spans="1:56" x14ac:dyDescent="0.25">
      <c r="A183" t="str" cm="1">
        <f t="array" ref="A183">_xlfn.XLOOKUP(RIGHT(M183,8),TeamIdentity!C:C,TeamIdentity!A:A,NONE)</f>
        <v>Ravens</v>
      </c>
      <c r="B183" t="str" cm="1">
        <f t="array" ref="B183">_xlfn.XLOOKUP(RIGHT(F183,8),TeamIdentity!C:C,TeamIdentity!A:A,NONE)</f>
        <v>Seahawks</v>
      </c>
      <c r="C183" t="s">
        <v>54</v>
      </c>
      <c r="D183" t="s">
        <v>54</v>
      </c>
      <c r="E183" t="s">
        <v>54</v>
      </c>
      <c r="F183" t="s">
        <v>527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520</v>
      </c>
      <c r="N183">
        <v>-1</v>
      </c>
      <c r="O183">
        <v>0</v>
      </c>
      <c r="P183">
        <v>-1</v>
      </c>
      <c r="Q183">
        <v>0</v>
      </c>
      <c r="R183" t="s">
        <v>70</v>
      </c>
      <c r="S183">
        <v>0</v>
      </c>
      <c r="T183">
        <v>0</v>
      </c>
      <c r="U183">
        <v>780</v>
      </c>
      <c r="V183" t="s">
        <v>57</v>
      </c>
      <c r="W183">
        <v>0</v>
      </c>
      <c r="X183">
        <v>0</v>
      </c>
      <c r="Y183">
        <v>0</v>
      </c>
      <c r="Z183">
        <v>0</v>
      </c>
      <c r="AA183" t="s">
        <v>67</v>
      </c>
      <c r="AB183">
        <v>0</v>
      </c>
      <c r="AC183">
        <v>0</v>
      </c>
      <c r="AD183">
        <v>0</v>
      </c>
      <c r="AE183">
        <v>0</v>
      </c>
      <c r="AF183" t="s">
        <v>60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s">
        <v>58</v>
      </c>
      <c r="AM183" t="s">
        <v>58</v>
      </c>
      <c r="AN183" t="s">
        <v>71</v>
      </c>
      <c r="AO183">
        <v>14</v>
      </c>
      <c r="AP183">
        <v>9</v>
      </c>
      <c r="AQ183">
        <v>0</v>
      </c>
      <c r="AR183">
        <v>11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s">
        <v>61</v>
      </c>
      <c r="BA183" t="s">
        <v>57</v>
      </c>
      <c r="BB183" t="s">
        <v>55</v>
      </c>
      <c r="BC183" t="s">
        <v>58</v>
      </c>
      <c r="BD183" t="s">
        <v>58</v>
      </c>
    </row>
    <row r="184" spans="1:56" x14ac:dyDescent="0.25">
      <c r="A184" t="str" cm="1">
        <f t="array" ref="A184">_xlfn.XLOOKUP(RIGHT(M184,8),TeamIdentity!C:C,TeamIdentity!A:A,NONE)</f>
        <v>Eagles</v>
      </c>
      <c r="B184" t="str" cm="1">
        <f t="array" ref="B184">_xlfn.XLOOKUP(RIGHT(F184,8),TeamIdentity!C:C,TeamIdentity!A:A,NONE)</f>
        <v>49ers</v>
      </c>
      <c r="C184" t="s">
        <v>54</v>
      </c>
      <c r="D184" t="s">
        <v>54</v>
      </c>
      <c r="E184" t="s">
        <v>54</v>
      </c>
      <c r="F184" t="s">
        <v>533</v>
      </c>
      <c r="G184" t="s">
        <v>54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519</v>
      </c>
      <c r="N184">
        <v>-1</v>
      </c>
      <c r="O184">
        <v>0</v>
      </c>
      <c r="P184">
        <v>-1</v>
      </c>
      <c r="Q184">
        <v>0</v>
      </c>
      <c r="R184" t="s">
        <v>70</v>
      </c>
      <c r="S184">
        <v>0</v>
      </c>
      <c r="T184">
        <v>0</v>
      </c>
      <c r="U184">
        <v>780</v>
      </c>
      <c r="V184" t="s">
        <v>57</v>
      </c>
      <c r="W184">
        <v>0</v>
      </c>
      <c r="X184">
        <v>0</v>
      </c>
      <c r="Y184">
        <v>0</v>
      </c>
      <c r="Z184">
        <v>0</v>
      </c>
      <c r="AA184" t="s">
        <v>67</v>
      </c>
      <c r="AB184">
        <v>0</v>
      </c>
      <c r="AC184">
        <v>0</v>
      </c>
      <c r="AD184">
        <v>0</v>
      </c>
      <c r="AE184">
        <v>0</v>
      </c>
      <c r="AF184" t="s">
        <v>60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s">
        <v>58</v>
      </c>
      <c r="AM184" t="s">
        <v>58</v>
      </c>
      <c r="AN184" t="s">
        <v>71</v>
      </c>
      <c r="AO184">
        <v>14</v>
      </c>
      <c r="AP184">
        <v>9</v>
      </c>
      <c r="AQ184">
        <v>1</v>
      </c>
      <c r="AR184">
        <v>11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s">
        <v>61</v>
      </c>
      <c r="BA184" t="s">
        <v>57</v>
      </c>
      <c r="BB184" t="s">
        <v>55</v>
      </c>
      <c r="BC184" t="s">
        <v>58</v>
      </c>
      <c r="BD184" t="s">
        <v>58</v>
      </c>
    </row>
    <row r="185" spans="1:56" x14ac:dyDescent="0.25">
      <c r="A185" t="str" cm="1">
        <f t="array" ref="A185">_xlfn.XLOOKUP(RIGHT(M185,8),TeamIdentity!C:C,TeamIdentity!A:A,NONE)</f>
        <v>Eagles</v>
      </c>
      <c r="B185" t="str" cm="1">
        <f t="array" ref="B185">_xlfn.XLOOKUP(RIGHT(F185,8),TeamIdentity!C:C,TeamIdentity!A:A,NONE)</f>
        <v>Raiders</v>
      </c>
      <c r="C185" t="s">
        <v>54</v>
      </c>
      <c r="D185" t="s">
        <v>54</v>
      </c>
      <c r="E185" t="s">
        <v>54</v>
      </c>
      <c r="F185" t="s">
        <v>525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519</v>
      </c>
      <c r="N185">
        <v>-1</v>
      </c>
      <c r="O185">
        <v>0</v>
      </c>
      <c r="P185">
        <v>-1</v>
      </c>
      <c r="Q185">
        <v>0</v>
      </c>
      <c r="R185" t="s">
        <v>70</v>
      </c>
      <c r="S185">
        <v>0</v>
      </c>
      <c r="T185">
        <v>0</v>
      </c>
      <c r="U185">
        <v>965</v>
      </c>
      <c r="V185" t="s">
        <v>57</v>
      </c>
      <c r="W185">
        <v>0</v>
      </c>
      <c r="X185">
        <v>0</v>
      </c>
      <c r="Y185">
        <v>0</v>
      </c>
      <c r="Z185">
        <v>0</v>
      </c>
      <c r="AA185" t="s">
        <v>67</v>
      </c>
      <c r="AB185">
        <v>0</v>
      </c>
      <c r="AC185">
        <v>0</v>
      </c>
      <c r="AD185">
        <v>0</v>
      </c>
      <c r="AE185">
        <v>0</v>
      </c>
      <c r="AF185" t="s">
        <v>60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s">
        <v>58</v>
      </c>
      <c r="AM185" t="s">
        <v>58</v>
      </c>
      <c r="AN185" t="s">
        <v>71</v>
      </c>
      <c r="AO185">
        <v>14</v>
      </c>
      <c r="AP185">
        <v>8</v>
      </c>
      <c r="AQ185">
        <v>7</v>
      </c>
      <c r="AR185">
        <v>11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s">
        <v>61</v>
      </c>
      <c r="BA185" t="s">
        <v>57</v>
      </c>
      <c r="BB185" t="s">
        <v>55</v>
      </c>
      <c r="BC185" t="s">
        <v>58</v>
      </c>
      <c r="BD185" t="s">
        <v>58</v>
      </c>
    </row>
    <row r="186" spans="1:56" x14ac:dyDescent="0.25">
      <c r="A186" t="str" cm="1">
        <f t="array" ref="A186">_xlfn.XLOOKUP(RIGHT(M186,8),TeamIdentity!C:C,TeamIdentity!A:A,NONE)</f>
        <v>Colts</v>
      </c>
      <c r="B186" t="str" cm="1">
        <f t="array" ref="B186">_xlfn.XLOOKUP(RIGHT(F186,8),TeamIdentity!C:C,TeamIdentity!A:A,NONE)</f>
        <v>Browns</v>
      </c>
      <c r="C186" t="s">
        <v>54</v>
      </c>
      <c r="D186" t="s">
        <v>54</v>
      </c>
      <c r="E186" t="s">
        <v>54</v>
      </c>
      <c r="F186" t="s">
        <v>530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540</v>
      </c>
      <c r="N186">
        <v>-1</v>
      </c>
      <c r="O186">
        <v>0</v>
      </c>
      <c r="P186">
        <v>-1</v>
      </c>
      <c r="Q186">
        <v>0</v>
      </c>
      <c r="R186" t="s">
        <v>70</v>
      </c>
      <c r="S186">
        <v>0</v>
      </c>
      <c r="T186">
        <v>0</v>
      </c>
      <c r="U186">
        <v>780</v>
      </c>
      <c r="V186" t="s">
        <v>57</v>
      </c>
      <c r="W186">
        <v>0</v>
      </c>
      <c r="X186">
        <v>0</v>
      </c>
      <c r="Y186">
        <v>0</v>
      </c>
      <c r="Z186">
        <v>0</v>
      </c>
      <c r="AA186" t="s">
        <v>67</v>
      </c>
      <c r="AB186">
        <v>0</v>
      </c>
      <c r="AC186">
        <v>0</v>
      </c>
      <c r="AD186">
        <v>0</v>
      </c>
      <c r="AE186">
        <v>0</v>
      </c>
      <c r="AF186" t="s">
        <v>60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s">
        <v>58</v>
      </c>
      <c r="AM186" t="s">
        <v>58</v>
      </c>
      <c r="AN186" t="s">
        <v>71</v>
      </c>
      <c r="AO186">
        <v>14</v>
      </c>
      <c r="AP186">
        <v>10</v>
      </c>
      <c r="AQ186">
        <v>0</v>
      </c>
      <c r="AR186">
        <v>11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s">
        <v>61</v>
      </c>
      <c r="BA186" t="s">
        <v>57</v>
      </c>
      <c r="BB186" t="s">
        <v>55</v>
      </c>
      <c r="BC186" t="s">
        <v>58</v>
      </c>
      <c r="BD186" t="s">
        <v>58</v>
      </c>
    </row>
    <row r="187" spans="1:56" x14ac:dyDescent="0.25">
      <c r="A187" t="str" cm="1">
        <f t="array" ref="A187">_xlfn.XLOOKUP(RIGHT(M187,8),TeamIdentity!C:C,TeamIdentity!A:A,NONE)</f>
        <v>Cowboys</v>
      </c>
      <c r="B187" t="str" cm="1">
        <f t="array" ref="B187">_xlfn.XLOOKUP(RIGHT(F187,8),TeamIdentity!C:C,TeamIdentity!A:A,NONE)</f>
        <v>Rams</v>
      </c>
      <c r="C187" t="s">
        <v>54</v>
      </c>
      <c r="D187" t="s">
        <v>54</v>
      </c>
      <c r="E187" t="s">
        <v>54</v>
      </c>
      <c r="F187" t="s">
        <v>542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541</v>
      </c>
      <c r="N187">
        <v>-1</v>
      </c>
      <c r="O187">
        <v>0</v>
      </c>
      <c r="P187">
        <v>-1</v>
      </c>
      <c r="Q187">
        <v>0</v>
      </c>
      <c r="R187" t="s">
        <v>70</v>
      </c>
      <c r="S187">
        <v>0</v>
      </c>
      <c r="T187">
        <v>0</v>
      </c>
      <c r="U187">
        <v>975</v>
      </c>
      <c r="V187" t="s">
        <v>57</v>
      </c>
      <c r="W187">
        <v>0</v>
      </c>
      <c r="X187">
        <v>0</v>
      </c>
      <c r="Y187">
        <v>0</v>
      </c>
      <c r="Z187">
        <v>0</v>
      </c>
      <c r="AA187" t="s">
        <v>67</v>
      </c>
      <c r="AB187">
        <v>0</v>
      </c>
      <c r="AC187">
        <v>0</v>
      </c>
      <c r="AD187">
        <v>0</v>
      </c>
      <c r="AE187">
        <v>0</v>
      </c>
      <c r="AF187" t="s">
        <v>60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s">
        <v>58</v>
      </c>
      <c r="AM187" t="s">
        <v>58</v>
      </c>
      <c r="AN187" t="s">
        <v>71</v>
      </c>
      <c r="AO187">
        <v>14</v>
      </c>
      <c r="AP187">
        <v>9</v>
      </c>
      <c r="AQ187">
        <v>9</v>
      </c>
      <c r="AR187">
        <v>11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s">
        <v>61</v>
      </c>
      <c r="BA187" t="s">
        <v>57</v>
      </c>
      <c r="BB187" t="s">
        <v>55</v>
      </c>
      <c r="BC187" t="s">
        <v>58</v>
      </c>
      <c r="BD187" t="s">
        <v>58</v>
      </c>
    </row>
    <row r="188" spans="1:56" x14ac:dyDescent="0.25">
      <c r="A188" t="str" cm="1">
        <f t="array" ref="A188">_xlfn.XLOOKUP(RIGHT(M188,8),TeamIdentity!C:C,TeamIdentity!A:A,NONE)</f>
        <v>Raiders</v>
      </c>
      <c r="B188" t="str" cm="1">
        <f t="array" ref="B188">_xlfn.XLOOKUP(RIGHT(F188,8),TeamIdentity!C:C,TeamIdentity!A:A,NONE)</f>
        <v>Bengals</v>
      </c>
      <c r="C188" t="s">
        <v>54</v>
      </c>
      <c r="D188" t="s">
        <v>54</v>
      </c>
      <c r="E188" t="s">
        <v>54</v>
      </c>
      <c r="F188" t="s">
        <v>532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525</v>
      </c>
      <c r="N188">
        <v>-1</v>
      </c>
      <c r="O188">
        <v>0</v>
      </c>
      <c r="P188">
        <v>-1</v>
      </c>
      <c r="Q188">
        <v>0</v>
      </c>
      <c r="R188" t="s">
        <v>70</v>
      </c>
      <c r="S188">
        <v>0</v>
      </c>
      <c r="T188">
        <v>0</v>
      </c>
      <c r="U188">
        <v>965</v>
      </c>
      <c r="V188" t="s">
        <v>57</v>
      </c>
      <c r="W188">
        <v>0</v>
      </c>
      <c r="X188">
        <v>0</v>
      </c>
      <c r="Y188">
        <v>0</v>
      </c>
      <c r="Z188">
        <v>0</v>
      </c>
      <c r="AA188" t="s">
        <v>67</v>
      </c>
      <c r="AB188">
        <v>0</v>
      </c>
      <c r="AC188">
        <v>0</v>
      </c>
      <c r="AD188">
        <v>0</v>
      </c>
      <c r="AE188">
        <v>0</v>
      </c>
      <c r="AF188" t="s">
        <v>60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s">
        <v>58</v>
      </c>
      <c r="AM188" t="s">
        <v>58</v>
      </c>
      <c r="AN188" t="s">
        <v>71</v>
      </c>
      <c r="AO188">
        <v>14</v>
      </c>
      <c r="AP188">
        <v>9</v>
      </c>
      <c r="AQ188">
        <v>7</v>
      </c>
      <c r="AR188">
        <v>11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s">
        <v>61</v>
      </c>
      <c r="BA188" t="s">
        <v>57</v>
      </c>
      <c r="BB188" t="s">
        <v>55</v>
      </c>
      <c r="BC188" t="s">
        <v>58</v>
      </c>
      <c r="BD188" t="s">
        <v>58</v>
      </c>
    </row>
    <row r="189" spans="1:56" x14ac:dyDescent="0.25">
      <c r="A189" t="str" cm="1">
        <f t="array" ref="A189">_xlfn.XLOOKUP(RIGHT(M189,8),TeamIdentity!C:C,TeamIdentity!A:A,NONE)</f>
        <v>Bills</v>
      </c>
      <c r="B189" t="str" cm="1">
        <f t="array" ref="B189">_xlfn.XLOOKUP(RIGHT(F189,8),TeamIdentity!C:C,TeamIdentity!A:A,NONE)</f>
        <v>Commanders</v>
      </c>
      <c r="C189" t="s">
        <v>54</v>
      </c>
      <c r="D189" t="s">
        <v>54</v>
      </c>
      <c r="E189" t="s">
        <v>54</v>
      </c>
      <c r="F189" t="s">
        <v>521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524</v>
      </c>
      <c r="N189">
        <v>-1</v>
      </c>
      <c r="O189">
        <v>0</v>
      </c>
      <c r="P189">
        <v>-1</v>
      </c>
      <c r="Q189">
        <v>0</v>
      </c>
      <c r="R189" t="s">
        <v>70</v>
      </c>
      <c r="S189">
        <v>0</v>
      </c>
      <c r="T189">
        <v>0</v>
      </c>
      <c r="U189">
        <v>780</v>
      </c>
      <c r="V189" t="s">
        <v>57</v>
      </c>
      <c r="W189">
        <v>0</v>
      </c>
      <c r="X189">
        <v>0</v>
      </c>
      <c r="Y189">
        <v>0</v>
      </c>
      <c r="Z189">
        <v>0</v>
      </c>
      <c r="AA189" t="s">
        <v>67</v>
      </c>
      <c r="AB189">
        <v>0</v>
      </c>
      <c r="AC189">
        <v>0</v>
      </c>
      <c r="AD189">
        <v>0</v>
      </c>
      <c r="AE189">
        <v>0</v>
      </c>
      <c r="AF189" t="s">
        <v>60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s">
        <v>58</v>
      </c>
      <c r="AM189" t="s">
        <v>58</v>
      </c>
      <c r="AN189" t="s">
        <v>71</v>
      </c>
      <c r="AO189">
        <v>14</v>
      </c>
      <c r="AP189">
        <v>9</v>
      </c>
      <c r="AQ189">
        <v>2</v>
      </c>
      <c r="AR189">
        <v>11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s">
        <v>61</v>
      </c>
      <c r="BA189" t="s">
        <v>57</v>
      </c>
      <c r="BB189" t="s">
        <v>55</v>
      </c>
      <c r="BC189" t="s">
        <v>58</v>
      </c>
      <c r="BD189" t="s">
        <v>58</v>
      </c>
    </row>
    <row r="190" spans="1:56" x14ac:dyDescent="0.25">
      <c r="A190" t="str" cm="1">
        <f t="array" ref="A190">_xlfn.XLOOKUP(RIGHT(M190,8),TeamIdentity!C:C,TeamIdentity!A:A,NONE)</f>
        <v>Chargers</v>
      </c>
      <c r="B190" t="str" cm="1">
        <f t="array" ref="B190">_xlfn.XLOOKUP(RIGHT(F190,8),TeamIdentity!C:C,TeamIdentity!A:A,NONE)</f>
        <v>Packers</v>
      </c>
      <c r="C190" t="s">
        <v>54</v>
      </c>
      <c r="D190" t="s">
        <v>54</v>
      </c>
      <c r="E190" t="s">
        <v>54</v>
      </c>
      <c r="F190" t="s">
        <v>529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528</v>
      </c>
      <c r="N190">
        <v>-1</v>
      </c>
      <c r="O190">
        <v>0</v>
      </c>
      <c r="P190">
        <v>-1</v>
      </c>
      <c r="Q190">
        <v>0</v>
      </c>
      <c r="R190" t="s">
        <v>70</v>
      </c>
      <c r="S190">
        <v>0</v>
      </c>
      <c r="T190">
        <v>0</v>
      </c>
      <c r="U190">
        <v>975</v>
      </c>
      <c r="V190" t="s">
        <v>57</v>
      </c>
      <c r="W190">
        <v>0</v>
      </c>
      <c r="X190">
        <v>0</v>
      </c>
      <c r="Y190">
        <v>0</v>
      </c>
      <c r="Z190">
        <v>0</v>
      </c>
      <c r="AA190" t="s">
        <v>67</v>
      </c>
      <c r="AB190">
        <v>0</v>
      </c>
      <c r="AC190">
        <v>0</v>
      </c>
      <c r="AD190">
        <v>0</v>
      </c>
      <c r="AE190">
        <v>0</v>
      </c>
      <c r="AF190" t="s">
        <v>60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s">
        <v>58</v>
      </c>
      <c r="AM190" t="s">
        <v>58</v>
      </c>
      <c r="AN190" t="s">
        <v>71</v>
      </c>
      <c r="AO190">
        <v>14</v>
      </c>
      <c r="AP190">
        <v>7</v>
      </c>
      <c r="AQ190">
        <v>11</v>
      </c>
      <c r="AR190">
        <v>11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s">
        <v>61</v>
      </c>
      <c r="BA190" t="s">
        <v>57</v>
      </c>
      <c r="BB190" t="s">
        <v>55</v>
      </c>
      <c r="BC190" t="s">
        <v>58</v>
      </c>
      <c r="BD190" t="s">
        <v>58</v>
      </c>
    </row>
    <row r="191" spans="1:56" x14ac:dyDescent="0.25">
      <c r="A191" t="str" cm="1">
        <f t="array" ref="A191">_xlfn.XLOOKUP(RIGHT(M191,8),TeamIdentity!C:C,TeamIdentity!A:A,NONE)</f>
        <v>Texans</v>
      </c>
      <c r="B191" t="str" cm="1">
        <f t="array" ref="B191">_xlfn.XLOOKUP(RIGHT(F191,8),TeamIdentity!C:C,TeamIdentity!A:A,NONE)</f>
        <v>Falcons</v>
      </c>
      <c r="C191" t="s">
        <v>54</v>
      </c>
      <c r="D191" t="s">
        <v>54</v>
      </c>
      <c r="E191" t="s">
        <v>54</v>
      </c>
      <c r="F191" t="s">
        <v>515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517</v>
      </c>
      <c r="N191">
        <v>-1</v>
      </c>
      <c r="O191">
        <v>0</v>
      </c>
      <c r="P191">
        <v>-1</v>
      </c>
      <c r="Q191">
        <v>0</v>
      </c>
      <c r="R191" t="s">
        <v>70</v>
      </c>
      <c r="S191">
        <v>0</v>
      </c>
      <c r="T191">
        <v>0</v>
      </c>
      <c r="U191">
        <v>1220</v>
      </c>
      <c r="V191" t="s">
        <v>57</v>
      </c>
      <c r="W191">
        <v>0</v>
      </c>
      <c r="X191">
        <v>0</v>
      </c>
      <c r="Y191">
        <v>0</v>
      </c>
      <c r="Z191">
        <v>0</v>
      </c>
      <c r="AA191" t="s">
        <v>68</v>
      </c>
      <c r="AB191">
        <v>0</v>
      </c>
      <c r="AC191">
        <v>0</v>
      </c>
      <c r="AD191">
        <v>0</v>
      </c>
      <c r="AE191">
        <v>0</v>
      </c>
      <c r="AF191" t="s">
        <v>68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s">
        <v>58</v>
      </c>
      <c r="AM191" t="s">
        <v>58</v>
      </c>
      <c r="AN191" t="s">
        <v>71</v>
      </c>
      <c r="AO191">
        <v>14</v>
      </c>
      <c r="AP191">
        <v>10</v>
      </c>
      <c r="AQ191">
        <v>14</v>
      </c>
      <c r="AR191">
        <v>11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s">
        <v>61</v>
      </c>
      <c r="BA191" t="s">
        <v>57</v>
      </c>
      <c r="BB191" t="s">
        <v>55</v>
      </c>
      <c r="BC191" t="s">
        <v>58</v>
      </c>
      <c r="BD191" t="s">
        <v>58</v>
      </c>
    </row>
    <row r="192" spans="1:56" x14ac:dyDescent="0.25">
      <c r="A192" t="str" cm="1">
        <f t="array" ref="A192">_xlfn.XLOOKUP(RIGHT(M192,8),TeamIdentity!C:C,TeamIdentity!A:A,NONE)</f>
        <v>Titans</v>
      </c>
      <c r="B192" t="str" cm="1">
        <f t="array" ref="B192">_xlfn.XLOOKUP(RIGHT(F192,8),TeamIdentity!C:C,TeamIdentity!A:A,NONE)</f>
        <v>Jaguars</v>
      </c>
      <c r="C192" t="s">
        <v>54</v>
      </c>
      <c r="D192" t="s">
        <v>54</v>
      </c>
      <c r="E192" t="s">
        <v>54</v>
      </c>
      <c r="F192" t="s">
        <v>536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534</v>
      </c>
      <c r="N192">
        <v>-1</v>
      </c>
      <c r="O192">
        <v>0</v>
      </c>
      <c r="P192">
        <v>-1</v>
      </c>
      <c r="Q192">
        <v>0</v>
      </c>
      <c r="R192" t="s">
        <v>70</v>
      </c>
      <c r="S192">
        <v>0</v>
      </c>
      <c r="T192">
        <v>0</v>
      </c>
      <c r="U192">
        <v>780</v>
      </c>
      <c r="V192" t="s">
        <v>57</v>
      </c>
      <c r="W192">
        <v>0</v>
      </c>
      <c r="X192">
        <v>0</v>
      </c>
      <c r="Y192">
        <v>0</v>
      </c>
      <c r="Z192">
        <v>0</v>
      </c>
      <c r="AA192" t="s">
        <v>67</v>
      </c>
      <c r="AB192">
        <v>0</v>
      </c>
      <c r="AC192">
        <v>0</v>
      </c>
      <c r="AD192">
        <v>0</v>
      </c>
      <c r="AE192">
        <v>0</v>
      </c>
      <c r="AF192" t="s">
        <v>60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s">
        <v>58</v>
      </c>
      <c r="AM192" t="s">
        <v>58</v>
      </c>
      <c r="AN192" t="s">
        <v>71</v>
      </c>
      <c r="AO192">
        <v>14</v>
      </c>
      <c r="AP192">
        <v>9</v>
      </c>
      <c r="AQ192">
        <v>3</v>
      </c>
      <c r="AR192">
        <v>11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s">
        <v>61</v>
      </c>
      <c r="BA192" t="s">
        <v>57</v>
      </c>
      <c r="BB192" t="s">
        <v>55</v>
      </c>
      <c r="BC192" t="s">
        <v>58</v>
      </c>
      <c r="BD192" t="s">
        <v>58</v>
      </c>
    </row>
    <row r="193" spans="1:56" x14ac:dyDescent="0.25">
      <c r="A193" t="str" cm="1">
        <f t="array" ref="A193">_xlfn.XLOOKUP(RIGHT(M193,8),TeamIdentity!C:C,TeamIdentity!A:A,NONE)</f>
        <v>Colts</v>
      </c>
      <c r="B193" t="str" cm="1">
        <f t="array" ref="B193">_xlfn.XLOOKUP(RIGHT(F193,8),TeamIdentity!C:C,TeamIdentity!A:A,NONE)</f>
        <v>Saints</v>
      </c>
      <c r="C193" t="s">
        <v>54</v>
      </c>
      <c r="D193" t="s">
        <v>54</v>
      </c>
      <c r="E193" t="s">
        <v>54</v>
      </c>
      <c r="F193" t="s">
        <v>537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540</v>
      </c>
      <c r="N193">
        <v>-1</v>
      </c>
      <c r="O193">
        <v>0</v>
      </c>
      <c r="P193">
        <v>-1</v>
      </c>
      <c r="Q193">
        <v>0</v>
      </c>
      <c r="R193" t="s">
        <v>70</v>
      </c>
      <c r="S193">
        <v>0</v>
      </c>
      <c r="T193">
        <v>0</v>
      </c>
      <c r="U193">
        <v>780</v>
      </c>
      <c r="V193" t="s">
        <v>57</v>
      </c>
      <c r="W193">
        <v>0</v>
      </c>
      <c r="X193">
        <v>0</v>
      </c>
      <c r="Y193">
        <v>0</v>
      </c>
      <c r="Z193">
        <v>0</v>
      </c>
      <c r="AA193" t="s">
        <v>67</v>
      </c>
      <c r="AB193">
        <v>0</v>
      </c>
      <c r="AC193">
        <v>0</v>
      </c>
      <c r="AD193">
        <v>0</v>
      </c>
      <c r="AE193">
        <v>0</v>
      </c>
      <c r="AF193" t="s">
        <v>60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s">
        <v>58</v>
      </c>
      <c r="AM193" t="s">
        <v>58</v>
      </c>
      <c r="AN193" t="s">
        <v>71</v>
      </c>
      <c r="AO193">
        <v>14</v>
      </c>
      <c r="AP193">
        <v>7</v>
      </c>
      <c r="AQ193">
        <v>7</v>
      </c>
      <c r="AR193">
        <v>11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s">
        <v>61</v>
      </c>
      <c r="BA193" t="s">
        <v>57</v>
      </c>
      <c r="BB193" t="s">
        <v>55</v>
      </c>
      <c r="BC193" t="s">
        <v>58</v>
      </c>
      <c r="BD193" t="s">
        <v>58</v>
      </c>
    </row>
    <row r="194" spans="1:56" x14ac:dyDescent="0.25">
      <c r="A194" t="str" cm="1">
        <f t="array" ref="A194">_xlfn.XLOOKUP(RIGHT(M194,8),TeamIdentity!C:C,TeamIdentity!A:A,NONE)</f>
        <v>Steelers</v>
      </c>
      <c r="B194" t="str" cm="1">
        <f t="array" ref="B194">_xlfn.XLOOKUP(RIGHT(F194,8),TeamIdentity!C:C,TeamIdentity!A:A,NONE)</f>
        <v>Patriots</v>
      </c>
      <c r="C194" t="s">
        <v>54</v>
      </c>
      <c r="D194" t="s">
        <v>54</v>
      </c>
      <c r="E194" t="s">
        <v>54</v>
      </c>
      <c r="F194" t="s">
        <v>512</v>
      </c>
      <c r="G194" t="s">
        <v>54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518</v>
      </c>
      <c r="N194">
        <v>-1</v>
      </c>
      <c r="O194">
        <v>0</v>
      </c>
      <c r="P194">
        <v>-1</v>
      </c>
      <c r="Q194">
        <v>0</v>
      </c>
      <c r="R194" t="s">
        <v>70</v>
      </c>
      <c r="S194">
        <v>0</v>
      </c>
      <c r="T194">
        <v>0</v>
      </c>
      <c r="U194">
        <v>780</v>
      </c>
      <c r="V194" t="s">
        <v>57</v>
      </c>
      <c r="W194">
        <v>0</v>
      </c>
      <c r="X194">
        <v>0</v>
      </c>
      <c r="Y194">
        <v>0</v>
      </c>
      <c r="Z194">
        <v>0</v>
      </c>
      <c r="AA194" t="s">
        <v>67</v>
      </c>
      <c r="AB194">
        <v>0</v>
      </c>
      <c r="AC194">
        <v>0</v>
      </c>
      <c r="AD194">
        <v>0</v>
      </c>
      <c r="AE194">
        <v>0</v>
      </c>
      <c r="AF194" t="s">
        <v>60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s">
        <v>58</v>
      </c>
      <c r="AM194" t="s">
        <v>58</v>
      </c>
      <c r="AN194" t="s">
        <v>71</v>
      </c>
      <c r="AO194">
        <v>14</v>
      </c>
      <c r="AP194">
        <v>9</v>
      </c>
      <c r="AQ194">
        <v>4</v>
      </c>
      <c r="AR194">
        <v>11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s">
        <v>61</v>
      </c>
      <c r="BA194" t="s">
        <v>57</v>
      </c>
      <c r="BB194" t="s">
        <v>55</v>
      </c>
      <c r="BC194" t="s">
        <v>58</v>
      </c>
      <c r="BD194" t="s">
        <v>58</v>
      </c>
    </row>
    <row r="195" spans="1:56" x14ac:dyDescent="0.25">
      <c r="A195" t="str" cm="1">
        <f t="array" ref="A195">_xlfn.XLOOKUP(RIGHT(M195,8),TeamIdentity!C:C,TeamIdentity!A:A,NONE)</f>
        <v>Broncos</v>
      </c>
      <c r="B195" t="str" cm="1">
        <f t="array" ref="B195">_xlfn.XLOOKUP(RIGHT(F195,8),TeamIdentity!C:C,TeamIdentity!A:A,NONE)</f>
        <v>Chargers</v>
      </c>
      <c r="C195" t="s">
        <v>54</v>
      </c>
      <c r="D195" t="s">
        <v>54</v>
      </c>
      <c r="E195" t="s">
        <v>54</v>
      </c>
      <c r="F195" t="s">
        <v>528</v>
      </c>
      <c r="G195" t="s">
        <v>54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539</v>
      </c>
      <c r="N195">
        <v>-1</v>
      </c>
      <c r="O195">
        <v>0</v>
      </c>
      <c r="P195">
        <v>-1</v>
      </c>
      <c r="Q195">
        <v>0</v>
      </c>
      <c r="R195" t="s">
        <v>70</v>
      </c>
      <c r="S195">
        <v>0</v>
      </c>
      <c r="T195">
        <v>0</v>
      </c>
      <c r="U195">
        <v>965</v>
      </c>
      <c r="V195" t="s">
        <v>57</v>
      </c>
      <c r="W195">
        <v>0</v>
      </c>
      <c r="X195">
        <v>0</v>
      </c>
      <c r="Y195">
        <v>0</v>
      </c>
      <c r="Z195">
        <v>0</v>
      </c>
      <c r="AA195" t="s">
        <v>67</v>
      </c>
      <c r="AB195">
        <v>0</v>
      </c>
      <c r="AC195">
        <v>0</v>
      </c>
      <c r="AD195">
        <v>0</v>
      </c>
      <c r="AE195">
        <v>0</v>
      </c>
      <c r="AF195" t="s">
        <v>60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s">
        <v>58</v>
      </c>
      <c r="AM195" t="s">
        <v>58</v>
      </c>
      <c r="AN195" t="s">
        <v>71</v>
      </c>
      <c r="AO195">
        <v>14</v>
      </c>
      <c r="AP195">
        <v>10</v>
      </c>
      <c r="AQ195">
        <v>8</v>
      </c>
      <c r="AR195">
        <v>11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s">
        <v>61</v>
      </c>
      <c r="BA195" t="s">
        <v>57</v>
      </c>
      <c r="BB195" t="s">
        <v>55</v>
      </c>
      <c r="BC195" t="s">
        <v>58</v>
      </c>
      <c r="BD195" t="s">
        <v>58</v>
      </c>
    </row>
    <row r="196" spans="1:56" x14ac:dyDescent="0.25">
      <c r="A196" t="str" cm="1">
        <f t="array" ref="A196">_xlfn.XLOOKUP(RIGHT(M196,8),TeamIdentity!C:C,TeamIdentity!A:A,NONE)</f>
        <v>Seahawks</v>
      </c>
      <c r="B196" t="str" cm="1">
        <f t="array" ref="B196">_xlfn.XLOOKUP(RIGHT(F196,8),TeamIdentity!C:C,TeamIdentity!A:A,NONE)</f>
        <v>Vikings</v>
      </c>
      <c r="C196" t="s">
        <v>54</v>
      </c>
      <c r="D196" t="s">
        <v>54</v>
      </c>
      <c r="E196" t="s">
        <v>54</v>
      </c>
      <c r="F196" t="s">
        <v>526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527</v>
      </c>
      <c r="N196">
        <v>-1</v>
      </c>
      <c r="O196">
        <v>0</v>
      </c>
      <c r="P196">
        <v>-1</v>
      </c>
      <c r="Q196">
        <v>0</v>
      </c>
      <c r="R196" t="s">
        <v>70</v>
      </c>
      <c r="S196">
        <v>0</v>
      </c>
      <c r="T196">
        <v>0</v>
      </c>
      <c r="U196">
        <v>965</v>
      </c>
      <c r="V196" t="s">
        <v>57</v>
      </c>
      <c r="W196">
        <v>0</v>
      </c>
      <c r="X196">
        <v>0</v>
      </c>
      <c r="Y196">
        <v>0</v>
      </c>
      <c r="Z196">
        <v>0</v>
      </c>
      <c r="AA196" t="s">
        <v>67</v>
      </c>
      <c r="AB196">
        <v>0</v>
      </c>
      <c r="AC196">
        <v>0</v>
      </c>
      <c r="AD196">
        <v>0</v>
      </c>
      <c r="AE196">
        <v>0</v>
      </c>
      <c r="AF196" t="s">
        <v>60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s">
        <v>58</v>
      </c>
      <c r="AM196" t="s">
        <v>58</v>
      </c>
      <c r="AN196" t="s">
        <v>71</v>
      </c>
      <c r="AO196">
        <v>14</v>
      </c>
      <c r="AP196">
        <v>10</v>
      </c>
      <c r="AQ196">
        <v>9</v>
      </c>
      <c r="AR196">
        <v>11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s">
        <v>61</v>
      </c>
      <c r="BA196" t="s">
        <v>57</v>
      </c>
      <c r="BB196" t="s">
        <v>55</v>
      </c>
      <c r="BC196" t="s">
        <v>58</v>
      </c>
      <c r="BD196" t="s">
        <v>58</v>
      </c>
    </row>
    <row r="197" spans="1:56" x14ac:dyDescent="0.25">
      <c r="A197" t="str" cm="1">
        <f t="array" ref="A197">_xlfn.XLOOKUP(RIGHT(M197,8),TeamIdentity!C:C,TeamIdentity!A:A,NONE)</f>
        <v>Lions</v>
      </c>
      <c r="B197" t="str" cm="1">
        <f t="array" ref="B197">_xlfn.XLOOKUP(RIGHT(F197,8),TeamIdentity!C:C,TeamIdentity!A:A,NONE)</f>
        <v>Steelers</v>
      </c>
      <c r="C197" t="s">
        <v>54</v>
      </c>
      <c r="D197" t="s">
        <v>54</v>
      </c>
      <c r="E197" t="s">
        <v>54</v>
      </c>
      <c r="F197" t="s">
        <v>518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513</v>
      </c>
      <c r="N197">
        <v>-1</v>
      </c>
      <c r="O197">
        <v>0</v>
      </c>
      <c r="P197">
        <v>-1</v>
      </c>
      <c r="Q197">
        <v>0</v>
      </c>
      <c r="R197" t="s">
        <v>70</v>
      </c>
      <c r="S197">
        <v>0</v>
      </c>
      <c r="T197">
        <v>0</v>
      </c>
      <c r="U197">
        <v>780</v>
      </c>
      <c r="V197" t="s">
        <v>57</v>
      </c>
      <c r="W197">
        <v>0</v>
      </c>
      <c r="X197">
        <v>0</v>
      </c>
      <c r="Y197">
        <v>0</v>
      </c>
      <c r="Z197">
        <v>0</v>
      </c>
      <c r="AA197" t="s">
        <v>67</v>
      </c>
      <c r="AB197">
        <v>0</v>
      </c>
      <c r="AC197">
        <v>0</v>
      </c>
      <c r="AD197">
        <v>0</v>
      </c>
      <c r="AE197">
        <v>0</v>
      </c>
      <c r="AF197" t="s">
        <v>60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s">
        <v>58</v>
      </c>
      <c r="AM197" t="s">
        <v>58</v>
      </c>
      <c r="AN197" t="s">
        <v>71</v>
      </c>
      <c r="AO197">
        <v>14</v>
      </c>
      <c r="AP197">
        <v>10</v>
      </c>
      <c r="AQ197">
        <v>1</v>
      </c>
      <c r="AR197">
        <v>11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s">
        <v>61</v>
      </c>
      <c r="BA197" t="s">
        <v>57</v>
      </c>
      <c r="BB197" t="s">
        <v>55</v>
      </c>
      <c r="BC197" t="s">
        <v>58</v>
      </c>
      <c r="BD197" t="s">
        <v>58</v>
      </c>
    </row>
    <row r="198" spans="1:56" x14ac:dyDescent="0.25">
      <c r="A198" t="str" cm="1">
        <f t="array" ref="A198">_xlfn.XLOOKUP(RIGHT(M198,8),TeamIdentity!C:C,TeamIdentity!A:A,NONE)</f>
        <v>Browns</v>
      </c>
      <c r="B198" t="str" cm="1">
        <f t="array" ref="B198">_xlfn.XLOOKUP(RIGHT(F198,8),TeamIdentity!C:C,TeamIdentity!A:A,NONE)</f>
        <v>Cardinals</v>
      </c>
      <c r="C198" t="s">
        <v>54</v>
      </c>
      <c r="D198" t="s">
        <v>54</v>
      </c>
      <c r="E198" t="s">
        <v>54</v>
      </c>
      <c r="F198" t="s">
        <v>538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530</v>
      </c>
      <c r="N198">
        <v>-1</v>
      </c>
      <c r="O198">
        <v>0</v>
      </c>
      <c r="P198">
        <v>-1</v>
      </c>
      <c r="Q198">
        <v>0</v>
      </c>
      <c r="R198" t="s">
        <v>70</v>
      </c>
      <c r="S198">
        <v>0</v>
      </c>
      <c r="T198">
        <v>0</v>
      </c>
      <c r="U198">
        <v>780</v>
      </c>
      <c r="V198" t="s">
        <v>57</v>
      </c>
      <c r="W198">
        <v>0</v>
      </c>
      <c r="X198">
        <v>0</v>
      </c>
      <c r="Y198">
        <v>0</v>
      </c>
      <c r="Z198">
        <v>0</v>
      </c>
      <c r="AA198" t="s">
        <v>67</v>
      </c>
      <c r="AB198">
        <v>0</v>
      </c>
      <c r="AC198">
        <v>0</v>
      </c>
      <c r="AD198">
        <v>0</v>
      </c>
      <c r="AE198">
        <v>0</v>
      </c>
      <c r="AF198" t="s">
        <v>60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s">
        <v>58</v>
      </c>
      <c r="AM198" t="s">
        <v>58</v>
      </c>
      <c r="AN198" t="s">
        <v>71</v>
      </c>
      <c r="AO198">
        <v>14</v>
      </c>
      <c r="AP198">
        <v>11</v>
      </c>
      <c r="AQ198">
        <v>0</v>
      </c>
      <c r="AR198">
        <v>11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s">
        <v>61</v>
      </c>
      <c r="BA198" t="s">
        <v>57</v>
      </c>
      <c r="BB198" t="s">
        <v>55</v>
      </c>
      <c r="BC198" t="s">
        <v>58</v>
      </c>
      <c r="BD198" t="s">
        <v>58</v>
      </c>
    </row>
    <row r="199" spans="1:56" x14ac:dyDescent="0.25">
      <c r="A199" t="str" cm="1">
        <f t="array" ref="A199">_xlfn.XLOOKUP(RIGHT(M199,8),TeamIdentity!C:C,TeamIdentity!A:A,NONE)</f>
        <v>Raiders</v>
      </c>
      <c r="B199" t="str" cm="1">
        <f t="array" ref="B199">_xlfn.XLOOKUP(RIGHT(F199,8),TeamIdentity!C:C,TeamIdentity!A:A,NONE)</f>
        <v>Dolphins</v>
      </c>
      <c r="C199" t="s">
        <v>54</v>
      </c>
      <c r="D199" t="s">
        <v>54</v>
      </c>
      <c r="E199" t="s">
        <v>54</v>
      </c>
      <c r="F199" t="s">
        <v>516</v>
      </c>
      <c r="G199" t="s">
        <v>54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525</v>
      </c>
      <c r="N199">
        <v>-1</v>
      </c>
      <c r="O199">
        <v>0</v>
      </c>
      <c r="P199">
        <v>-1</v>
      </c>
      <c r="Q199">
        <v>0</v>
      </c>
      <c r="R199" t="s">
        <v>70</v>
      </c>
      <c r="S199">
        <v>0</v>
      </c>
      <c r="T199">
        <v>0</v>
      </c>
      <c r="U199">
        <v>1230</v>
      </c>
      <c r="V199" t="s">
        <v>57</v>
      </c>
      <c r="W199">
        <v>0</v>
      </c>
      <c r="X199">
        <v>0</v>
      </c>
      <c r="Y199">
        <v>0</v>
      </c>
      <c r="Z199">
        <v>0</v>
      </c>
      <c r="AA199" t="s">
        <v>65</v>
      </c>
      <c r="AB199">
        <v>0</v>
      </c>
      <c r="AC199">
        <v>0</v>
      </c>
      <c r="AD199">
        <v>0</v>
      </c>
      <c r="AE199">
        <v>0</v>
      </c>
      <c r="AF199" t="s">
        <v>65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s">
        <v>58</v>
      </c>
      <c r="AM199" t="s">
        <v>58</v>
      </c>
      <c r="AN199" t="s">
        <v>71</v>
      </c>
      <c r="AO199">
        <v>14</v>
      </c>
      <c r="AP199">
        <v>10</v>
      </c>
      <c r="AQ199">
        <v>13</v>
      </c>
      <c r="AR199">
        <v>11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s">
        <v>61</v>
      </c>
      <c r="BA199" t="s">
        <v>57</v>
      </c>
      <c r="BB199" t="s">
        <v>55</v>
      </c>
      <c r="BC199" t="s">
        <v>58</v>
      </c>
      <c r="BD199" t="s">
        <v>58</v>
      </c>
    </row>
    <row r="200" spans="1:56" x14ac:dyDescent="0.25">
      <c r="A200" t="str" cm="1">
        <f t="array" ref="A200">_xlfn.XLOOKUP(RIGHT(M200,8),TeamIdentity!C:C,TeamIdentity!A:A,NONE)</f>
        <v>Packers</v>
      </c>
      <c r="B200" t="str" cm="1">
        <f t="array" ref="B200">_xlfn.XLOOKUP(RIGHT(F200,8),TeamIdentity!C:C,TeamIdentity!A:A,NONE)</f>
        <v>Buccaneers</v>
      </c>
      <c r="C200" t="s">
        <v>54</v>
      </c>
      <c r="D200" t="s">
        <v>54</v>
      </c>
      <c r="E200" t="s">
        <v>54</v>
      </c>
      <c r="F200" t="s">
        <v>531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529</v>
      </c>
      <c r="N200">
        <v>-1</v>
      </c>
      <c r="O200">
        <v>0</v>
      </c>
      <c r="P200">
        <v>-1</v>
      </c>
      <c r="Q200">
        <v>0</v>
      </c>
      <c r="R200" t="s">
        <v>70</v>
      </c>
      <c r="S200">
        <v>0</v>
      </c>
      <c r="T200">
        <v>0</v>
      </c>
      <c r="U200">
        <v>780</v>
      </c>
      <c r="V200" t="s">
        <v>57</v>
      </c>
      <c r="W200">
        <v>0</v>
      </c>
      <c r="X200">
        <v>0</v>
      </c>
      <c r="Y200">
        <v>0</v>
      </c>
      <c r="Z200">
        <v>0</v>
      </c>
      <c r="AA200" t="s">
        <v>67</v>
      </c>
      <c r="AB200">
        <v>0</v>
      </c>
      <c r="AC200">
        <v>0</v>
      </c>
      <c r="AD200">
        <v>0</v>
      </c>
      <c r="AE200">
        <v>0</v>
      </c>
      <c r="AF200" t="s">
        <v>60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s">
        <v>58</v>
      </c>
      <c r="AM200" t="s">
        <v>58</v>
      </c>
      <c r="AN200" t="s">
        <v>71</v>
      </c>
      <c r="AO200">
        <v>14</v>
      </c>
      <c r="AP200">
        <v>10</v>
      </c>
      <c r="AQ200">
        <v>2</v>
      </c>
      <c r="AR200">
        <v>11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s">
        <v>61</v>
      </c>
      <c r="BA200" t="s">
        <v>57</v>
      </c>
      <c r="BB200" t="s">
        <v>55</v>
      </c>
      <c r="BC200" t="s">
        <v>58</v>
      </c>
      <c r="BD200" t="s">
        <v>58</v>
      </c>
    </row>
    <row r="201" spans="1:56" x14ac:dyDescent="0.25">
      <c r="A201" t="str" cm="1">
        <f t="array" ref="A201">_xlfn.XLOOKUP(RIGHT(M201,8),TeamIdentity!C:C,TeamIdentity!A:A,NONE)</f>
        <v>Bears</v>
      </c>
      <c r="B201" t="str" cm="1">
        <f t="array" ref="B201">_xlfn.XLOOKUP(RIGHT(F201,8),TeamIdentity!C:C,TeamIdentity!A:A,NONE)</f>
        <v>Panthers</v>
      </c>
      <c r="C201" t="s">
        <v>54</v>
      </c>
      <c r="D201" t="s">
        <v>54</v>
      </c>
      <c r="E201" t="s">
        <v>54</v>
      </c>
      <c r="F201" t="s">
        <v>511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523</v>
      </c>
      <c r="N201">
        <v>-1</v>
      </c>
      <c r="O201">
        <v>0</v>
      </c>
      <c r="P201">
        <v>-1</v>
      </c>
      <c r="Q201">
        <v>0</v>
      </c>
      <c r="R201" t="s">
        <v>70</v>
      </c>
      <c r="S201">
        <v>0</v>
      </c>
      <c r="T201">
        <v>0</v>
      </c>
      <c r="U201">
        <v>780</v>
      </c>
      <c r="V201" t="s">
        <v>57</v>
      </c>
      <c r="W201">
        <v>0</v>
      </c>
      <c r="X201">
        <v>0</v>
      </c>
      <c r="Y201">
        <v>0</v>
      </c>
      <c r="Z201">
        <v>0</v>
      </c>
      <c r="AA201" t="s">
        <v>67</v>
      </c>
      <c r="AB201">
        <v>0</v>
      </c>
      <c r="AC201">
        <v>0</v>
      </c>
      <c r="AD201">
        <v>0</v>
      </c>
      <c r="AE201">
        <v>0</v>
      </c>
      <c r="AF201" t="s">
        <v>60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s">
        <v>58</v>
      </c>
      <c r="AM201" t="s">
        <v>58</v>
      </c>
      <c r="AN201" t="s">
        <v>71</v>
      </c>
      <c r="AO201">
        <v>14</v>
      </c>
      <c r="AP201">
        <v>9</v>
      </c>
      <c r="AQ201">
        <v>5</v>
      </c>
      <c r="AR201">
        <v>11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s">
        <v>61</v>
      </c>
      <c r="BA201" t="s">
        <v>57</v>
      </c>
      <c r="BB201" t="s">
        <v>55</v>
      </c>
      <c r="BC201" t="s">
        <v>58</v>
      </c>
      <c r="BD201" t="s">
        <v>58</v>
      </c>
    </row>
    <row r="202" spans="1:56" x14ac:dyDescent="0.25">
      <c r="A202" t="str" cm="1">
        <f t="array" ref="A202">_xlfn.XLOOKUP(RIGHT(M202,8),TeamIdentity!C:C,TeamIdentity!A:A,NONE)</f>
        <v>Panthers</v>
      </c>
      <c r="B202" t="str" cm="1">
        <f t="array" ref="B202">_xlfn.XLOOKUP(RIGHT(F202,8),TeamIdentity!C:C,TeamIdentity!A:A,NONE)</f>
        <v>Buccaneers</v>
      </c>
      <c r="C202" t="s">
        <v>54</v>
      </c>
      <c r="D202" t="s">
        <v>54</v>
      </c>
      <c r="E202" t="s">
        <v>54</v>
      </c>
      <c r="F202" t="s">
        <v>531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511</v>
      </c>
      <c r="N202">
        <v>-1</v>
      </c>
      <c r="O202">
        <v>0</v>
      </c>
      <c r="P202">
        <v>-1</v>
      </c>
      <c r="Q202">
        <v>0</v>
      </c>
      <c r="R202" t="s">
        <v>70</v>
      </c>
      <c r="S202">
        <v>0</v>
      </c>
      <c r="T202">
        <v>0</v>
      </c>
      <c r="U202">
        <v>780</v>
      </c>
      <c r="V202" t="s">
        <v>57</v>
      </c>
      <c r="W202">
        <v>0</v>
      </c>
      <c r="X202">
        <v>0</v>
      </c>
      <c r="Y202">
        <v>0</v>
      </c>
      <c r="Z202">
        <v>0</v>
      </c>
      <c r="AA202" t="s">
        <v>67</v>
      </c>
      <c r="AB202">
        <v>0</v>
      </c>
      <c r="AC202">
        <v>0</v>
      </c>
      <c r="AD202">
        <v>0</v>
      </c>
      <c r="AE202">
        <v>0</v>
      </c>
      <c r="AF202" t="s">
        <v>60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s">
        <v>58</v>
      </c>
      <c r="AM202" t="s">
        <v>58</v>
      </c>
      <c r="AN202" t="s">
        <v>71</v>
      </c>
      <c r="AO202">
        <v>14</v>
      </c>
      <c r="AP202">
        <v>8</v>
      </c>
      <c r="AQ202">
        <v>5</v>
      </c>
      <c r="AR202">
        <v>11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s">
        <v>61</v>
      </c>
      <c r="BA202" t="s">
        <v>57</v>
      </c>
      <c r="BB202" t="s">
        <v>55</v>
      </c>
      <c r="BC202" t="s">
        <v>58</v>
      </c>
      <c r="BD202" t="s">
        <v>58</v>
      </c>
    </row>
    <row r="203" spans="1:56" x14ac:dyDescent="0.25">
      <c r="A203" t="str" cm="1">
        <f t="array" ref="A203">_xlfn.XLOOKUP(RIGHT(M203,8),TeamIdentity!C:C,TeamIdentity!A:A,NONE)</f>
        <v>49ers</v>
      </c>
      <c r="B203" t="str" cm="1">
        <f t="array" ref="B203">_xlfn.XLOOKUP(RIGHT(F203,8),TeamIdentity!C:C,TeamIdentity!A:A,NONE)</f>
        <v>Cardinals</v>
      </c>
      <c r="C203" t="s">
        <v>54</v>
      </c>
      <c r="D203" t="s">
        <v>54</v>
      </c>
      <c r="E203" t="s">
        <v>54</v>
      </c>
      <c r="F203" t="s">
        <v>538</v>
      </c>
      <c r="G203" t="s">
        <v>54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533</v>
      </c>
      <c r="N203">
        <v>-1</v>
      </c>
      <c r="O203">
        <v>0</v>
      </c>
      <c r="P203">
        <v>-1</v>
      </c>
      <c r="Q203">
        <v>0</v>
      </c>
      <c r="R203" t="s">
        <v>70</v>
      </c>
      <c r="S203">
        <v>0</v>
      </c>
      <c r="T203">
        <v>0</v>
      </c>
      <c r="U203">
        <v>965</v>
      </c>
      <c r="V203" t="s">
        <v>57</v>
      </c>
      <c r="W203">
        <v>0</v>
      </c>
      <c r="X203">
        <v>0</v>
      </c>
      <c r="Y203">
        <v>0</v>
      </c>
      <c r="Z203">
        <v>0</v>
      </c>
      <c r="AA203" t="s">
        <v>67</v>
      </c>
      <c r="AB203">
        <v>0</v>
      </c>
      <c r="AC203">
        <v>0</v>
      </c>
      <c r="AD203">
        <v>0</v>
      </c>
      <c r="AE203">
        <v>0</v>
      </c>
      <c r="AF203" t="s">
        <v>60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s">
        <v>58</v>
      </c>
      <c r="AM203" t="s">
        <v>58</v>
      </c>
      <c r="AN203" t="s">
        <v>71</v>
      </c>
      <c r="AO203">
        <v>14</v>
      </c>
      <c r="AP203">
        <v>10</v>
      </c>
      <c r="AQ203">
        <v>10</v>
      </c>
      <c r="AR203">
        <v>11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s">
        <v>61</v>
      </c>
      <c r="BA203" t="s">
        <v>57</v>
      </c>
      <c r="BB203" t="s">
        <v>55</v>
      </c>
      <c r="BC203" t="s">
        <v>58</v>
      </c>
      <c r="BD203" t="s">
        <v>58</v>
      </c>
    </row>
    <row r="204" spans="1:56" x14ac:dyDescent="0.25">
      <c r="A204" t="str" cm="1">
        <f t="array" ref="A204">_xlfn.XLOOKUP(RIGHT(M204,8),TeamIdentity!C:C,TeamIdentity!A:A,NONE)</f>
        <v>Jaguars</v>
      </c>
      <c r="B204" t="str" cm="1">
        <f t="array" ref="B204">_xlfn.XLOOKUP(RIGHT(F204,8),TeamIdentity!C:C,TeamIdentity!A:A,NONE)</f>
        <v>Bengals</v>
      </c>
      <c r="C204" t="s">
        <v>54</v>
      </c>
      <c r="D204" t="s">
        <v>54</v>
      </c>
      <c r="E204" t="s">
        <v>54</v>
      </c>
      <c r="F204" t="s">
        <v>532</v>
      </c>
      <c r="G204" t="s">
        <v>54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536</v>
      </c>
      <c r="N204">
        <v>-1</v>
      </c>
      <c r="O204">
        <v>0</v>
      </c>
      <c r="P204">
        <v>-1</v>
      </c>
      <c r="Q204">
        <v>0</v>
      </c>
      <c r="R204" t="s">
        <v>70</v>
      </c>
      <c r="S204">
        <v>0</v>
      </c>
      <c r="T204">
        <v>0</v>
      </c>
      <c r="U204">
        <v>1220</v>
      </c>
      <c r="V204" t="s">
        <v>57</v>
      </c>
      <c r="W204">
        <v>0</v>
      </c>
      <c r="X204">
        <v>0</v>
      </c>
      <c r="Y204">
        <v>0</v>
      </c>
      <c r="Z204">
        <v>0</v>
      </c>
      <c r="AA204" t="s">
        <v>60</v>
      </c>
      <c r="AB204">
        <v>0</v>
      </c>
      <c r="AC204">
        <v>0</v>
      </c>
      <c r="AD204">
        <v>0</v>
      </c>
      <c r="AE204">
        <v>0</v>
      </c>
      <c r="AF204" t="s">
        <v>60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s">
        <v>58</v>
      </c>
      <c r="AM204" t="s">
        <v>58</v>
      </c>
      <c r="AN204" t="s">
        <v>71</v>
      </c>
      <c r="AO204">
        <v>14</v>
      </c>
      <c r="AP204">
        <v>10</v>
      </c>
      <c r="AQ204">
        <v>12</v>
      </c>
      <c r="AR204">
        <v>11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s">
        <v>61</v>
      </c>
      <c r="BA204" t="s">
        <v>57</v>
      </c>
      <c r="BB204" t="s">
        <v>55</v>
      </c>
      <c r="BC204" t="s">
        <v>58</v>
      </c>
      <c r="BD204" t="s">
        <v>58</v>
      </c>
    </row>
    <row r="205" spans="1:56" x14ac:dyDescent="0.25">
      <c r="A205" t="str" cm="1">
        <f t="array" ref="A205">_xlfn.XLOOKUP(RIGHT(M205,8),TeamIdentity!C:C,TeamIdentity!A:A,NONE)</f>
        <v>Falcons</v>
      </c>
      <c r="B205" t="str" cm="1">
        <f t="array" ref="B205">_xlfn.XLOOKUP(RIGHT(F205,8),TeamIdentity!C:C,TeamIdentity!A:A,NONE)</f>
        <v>Colts</v>
      </c>
      <c r="C205" t="s">
        <v>54</v>
      </c>
      <c r="D205" t="s">
        <v>54</v>
      </c>
      <c r="E205" t="s">
        <v>54</v>
      </c>
      <c r="F205" t="s">
        <v>540</v>
      </c>
      <c r="G205" t="s">
        <v>54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515</v>
      </c>
      <c r="N205">
        <v>-1</v>
      </c>
      <c r="O205">
        <v>0</v>
      </c>
      <c r="P205">
        <v>-1</v>
      </c>
      <c r="Q205">
        <v>0</v>
      </c>
      <c r="R205" t="s">
        <v>70</v>
      </c>
      <c r="S205">
        <v>0</v>
      </c>
      <c r="T205">
        <v>0</v>
      </c>
      <c r="U205">
        <v>1220</v>
      </c>
      <c r="V205" t="s">
        <v>57</v>
      </c>
      <c r="W205">
        <v>0</v>
      </c>
      <c r="X205">
        <v>0</v>
      </c>
      <c r="Y205">
        <v>0</v>
      </c>
      <c r="Z205">
        <v>0</v>
      </c>
      <c r="AA205" t="s">
        <v>68</v>
      </c>
      <c r="AB205">
        <v>0</v>
      </c>
      <c r="AC205">
        <v>0</v>
      </c>
      <c r="AD205">
        <v>0</v>
      </c>
      <c r="AE205">
        <v>0</v>
      </c>
      <c r="AF205" t="s">
        <v>68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s">
        <v>58</v>
      </c>
      <c r="AM205" t="s">
        <v>58</v>
      </c>
      <c r="AN205" t="s">
        <v>71</v>
      </c>
      <c r="AO205">
        <v>14</v>
      </c>
      <c r="AP205">
        <v>9</v>
      </c>
      <c r="AQ205">
        <v>13</v>
      </c>
      <c r="AR205">
        <v>11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s">
        <v>61</v>
      </c>
      <c r="BA205" t="s">
        <v>57</v>
      </c>
      <c r="BB205" t="s">
        <v>55</v>
      </c>
      <c r="BC205" t="s">
        <v>58</v>
      </c>
      <c r="BD205" t="s">
        <v>58</v>
      </c>
    </row>
    <row r="206" spans="1:56" x14ac:dyDescent="0.25">
      <c r="A206" t="str" cm="1">
        <f t="array" ref="A206">_xlfn.XLOOKUP(RIGHT(M206,8),TeamIdentity!C:C,TeamIdentity!A:A,NONE)</f>
        <v>Rams</v>
      </c>
      <c r="B206" t="str" cm="1">
        <f t="array" ref="B206">_xlfn.XLOOKUP(RIGHT(F206,8),TeamIdentity!C:C,TeamIdentity!A:A,NONE)</f>
        <v>Browns</v>
      </c>
      <c r="C206" t="s">
        <v>54</v>
      </c>
      <c r="D206" t="s">
        <v>54</v>
      </c>
      <c r="E206" t="s">
        <v>54</v>
      </c>
      <c r="F206" t="s">
        <v>530</v>
      </c>
      <c r="G206" t="s">
        <v>54</v>
      </c>
      <c r="H206" t="s">
        <v>54</v>
      </c>
      <c r="I206" t="s">
        <v>54</v>
      </c>
      <c r="J206" t="s">
        <v>54</v>
      </c>
      <c r="K206" t="s">
        <v>54</v>
      </c>
      <c r="L206" t="s">
        <v>54</v>
      </c>
      <c r="M206" t="s">
        <v>542</v>
      </c>
      <c r="N206">
        <v>-1</v>
      </c>
      <c r="O206">
        <v>0</v>
      </c>
      <c r="P206">
        <v>-1</v>
      </c>
      <c r="Q206">
        <v>0</v>
      </c>
      <c r="R206" t="s">
        <v>70</v>
      </c>
      <c r="S206">
        <v>0</v>
      </c>
      <c r="T206">
        <v>0</v>
      </c>
      <c r="U206">
        <v>965</v>
      </c>
      <c r="V206" t="s">
        <v>57</v>
      </c>
      <c r="W206">
        <v>0</v>
      </c>
      <c r="X206">
        <v>0</v>
      </c>
      <c r="Y206">
        <v>0</v>
      </c>
      <c r="Z206">
        <v>0</v>
      </c>
      <c r="AA206" t="s">
        <v>67</v>
      </c>
      <c r="AB206">
        <v>0</v>
      </c>
      <c r="AC206">
        <v>0</v>
      </c>
      <c r="AD206">
        <v>0</v>
      </c>
      <c r="AE206">
        <v>0</v>
      </c>
      <c r="AF206" t="s">
        <v>60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s">
        <v>58</v>
      </c>
      <c r="AM206" t="s">
        <v>58</v>
      </c>
      <c r="AN206" t="s">
        <v>71</v>
      </c>
      <c r="AO206">
        <v>14</v>
      </c>
      <c r="AP206">
        <v>8</v>
      </c>
      <c r="AQ206">
        <v>8</v>
      </c>
      <c r="AR206">
        <v>11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s">
        <v>61</v>
      </c>
      <c r="BA206" t="s">
        <v>57</v>
      </c>
      <c r="BB206" t="s">
        <v>55</v>
      </c>
      <c r="BC206" t="s">
        <v>58</v>
      </c>
      <c r="BD206" t="s">
        <v>58</v>
      </c>
    </row>
    <row r="207" spans="1:56" x14ac:dyDescent="0.25">
      <c r="A207" t="str" cm="1">
        <f t="array" ref="A207">_xlfn.XLOOKUP(RIGHT(M207,8),TeamIdentity!C:C,TeamIdentity!A:A,NONE)</f>
        <v>Dolphins</v>
      </c>
      <c r="B207" t="str" cm="1">
        <f t="array" ref="B207">_xlfn.XLOOKUP(RIGHT(F207,8),TeamIdentity!C:C,TeamIdentity!A:A,NONE)</f>
        <v>Commanders</v>
      </c>
      <c r="C207" t="s">
        <v>54</v>
      </c>
      <c r="D207" t="s">
        <v>54</v>
      </c>
      <c r="E207" t="s">
        <v>54</v>
      </c>
      <c r="F207" t="s">
        <v>521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516</v>
      </c>
      <c r="N207">
        <v>-1</v>
      </c>
      <c r="O207">
        <v>0</v>
      </c>
      <c r="P207">
        <v>-1</v>
      </c>
      <c r="Q207">
        <v>0</v>
      </c>
      <c r="R207" t="s">
        <v>70</v>
      </c>
      <c r="S207">
        <v>0</v>
      </c>
      <c r="T207">
        <v>0</v>
      </c>
      <c r="U207">
        <v>780</v>
      </c>
      <c r="V207" t="s">
        <v>57</v>
      </c>
      <c r="W207">
        <v>0</v>
      </c>
      <c r="X207">
        <v>0</v>
      </c>
      <c r="Y207">
        <v>0</v>
      </c>
      <c r="Z207">
        <v>0</v>
      </c>
      <c r="AA207" t="s">
        <v>67</v>
      </c>
      <c r="AB207">
        <v>0</v>
      </c>
      <c r="AC207">
        <v>0</v>
      </c>
      <c r="AD207">
        <v>0</v>
      </c>
      <c r="AE207">
        <v>0</v>
      </c>
      <c r="AF207" t="s">
        <v>60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s">
        <v>58</v>
      </c>
      <c r="AM207" t="s">
        <v>58</v>
      </c>
      <c r="AN207" t="s">
        <v>71</v>
      </c>
      <c r="AO207">
        <v>14</v>
      </c>
      <c r="AP207">
        <v>8</v>
      </c>
      <c r="AQ207">
        <v>6</v>
      </c>
      <c r="AR207">
        <v>11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s">
        <v>61</v>
      </c>
      <c r="BA207" t="s">
        <v>57</v>
      </c>
      <c r="BB207" t="s">
        <v>55</v>
      </c>
      <c r="BC207" t="s">
        <v>58</v>
      </c>
      <c r="BD207" t="s">
        <v>58</v>
      </c>
    </row>
    <row r="208" spans="1:56" x14ac:dyDescent="0.25">
      <c r="A208" t="str" cm="1">
        <f t="array" ref="A208">_xlfn.XLOOKUP(RIGHT(M208,8),TeamIdentity!C:C,TeamIdentity!A:A,NONE)</f>
        <v>Chiefs</v>
      </c>
      <c r="B208" t="str" cm="1">
        <f t="array" ref="B208">_xlfn.XLOOKUP(RIGHT(F208,8),TeamIdentity!C:C,TeamIdentity!A:A,NONE)</f>
        <v>Broncos</v>
      </c>
      <c r="C208" t="s">
        <v>54</v>
      </c>
      <c r="D208" t="s">
        <v>54</v>
      </c>
      <c r="E208" t="s">
        <v>54</v>
      </c>
      <c r="F208" t="s">
        <v>539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535</v>
      </c>
      <c r="N208">
        <v>-1</v>
      </c>
      <c r="O208">
        <v>0</v>
      </c>
      <c r="P208">
        <v>-1</v>
      </c>
      <c r="Q208">
        <v>0</v>
      </c>
      <c r="R208" t="s">
        <v>70</v>
      </c>
      <c r="S208">
        <v>0</v>
      </c>
      <c r="T208">
        <v>0</v>
      </c>
      <c r="U208">
        <v>780</v>
      </c>
      <c r="V208" t="s">
        <v>57</v>
      </c>
      <c r="W208">
        <v>0</v>
      </c>
      <c r="X208">
        <v>0</v>
      </c>
      <c r="Y208">
        <v>0</v>
      </c>
      <c r="Z208">
        <v>0</v>
      </c>
      <c r="AA208" t="s">
        <v>67</v>
      </c>
      <c r="AB208">
        <v>0</v>
      </c>
      <c r="AC208">
        <v>0</v>
      </c>
      <c r="AD208">
        <v>0</v>
      </c>
      <c r="AE208">
        <v>0</v>
      </c>
      <c r="AF208" t="s">
        <v>60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s">
        <v>58</v>
      </c>
      <c r="AM208" t="s">
        <v>58</v>
      </c>
      <c r="AN208" t="s">
        <v>71</v>
      </c>
      <c r="AO208">
        <v>14</v>
      </c>
      <c r="AP208">
        <v>11</v>
      </c>
      <c r="AQ208">
        <v>1</v>
      </c>
      <c r="AR208">
        <v>11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s">
        <v>61</v>
      </c>
      <c r="BA208" t="s">
        <v>57</v>
      </c>
      <c r="BB208" t="s">
        <v>55</v>
      </c>
      <c r="BC208" t="s">
        <v>58</v>
      </c>
      <c r="BD208" t="s">
        <v>58</v>
      </c>
    </row>
    <row r="209" spans="1:56" x14ac:dyDescent="0.25">
      <c r="A209" t="str" cm="1">
        <f t="array" ref="A209">_xlfn.XLOOKUP(RIGHT(M209,8),TeamIdentity!C:C,TeamIdentity!A:A,NONE)</f>
        <v>Rams</v>
      </c>
      <c r="B209" t="str" cm="1">
        <f t="array" ref="B209">_xlfn.XLOOKUP(RIGHT(F209,8),TeamIdentity!C:C,TeamIdentity!A:A,NONE)</f>
        <v>Cardinals</v>
      </c>
      <c r="C209" t="s">
        <v>54</v>
      </c>
      <c r="D209" t="s">
        <v>54</v>
      </c>
      <c r="E209" t="s">
        <v>54</v>
      </c>
      <c r="F209" t="s">
        <v>538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542</v>
      </c>
      <c r="N209">
        <v>-1</v>
      </c>
      <c r="O209">
        <v>0</v>
      </c>
      <c r="P209">
        <v>-1</v>
      </c>
      <c r="Q209">
        <v>0</v>
      </c>
      <c r="R209" t="s">
        <v>70</v>
      </c>
      <c r="S209">
        <v>0</v>
      </c>
      <c r="T209">
        <v>0</v>
      </c>
      <c r="U209">
        <v>965</v>
      </c>
      <c r="V209" t="s">
        <v>57</v>
      </c>
      <c r="W209">
        <v>0</v>
      </c>
      <c r="X209">
        <v>0</v>
      </c>
      <c r="Y209">
        <v>0</v>
      </c>
      <c r="Z209">
        <v>0</v>
      </c>
      <c r="AA209" t="s">
        <v>67</v>
      </c>
      <c r="AB209">
        <v>0</v>
      </c>
      <c r="AC209">
        <v>0</v>
      </c>
      <c r="AD209">
        <v>0</v>
      </c>
      <c r="AE209">
        <v>0</v>
      </c>
      <c r="AF209" t="s">
        <v>60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s">
        <v>58</v>
      </c>
      <c r="AM209" t="s">
        <v>58</v>
      </c>
      <c r="AN209" t="s">
        <v>71</v>
      </c>
      <c r="AO209">
        <v>14</v>
      </c>
      <c r="AP209">
        <v>12</v>
      </c>
      <c r="AQ209">
        <v>7</v>
      </c>
      <c r="AR209">
        <v>11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s">
        <v>61</v>
      </c>
      <c r="BA209" t="s">
        <v>57</v>
      </c>
      <c r="BB209" t="s">
        <v>55</v>
      </c>
      <c r="BC209" t="s">
        <v>58</v>
      </c>
      <c r="BD209" t="s">
        <v>58</v>
      </c>
    </row>
    <row r="210" spans="1:56" x14ac:dyDescent="0.25">
      <c r="A210" t="str" cm="1">
        <f t="array" ref="A210">_xlfn.XLOOKUP(RIGHT(M210,8),TeamIdentity!C:C,TeamIdentity!A:A,NONE)</f>
        <v>Vikings</v>
      </c>
      <c r="B210" t="str" cm="1">
        <f t="array" ref="B210">_xlfn.XLOOKUP(RIGHT(F210,8),TeamIdentity!C:C,TeamIdentity!A:A,NONE)</f>
        <v>Eagles</v>
      </c>
      <c r="C210" t="s">
        <v>54</v>
      </c>
      <c r="D210" t="s">
        <v>54</v>
      </c>
      <c r="E210" t="s">
        <v>54</v>
      </c>
      <c r="F210" t="s">
        <v>519</v>
      </c>
      <c r="G210" t="s">
        <v>54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526</v>
      </c>
      <c r="N210">
        <v>-1</v>
      </c>
      <c r="O210">
        <v>0</v>
      </c>
      <c r="P210">
        <v>-1</v>
      </c>
      <c r="Q210">
        <v>0</v>
      </c>
      <c r="R210" t="s">
        <v>70</v>
      </c>
      <c r="S210">
        <v>0</v>
      </c>
      <c r="T210">
        <v>0</v>
      </c>
      <c r="U210">
        <v>1220</v>
      </c>
      <c r="V210" t="s">
        <v>57</v>
      </c>
      <c r="W210">
        <v>0</v>
      </c>
      <c r="X210">
        <v>0</v>
      </c>
      <c r="Y210">
        <v>0</v>
      </c>
      <c r="Z210">
        <v>0</v>
      </c>
      <c r="AA210" t="s">
        <v>68</v>
      </c>
      <c r="AB210">
        <v>0</v>
      </c>
      <c r="AC210">
        <v>0</v>
      </c>
      <c r="AD210">
        <v>0</v>
      </c>
      <c r="AE210">
        <v>0</v>
      </c>
      <c r="AF210" t="s">
        <v>68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s">
        <v>58</v>
      </c>
      <c r="AM210" t="s">
        <v>58</v>
      </c>
      <c r="AN210" t="s">
        <v>71</v>
      </c>
      <c r="AO210">
        <v>14</v>
      </c>
      <c r="AP210">
        <v>12</v>
      </c>
      <c r="AQ210">
        <v>13</v>
      </c>
      <c r="AR210">
        <v>11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s">
        <v>61</v>
      </c>
      <c r="BA210" t="s">
        <v>57</v>
      </c>
      <c r="BB210" t="s">
        <v>55</v>
      </c>
      <c r="BC210" t="s">
        <v>58</v>
      </c>
      <c r="BD210" t="s">
        <v>58</v>
      </c>
    </row>
    <row r="211" spans="1:56" x14ac:dyDescent="0.25">
      <c r="A211" t="str" cm="1">
        <f t="array" ref="A211">_xlfn.XLOOKUP(RIGHT(M211,8),TeamIdentity!C:C,TeamIdentity!A:A,NONE)</f>
        <v>Jets</v>
      </c>
      <c r="B211" t="str" cm="1">
        <f t="array" ref="B211">_xlfn.XLOOKUP(RIGHT(F211,8),TeamIdentity!C:C,TeamIdentity!A:A,NONE)</f>
        <v>Eagles</v>
      </c>
      <c r="C211" t="s">
        <v>54</v>
      </c>
      <c r="D211" t="s">
        <v>54</v>
      </c>
      <c r="E211" t="s">
        <v>54</v>
      </c>
      <c r="F211" t="s">
        <v>519</v>
      </c>
      <c r="G211" t="s">
        <v>54</v>
      </c>
      <c r="H211" t="s">
        <v>54</v>
      </c>
      <c r="I211" t="s">
        <v>54</v>
      </c>
      <c r="J211" t="s">
        <v>54</v>
      </c>
      <c r="K211" t="s">
        <v>54</v>
      </c>
      <c r="L211" t="s">
        <v>54</v>
      </c>
      <c r="M211" t="s">
        <v>522</v>
      </c>
      <c r="N211">
        <v>-1</v>
      </c>
      <c r="O211">
        <v>0</v>
      </c>
      <c r="P211">
        <v>-1</v>
      </c>
      <c r="Q211">
        <v>0</v>
      </c>
      <c r="R211" t="s">
        <v>70</v>
      </c>
      <c r="S211">
        <v>0</v>
      </c>
      <c r="T211">
        <v>0</v>
      </c>
      <c r="U211">
        <v>975</v>
      </c>
      <c r="V211" t="s">
        <v>57</v>
      </c>
      <c r="W211">
        <v>0</v>
      </c>
      <c r="X211">
        <v>0</v>
      </c>
      <c r="Y211">
        <v>0</v>
      </c>
      <c r="Z211">
        <v>0</v>
      </c>
      <c r="AA211" t="s">
        <v>67</v>
      </c>
      <c r="AB211">
        <v>0</v>
      </c>
      <c r="AC211">
        <v>0</v>
      </c>
      <c r="AD211">
        <v>0</v>
      </c>
      <c r="AE211">
        <v>0</v>
      </c>
      <c r="AF211" t="s">
        <v>60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s">
        <v>58</v>
      </c>
      <c r="AM211" t="s">
        <v>58</v>
      </c>
      <c r="AN211" t="s">
        <v>71</v>
      </c>
      <c r="AO211">
        <v>14</v>
      </c>
      <c r="AP211">
        <v>10</v>
      </c>
      <c r="AQ211">
        <v>11</v>
      </c>
      <c r="AR211">
        <v>11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s">
        <v>61</v>
      </c>
      <c r="BA211" t="s">
        <v>57</v>
      </c>
      <c r="BB211" t="s">
        <v>55</v>
      </c>
      <c r="BC211" t="s">
        <v>58</v>
      </c>
      <c r="BD211" t="s">
        <v>58</v>
      </c>
    </row>
    <row r="212" spans="1:56" x14ac:dyDescent="0.25">
      <c r="A212" t="str" cm="1">
        <f t="array" ref="A212">_xlfn.XLOOKUP(RIGHT(M212,8),TeamIdentity!C:C,TeamIdentity!A:A,NONE)</f>
        <v>Chiefs</v>
      </c>
      <c r="B212" t="str" cm="1">
        <f t="array" ref="B212">_xlfn.XLOOKUP(RIGHT(F212,8),TeamIdentity!C:C,TeamIdentity!A:A,NONE)</f>
        <v>Bears</v>
      </c>
      <c r="C212" t="s">
        <v>54</v>
      </c>
      <c r="D212" t="s">
        <v>54</v>
      </c>
      <c r="E212" t="s">
        <v>54</v>
      </c>
      <c r="F212" t="s">
        <v>523</v>
      </c>
      <c r="G212" t="s">
        <v>54</v>
      </c>
      <c r="H212" t="s">
        <v>54</v>
      </c>
      <c r="I212" t="s">
        <v>54</v>
      </c>
      <c r="J212" t="s">
        <v>54</v>
      </c>
      <c r="K212" t="s">
        <v>54</v>
      </c>
      <c r="L212" t="s">
        <v>54</v>
      </c>
      <c r="M212" t="s">
        <v>535</v>
      </c>
      <c r="N212">
        <v>-1</v>
      </c>
      <c r="O212">
        <v>0</v>
      </c>
      <c r="P212">
        <v>-1</v>
      </c>
      <c r="Q212">
        <v>0</v>
      </c>
      <c r="R212" t="s">
        <v>70</v>
      </c>
      <c r="S212">
        <v>0</v>
      </c>
      <c r="T212">
        <v>0</v>
      </c>
      <c r="U212">
        <v>780</v>
      </c>
      <c r="V212" t="s">
        <v>57</v>
      </c>
      <c r="W212">
        <v>0</v>
      </c>
      <c r="X212">
        <v>0</v>
      </c>
      <c r="Y212">
        <v>0</v>
      </c>
      <c r="Z212">
        <v>0</v>
      </c>
      <c r="AA212" t="s">
        <v>67</v>
      </c>
      <c r="AB212">
        <v>0</v>
      </c>
      <c r="AC212">
        <v>0</v>
      </c>
      <c r="AD212">
        <v>0</v>
      </c>
      <c r="AE212">
        <v>0</v>
      </c>
      <c r="AF212" t="s">
        <v>60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s">
        <v>58</v>
      </c>
      <c r="AM212" t="s">
        <v>58</v>
      </c>
      <c r="AN212" t="s">
        <v>71</v>
      </c>
      <c r="AO212">
        <v>14</v>
      </c>
      <c r="AP212">
        <v>10</v>
      </c>
      <c r="AQ212">
        <v>3</v>
      </c>
      <c r="AR212">
        <v>11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s">
        <v>61</v>
      </c>
      <c r="BA212" t="s">
        <v>57</v>
      </c>
      <c r="BB212" t="s">
        <v>55</v>
      </c>
      <c r="BC212" t="s">
        <v>58</v>
      </c>
      <c r="BD212" t="s">
        <v>58</v>
      </c>
    </row>
    <row r="213" spans="1:56" x14ac:dyDescent="0.25">
      <c r="A213" t="str" cm="1">
        <f t="array" ref="A213">_xlfn.XLOOKUP(RIGHT(M213,8),TeamIdentity!C:C,TeamIdentity!A:A,NONE)</f>
        <v>Buccaneers</v>
      </c>
      <c r="B213" t="str" cm="1">
        <f t="array" ref="B213">_xlfn.XLOOKUP(RIGHT(F213,8),TeamIdentity!C:C,TeamIdentity!A:A,NONE)</f>
        <v>Vikings</v>
      </c>
      <c r="C213" t="s">
        <v>54</v>
      </c>
      <c r="D213" t="s">
        <v>54</v>
      </c>
      <c r="E213" t="s">
        <v>54</v>
      </c>
      <c r="F213" t="s">
        <v>526</v>
      </c>
      <c r="G213" t="s">
        <v>54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531</v>
      </c>
      <c r="N213">
        <v>-1</v>
      </c>
      <c r="O213">
        <v>0</v>
      </c>
      <c r="P213">
        <v>-1</v>
      </c>
      <c r="Q213">
        <v>0</v>
      </c>
      <c r="R213" t="s">
        <v>70</v>
      </c>
      <c r="S213">
        <v>0</v>
      </c>
      <c r="T213">
        <v>0</v>
      </c>
      <c r="U213">
        <v>975</v>
      </c>
      <c r="V213" t="s">
        <v>57</v>
      </c>
      <c r="W213">
        <v>0</v>
      </c>
      <c r="X213">
        <v>0</v>
      </c>
      <c r="Y213">
        <v>0</v>
      </c>
      <c r="Z213">
        <v>0</v>
      </c>
      <c r="AA213" t="s">
        <v>67</v>
      </c>
      <c r="AB213">
        <v>0</v>
      </c>
      <c r="AC213">
        <v>0</v>
      </c>
      <c r="AD213">
        <v>0</v>
      </c>
      <c r="AE213">
        <v>0</v>
      </c>
      <c r="AF213" t="s">
        <v>60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s">
        <v>58</v>
      </c>
      <c r="AM213" t="s">
        <v>58</v>
      </c>
      <c r="AN213" t="s">
        <v>71</v>
      </c>
      <c r="AO213">
        <v>14</v>
      </c>
      <c r="AP213">
        <v>9</v>
      </c>
      <c r="AQ213">
        <v>10</v>
      </c>
      <c r="AR213">
        <v>11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s">
        <v>61</v>
      </c>
      <c r="BA213" t="s">
        <v>57</v>
      </c>
      <c r="BB213" t="s">
        <v>55</v>
      </c>
      <c r="BC213" t="s">
        <v>58</v>
      </c>
      <c r="BD213" t="s">
        <v>58</v>
      </c>
    </row>
    <row r="214" spans="1:56" x14ac:dyDescent="0.25">
      <c r="A214" t="str" cm="1">
        <f t="array" ref="A214">_xlfn.XLOOKUP(RIGHT(M214,8),TeamIdentity!C:C,TeamIdentity!A:A,NONE)</f>
        <v>49ers</v>
      </c>
      <c r="B214" t="str" cm="1">
        <f t="array" ref="B214">_xlfn.XLOOKUP(RIGHT(F214,8),TeamIdentity!C:C,TeamIdentity!A:A,NONE)</f>
        <v>Packers</v>
      </c>
      <c r="C214" t="s">
        <v>54</v>
      </c>
      <c r="D214" t="s">
        <v>54</v>
      </c>
      <c r="E214" t="s">
        <v>54</v>
      </c>
      <c r="F214" t="s">
        <v>529</v>
      </c>
      <c r="G214" t="s">
        <v>54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533</v>
      </c>
      <c r="N214">
        <v>-1</v>
      </c>
      <c r="O214">
        <v>0</v>
      </c>
      <c r="P214">
        <v>-1</v>
      </c>
      <c r="Q214">
        <v>0</v>
      </c>
      <c r="R214" t="s">
        <v>70</v>
      </c>
      <c r="S214">
        <v>0</v>
      </c>
      <c r="T214">
        <v>0</v>
      </c>
      <c r="U214">
        <v>975</v>
      </c>
      <c r="V214" t="s">
        <v>57</v>
      </c>
      <c r="W214">
        <v>0</v>
      </c>
      <c r="X214">
        <v>0</v>
      </c>
      <c r="Y214">
        <v>0</v>
      </c>
      <c r="Z214">
        <v>0</v>
      </c>
      <c r="AA214" t="s">
        <v>67</v>
      </c>
      <c r="AB214">
        <v>0</v>
      </c>
      <c r="AC214">
        <v>0</v>
      </c>
      <c r="AD214">
        <v>0</v>
      </c>
      <c r="AE214">
        <v>0</v>
      </c>
      <c r="AF214" t="s">
        <v>60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s">
        <v>58</v>
      </c>
      <c r="AM214" t="s">
        <v>58</v>
      </c>
      <c r="AN214" t="s">
        <v>71</v>
      </c>
      <c r="AO214">
        <v>14</v>
      </c>
      <c r="AP214">
        <v>11</v>
      </c>
      <c r="AQ214">
        <v>8</v>
      </c>
      <c r="AR214">
        <v>11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s">
        <v>61</v>
      </c>
      <c r="BA214" t="s">
        <v>57</v>
      </c>
      <c r="BB214" t="s">
        <v>55</v>
      </c>
      <c r="BC214" t="s">
        <v>58</v>
      </c>
      <c r="BD214" t="s">
        <v>58</v>
      </c>
    </row>
    <row r="215" spans="1:56" x14ac:dyDescent="0.25">
      <c r="A215" t="str" cm="1">
        <f t="array" ref="A215">_xlfn.XLOOKUP(RIGHT(M215,8),TeamIdentity!C:C,TeamIdentity!A:A,NONE)</f>
        <v>Patriots</v>
      </c>
      <c r="B215" t="str" cm="1">
        <f t="array" ref="B215">_xlfn.XLOOKUP(RIGHT(F215,8),TeamIdentity!C:C,TeamIdentity!A:A,NONE)</f>
        <v>Giants</v>
      </c>
      <c r="C215" t="s">
        <v>54</v>
      </c>
      <c r="D215" t="s">
        <v>54</v>
      </c>
      <c r="E215" t="s">
        <v>54</v>
      </c>
      <c r="F215" t="s">
        <v>514</v>
      </c>
      <c r="G215" t="s">
        <v>54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512</v>
      </c>
      <c r="N215">
        <v>-1</v>
      </c>
      <c r="O215">
        <v>0</v>
      </c>
      <c r="P215">
        <v>-1</v>
      </c>
      <c r="Q215">
        <v>0</v>
      </c>
      <c r="R215" t="s">
        <v>70</v>
      </c>
      <c r="S215">
        <v>0</v>
      </c>
      <c r="T215">
        <v>0</v>
      </c>
      <c r="U215">
        <v>780</v>
      </c>
      <c r="V215" t="s">
        <v>57</v>
      </c>
      <c r="W215">
        <v>0</v>
      </c>
      <c r="X215">
        <v>0</v>
      </c>
      <c r="Y215">
        <v>0</v>
      </c>
      <c r="Z215">
        <v>0</v>
      </c>
      <c r="AA215" t="s">
        <v>67</v>
      </c>
      <c r="AB215">
        <v>0</v>
      </c>
      <c r="AC215">
        <v>0</v>
      </c>
      <c r="AD215">
        <v>0</v>
      </c>
      <c r="AE215">
        <v>0</v>
      </c>
      <c r="AF215" t="s">
        <v>60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s">
        <v>58</v>
      </c>
      <c r="AM215" t="s">
        <v>58</v>
      </c>
      <c r="AN215" t="s">
        <v>71</v>
      </c>
      <c r="AO215">
        <v>14</v>
      </c>
      <c r="AP215">
        <v>10</v>
      </c>
      <c r="AQ215">
        <v>4</v>
      </c>
      <c r="AR215">
        <v>11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s">
        <v>61</v>
      </c>
      <c r="BA215" t="s">
        <v>57</v>
      </c>
      <c r="BB215" t="s">
        <v>55</v>
      </c>
      <c r="BC215" t="s">
        <v>58</v>
      </c>
      <c r="BD215" t="s">
        <v>58</v>
      </c>
    </row>
    <row r="216" spans="1:56" x14ac:dyDescent="0.25">
      <c r="A216" t="str" cm="1">
        <f t="array" ref="A216">_xlfn.XLOOKUP(RIGHT(M216,8),TeamIdentity!C:C,TeamIdentity!A:A,NONE)</f>
        <v>Falcons</v>
      </c>
      <c r="B216" t="str" cm="1">
        <f t="array" ref="B216">_xlfn.XLOOKUP(RIGHT(F216,8),TeamIdentity!C:C,TeamIdentity!A:A,NONE)</f>
        <v>Panthers</v>
      </c>
      <c r="C216" t="s">
        <v>54</v>
      </c>
      <c r="D216" t="s">
        <v>54</v>
      </c>
      <c r="E216" t="s">
        <v>54</v>
      </c>
      <c r="F216" t="s">
        <v>511</v>
      </c>
      <c r="G216" t="s">
        <v>54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515</v>
      </c>
      <c r="N216">
        <v>-1</v>
      </c>
      <c r="O216">
        <v>0</v>
      </c>
      <c r="P216">
        <v>-1</v>
      </c>
      <c r="Q216">
        <v>0</v>
      </c>
      <c r="R216" t="s">
        <v>70</v>
      </c>
      <c r="S216">
        <v>0</v>
      </c>
      <c r="T216">
        <v>0</v>
      </c>
      <c r="U216">
        <v>975</v>
      </c>
      <c r="V216" t="s">
        <v>57</v>
      </c>
      <c r="W216">
        <v>0</v>
      </c>
      <c r="X216">
        <v>0</v>
      </c>
      <c r="Y216">
        <v>0</v>
      </c>
      <c r="Z216">
        <v>0</v>
      </c>
      <c r="AA216" t="s">
        <v>67</v>
      </c>
      <c r="AB216">
        <v>0</v>
      </c>
      <c r="AC216">
        <v>0</v>
      </c>
      <c r="AD216">
        <v>0</v>
      </c>
      <c r="AE216">
        <v>0</v>
      </c>
      <c r="AF216" t="s">
        <v>60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s">
        <v>58</v>
      </c>
      <c r="AM216" t="s">
        <v>58</v>
      </c>
      <c r="AN216" t="s">
        <v>71</v>
      </c>
      <c r="AO216">
        <v>14</v>
      </c>
      <c r="AP216">
        <v>11</v>
      </c>
      <c r="AQ216">
        <v>9</v>
      </c>
      <c r="AR216">
        <v>11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s">
        <v>61</v>
      </c>
      <c r="BA216" t="s">
        <v>57</v>
      </c>
      <c r="BB216" t="s">
        <v>55</v>
      </c>
      <c r="BC216" t="s">
        <v>58</v>
      </c>
      <c r="BD216" t="s">
        <v>58</v>
      </c>
    </row>
    <row r="217" spans="1:56" x14ac:dyDescent="0.25">
      <c r="A217" t="str" cm="1">
        <f t="array" ref="A217">_xlfn.XLOOKUP(RIGHT(M217,8),TeamIdentity!C:C,TeamIdentity!A:A,NONE)</f>
        <v>Raiders</v>
      </c>
      <c r="B217" t="str" cm="1">
        <f t="array" ref="B217">_xlfn.XLOOKUP(RIGHT(F217,8),TeamIdentity!C:C,TeamIdentity!A:A,NONE)</f>
        <v>Chargers</v>
      </c>
      <c r="C217" t="s">
        <v>54</v>
      </c>
      <c r="D217" t="s">
        <v>54</v>
      </c>
      <c r="E217" t="s">
        <v>54</v>
      </c>
      <c r="F217" t="s">
        <v>528</v>
      </c>
      <c r="G217" t="s">
        <v>54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525</v>
      </c>
      <c r="N217">
        <v>-1</v>
      </c>
      <c r="O217">
        <v>0</v>
      </c>
      <c r="P217">
        <v>-1</v>
      </c>
      <c r="Q217">
        <v>0</v>
      </c>
      <c r="R217" t="s">
        <v>70</v>
      </c>
      <c r="S217">
        <v>0</v>
      </c>
      <c r="T217">
        <v>0</v>
      </c>
      <c r="U217">
        <v>965</v>
      </c>
      <c r="V217" t="s">
        <v>57</v>
      </c>
      <c r="W217">
        <v>0</v>
      </c>
      <c r="X217">
        <v>0</v>
      </c>
      <c r="Y217">
        <v>0</v>
      </c>
      <c r="Z217">
        <v>0</v>
      </c>
      <c r="AA217" t="s">
        <v>67</v>
      </c>
      <c r="AB217">
        <v>0</v>
      </c>
      <c r="AC217">
        <v>0</v>
      </c>
      <c r="AD217">
        <v>0</v>
      </c>
      <c r="AE217">
        <v>0</v>
      </c>
      <c r="AF217" t="s">
        <v>60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s">
        <v>58</v>
      </c>
      <c r="AM217" t="s">
        <v>58</v>
      </c>
      <c r="AN217" t="s">
        <v>71</v>
      </c>
      <c r="AO217">
        <v>14</v>
      </c>
      <c r="AP217">
        <v>12</v>
      </c>
      <c r="AQ217">
        <v>8</v>
      </c>
      <c r="AR217">
        <v>11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s">
        <v>61</v>
      </c>
      <c r="BA217" t="s">
        <v>57</v>
      </c>
      <c r="BB217" t="s">
        <v>55</v>
      </c>
      <c r="BC217" t="s">
        <v>58</v>
      </c>
      <c r="BD217" t="s">
        <v>58</v>
      </c>
    </row>
    <row r="218" spans="1:56" x14ac:dyDescent="0.25">
      <c r="A218" t="str" cm="1">
        <f t="array" ref="A218">_xlfn.XLOOKUP(RIGHT(M218,8),TeamIdentity!C:C,TeamIdentity!A:A,NONE)</f>
        <v>Chargers</v>
      </c>
      <c r="B218" t="str" cm="1">
        <f t="array" ref="B218">_xlfn.XLOOKUP(RIGHT(F218,8),TeamIdentity!C:C,TeamIdentity!A:A,NONE)</f>
        <v>Dolphins</v>
      </c>
      <c r="C218" t="s">
        <v>54</v>
      </c>
      <c r="D218" t="s">
        <v>54</v>
      </c>
      <c r="E218" t="s">
        <v>54</v>
      </c>
      <c r="F218" t="s">
        <v>516</v>
      </c>
      <c r="G218" t="s">
        <v>54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528</v>
      </c>
      <c r="N218">
        <v>-1</v>
      </c>
      <c r="O218">
        <v>0</v>
      </c>
      <c r="P218">
        <v>-1</v>
      </c>
      <c r="Q218">
        <v>0</v>
      </c>
      <c r="R218" t="s">
        <v>70</v>
      </c>
      <c r="S218">
        <v>0</v>
      </c>
      <c r="T218">
        <v>0</v>
      </c>
      <c r="U218">
        <v>1220</v>
      </c>
      <c r="V218" t="s">
        <v>57</v>
      </c>
      <c r="W218">
        <v>0</v>
      </c>
      <c r="X218">
        <v>0</v>
      </c>
      <c r="Y218">
        <v>0</v>
      </c>
      <c r="Z218">
        <v>0</v>
      </c>
      <c r="AA218" t="s">
        <v>60</v>
      </c>
      <c r="AB218">
        <v>0</v>
      </c>
      <c r="AC218">
        <v>0</v>
      </c>
      <c r="AD218">
        <v>0</v>
      </c>
      <c r="AE218">
        <v>0</v>
      </c>
      <c r="AF218" t="s">
        <v>60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s">
        <v>58</v>
      </c>
      <c r="AM218" t="s">
        <v>58</v>
      </c>
      <c r="AN218" t="s">
        <v>71</v>
      </c>
      <c r="AO218">
        <v>14</v>
      </c>
      <c r="AP218">
        <v>11</v>
      </c>
      <c r="AQ218">
        <v>10</v>
      </c>
      <c r="AR218">
        <v>11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s">
        <v>61</v>
      </c>
      <c r="BA218" t="s">
        <v>57</v>
      </c>
      <c r="BB218" t="s">
        <v>55</v>
      </c>
      <c r="BC218" t="s">
        <v>58</v>
      </c>
      <c r="BD218" t="s">
        <v>58</v>
      </c>
    </row>
    <row r="219" spans="1:56" x14ac:dyDescent="0.25">
      <c r="A219" t="str" cm="1">
        <f t="array" ref="A219">_xlfn.XLOOKUP(RIGHT(M219,8),TeamIdentity!C:C,TeamIdentity!A:A,NONE)</f>
        <v>Chargers</v>
      </c>
      <c r="B219" t="str" cm="1">
        <f t="array" ref="B219">_xlfn.XLOOKUP(RIGHT(F219,8),TeamIdentity!C:C,TeamIdentity!A:A,NONE)</f>
        <v>Chiefs</v>
      </c>
      <c r="C219" t="s">
        <v>54</v>
      </c>
      <c r="D219" t="s">
        <v>54</v>
      </c>
      <c r="E219" t="s">
        <v>54</v>
      </c>
      <c r="F219" t="s">
        <v>535</v>
      </c>
      <c r="G219" t="s">
        <v>54</v>
      </c>
      <c r="H219" t="s">
        <v>54</v>
      </c>
      <c r="I219" t="s">
        <v>54</v>
      </c>
      <c r="J219" t="s">
        <v>54</v>
      </c>
      <c r="K219" t="s">
        <v>54</v>
      </c>
      <c r="L219" t="s">
        <v>54</v>
      </c>
      <c r="M219" t="s">
        <v>528</v>
      </c>
      <c r="N219">
        <v>-1</v>
      </c>
      <c r="O219">
        <v>0</v>
      </c>
      <c r="P219">
        <v>-1</v>
      </c>
      <c r="Q219">
        <v>0</v>
      </c>
      <c r="R219" t="s">
        <v>70</v>
      </c>
      <c r="S219">
        <v>0</v>
      </c>
      <c r="T219">
        <v>0</v>
      </c>
      <c r="U219">
        <v>965</v>
      </c>
      <c r="V219" t="s">
        <v>57</v>
      </c>
      <c r="W219">
        <v>0</v>
      </c>
      <c r="X219">
        <v>0</v>
      </c>
      <c r="Y219">
        <v>0</v>
      </c>
      <c r="Z219">
        <v>0</v>
      </c>
      <c r="AA219" t="s">
        <v>67</v>
      </c>
      <c r="AB219">
        <v>0</v>
      </c>
      <c r="AC219">
        <v>0</v>
      </c>
      <c r="AD219">
        <v>0</v>
      </c>
      <c r="AE219">
        <v>0</v>
      </c>
      <c r="AF219" t="s">
        <v>60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s">
        <v>58</v>
      </c>
      <c r="AM219" t="s">
        <v>58</v>
      </c>
      <c r="AN219" t="s">
        <v>71</v>
      </c>
      <c r="AO219">
        <v>14</v>
      </c>
      <c r="AP219">
        <v>9</v>
      </c>
      <c r="AQ219">
        <v>8</v>
      </c>
      <c r="AR219">
        <v>11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s">
        <v>61</v>
      </c>
      <c r="BA219" t="s">
        <v>57</v>
      </c>
      <c r="BB219" t="s">
        <v>55</v>
      </c>
      <c r="BC219" t="s">
        <v>58</v>
      </c>
      <c r="BD219" t="s">
        <v>58</v>
      </c>
    </row>
    <row r="220" spans="1:56" x14ac:dyDescent="0.25">
      <c r="A220" t="str" cm="1">
        <f t="array" ref="A220">_xlfn.XLOOKUP(RIGHT(M220,8),TeamIdentity!C:C,TeamIdentity!A:A,NONE)</f>
        <v>Browns</v>
      </c>
      <c r="B220" t="str" cm="1">
        <f t="array" ref="B220">_xlfn.XLOOKUP(RIGHT(F220,8),TeamIdentity!C:C,TeamIdentity!A:A,NONE)</f>
        <v>Texans</v>
      </c>
      <c r="C220" t="s">
        <v>54</v>
      </c>
      <c r="D220" t="s">
        <v>54</v>
      </c>
      <c r="E220" t="s">
        <v>54</v>
      </c>
      <c r="F220" t="s">
        <v>517</v>
      </c>
      <c r="G220" t="s">
        <v>54</v>
      </c>
      <c r="H220" t="s">
        <v>54</v>
      </c>
      <c r="I220" t="s">
        <v>54</v>
      </c>
      <c r="J220" t="s">
        <v>54</v>
      </c>
      <c r="K220" t="s">
        <v>54</v>
      </c>
      <c r="L220" t="s">
        <v>54</v>
      </c>
      <c r="M220" t="s">
        <v>530</v>
      </c>
      <c r="N220">
        <v>-1</v>
      </c>
      <c r="O220">
        <v>0</v>
      </c>
      <c r="P220">
        <v>-1</v>
      </c>
      <c r="Q220">
        <v>0</v>
      </c>
      <c r="R220" t="s">
        <v>70</v>
      </c>
      <c r="S220">
        <v>0</v>
      </c>
      <c r="T220">
        <v>0</v>
      </c>
      <c r="U220">
        <v>780</v>
      </c>
      <c r="V220" t="s">
        <v>57</v>
      </c>
      <c r="W220">
        <v>0</v>
      </c>
      <c r="X220">
        <v>0</v>
      </c>
      <c r="Y220">
        <v>0</v>
      </c>
      <c r="Z220">
        <v>0</v>
      </c>
      <c r="AA220" t="s">
        <v>67</v>
      </c>
      <c r="AB220">
        <v>0</v>
      </c>
      <c r="AC220">
        <v>0</v>
      </c>
      <c r="AD220">
        <v>0</v>
      </c>
      <c r="AE220">
        <v>0</v>
      </c>
      <c r="AF220" t="s">
        <v>60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s">
        <v>58</v>
      </c>
      <c r="AM220" t="s">
        <v>58</v>
      </c>
      <c r="AN220" t="s">
        <v>71</v>
      </c>
      <c r="AO220">
        <v>14</v>
      </c>
      <c r="AP220">
        <v>9</v>
      </c>
      <c r="AQ220">
        <v>6</v>
      </c>
      <c r="AR220">
        <v>11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s">
        <v>61</v>
      </c>
      <c r="BA220" t="s">
        <v>57</v>
      </c>
      <c r="BB220" t="s">
        <v>55</v>
      </c>
      <c r="BC220" t="s">
        <v>58</v>
      </c>
      <c r="BD220" t="s">
        <v>58</v>
      </c>
    </row>
    <row r="221" spans="1:56" x14ac:dyDescent="0.25">
      <c r="A221" t="str" cm="1">
        <f t="array" ref="A221">_xlfn.XLOOKUP(RIGHT(M221,8),TeamIdentity!C:C,TeamIdentity!A:A,NONE)</f>
        <v>Bills</v>
      </c>
      <c r="B221" t="str" cm="1">
        <f t="array" ref="B221">_xlfn.XLOOKUP(RIGHT(F221,8),TeamIdentity!C:C,TeamIdentity!A:A,NONE)</f>
        <v>Patriots</v>
      </c>
      <c r="C221" t="s">
        <v>54</v>
      </c>
      <c r="D221" t="s">
        <v>54</v>
      </c>
      <c r="E221" t="s">
        <v>54</v>
      </c>
      <c r="F221" t="s">
        <v>512</v>
      </c>
      <c r="G221" t="s">
        <v>54</v>
      </c>
      <c r="H221" t="s">
        <v>54</v>
      </c>
      <c r="I221" t="s">
        <v>54</v>
      </c>
      <c r="J221" t="s">
        <v>54</v>
      </c>
      <c r="K221" t="s">
        <v>54</v>
      </c>
      <c r="L221" t="s">
        <v>54</v>
      </c>
      <c r="M221" t="s">
        <v>524</v>
      </c>
      <c r="N221">
        <v>-1</v>
      </c>
      <c r="O221">
        <v>0</v>
      </c>
      <c r="P221">
        <v>-1</v>
      </c>
      <c r="Q221">
        <v>0</v>
      </c>
      <c r="R221" t="s">
        <v>70</v>
      </c>
      <c r="S221">
        <v>0</v>
      </c>
      <c r="T221">
        <v>0</v>
      </c>
      <c r="U221">
        <v>965</v>
      </c>
      <c r="V221" t="s">
        <v>57</v>
      </c>
      <c r="W221">
        <v>0</v>
      </c>
      <c r="X221">
        <v>0</v>
      </c>
      <c r="Y221">
        <v>0</v>
      </c>
      <c r="Z221">
        <v>0</v>
      </c>
      <c r="AA221" t="s">
        <v>67</v>
      </c>
      <c r="AB221">
        <v>0</v>
      </c>
      <c r="AC221">
        <v>0</v>
      </c>
      <c r="AD221">
        <v>0</v>
      </c>
      <c r="AE221">
        <v>0</v>
      </c>
      <c r="AF221" t="s">
        <v>60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s">
        <v>58</v>
      </c>
      <c r="AM221" t="s">
        <v>58</v>
      </c>
      <c r="AN221" t="s">
        <v>71</v>
      </c>
      <c r="AO221">
        <v>14</v>
      </c>
      <c r="AP221">
        <v>11</v>
      </c>
      <c r="AQ221">
        <v>7</v>
      </c>
      <c r="AR221">
        <v>11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s">
        <v>61</v>
      </c>
      <c r="BA221" t="s">
        <v>57</v>
      </c>
      <c r="BB221" t="s">
        <v>55</v>
      </c>
      <c r="BC221" t="s">
        <v>58</v>
      </c>
      <c r="BD221" t="s">
        <v>58</v>
      </c>
    </row>
    <row r="222" spans="1:56" x14ac:dyDescent="0.25">
      <c r="A222" t="str" cm="1">
        <f t="array" ref="A222">_xlfn.XLOOKUP(RIGHT(M222,8),TeamIdentity!C:C,TeamIdentity!A:A,NONE)</f>
        <v>Ravens</v>
      </c>
      <c r="B222" t="str" cm="1">
        <f t="array" ref="B222">_xlfn.XLOOKUP(RIGHT(F222,8),TeamIdentity!C:C,TeamIdentity!A:A,NONE)</f>
        <v>Rams</v>
      </c>
      <c r="C222" t="s">
        <v>54</v>
      </c>
      <c r="D222" t="s">
        <v>54</v>
      </c>
      <c r="E222" t="s">
        <v>54</v>
      </c>
      <c r="F222" t="s">
        <v>542</v>
      </c>
      <c r="G222" t="s">
        <v>54</v>
      </c>
      <c r="H222" t="s">
        <v>54</v>
      </c>
      <c r="I222" t="s">
        <v>54</v>
      </c>
      <c r="J222" t="s">
        <v>54</v>
      </c>
      <c r="K222" t="s">
        <v>54</v>
      </c>
      <c r="L222" t="s">
        <v>54</v>
      </c>
      <c r="M222" t="s">
        <v>520</v>
      </c>
      <c r="N222">
        <v>-1</v>
      </c>
      <c r="O222">
        <v>0</v>
      </c>
      <c r="P222">
        <v>-1</v>
      </c>
      <c r="Q222">
        <v>0</v>
      </c>
      <c r="R222" t="s">
        <v>70</v>
      </c>
      <c r="S222">
        <v>0</v>
      </c>
      <c r="T222">
        <v>0</v>
      </c>
      <c r="U222">
        <v>780</v>
      </c>
      <c r="V222" t="s">
        <v>57</v>
      </c>
      <c r="W222">
        <v>0</v>
      </c>
      <c r="X222">
        <v>0</v>
      </c>
      <c r="Y222">
        <v>0</v>
      </c>
      <c r="Z222">
        <v>0</v>
      </c>
      <c r="AA222" t="s">
        <v>67</v>
      </c>
      <c r="AB222">
        <v>0</v>
      </c>
      <c r="AC222">
        <v>0</v>
      </c>
      <c r="AD222">
        <v>0</v>
      </c>
      <c r="AE222">
        <v>0</v>
      </c>
      <c r="AF222" t="s">
        <v>60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s">
        <v>58</v>
      </c>
      <c r="AM222" t="s">
        <v>58</v>
      </c>
      <c r="AN222" t="s">
        <v>71</v>
      </c>
      <c r="AO222">
        <v>14</v>
      </c>
      <c r="AP222">
        <v>10</v>
      </c>
      <c r="AQ222">
        <v>5</v>
      </c>
      <c r="AR222">
        <v>11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s">
        <v>61</v>
      </c>
      <c r="BA222" t="s">
        <v>57</v>
      </c>
      <c r="BB222" t="s">
        <v>55</v>
      </c>
      <c r="BC222" t="s">
        <v>58</v>
      </c>
      <c r="BD222" t="s">
        <v>58</v>
      </c>
    </row>
    <row r="223" spans="1:56" x14ac:dyDescent="0.25">
      <c r="A223" t="str" cm="1">
        <f t="array" ref="A223">_xlfn.XLOOKUP(RIGHT(M223,8),TeamIdentity!C:C,TeamIdentity!A:A,NONE)</f>
        <v>Saints</v>
      </c>
      <c r="B223" t="str" cm="1">
        <f t="array" ref="B223">_xlfn.XLOOKUP(RIGHT(F223,8),TeamIdentity!C:C,TeamIdentity!A:A,NONE)</f>
        <v>Titans</v>
      </c>
      <c r="C223" t="s">
        <v>54</v>
      </c>
      <c r="D223" t="s">
        <v>54</v>
      </c>
      <c r="E223" t="s">
        <v>54</v>
      </c>
      <c r="F223" t="s">
        <v>534</v>
      </c>
      <c r="G223" t="s">
        <v>54</v>
      </c>
      <c r="H223" t="s">
        <v>54</v>
      </c>
      <c r="I223" t="s">
        <v>54</v>
      </c>
      <c r="J223" t="s">
        <v>54</v>
      </c>
      <c r="K223" t="s">
        <v>54</v>
      </c>
      <c r="L223" t="s">
        <v>54</v>
      </c>
      <c r="M223" t="s">
        <v>537</v>
      </c>
      <c r="N223">
        <v>-1</v>
      </c>
      <c r="O223">
        <v>0</v>
      </c>
      <c r="P223">
        <v>-1</v>
      </c>
      <c r="Q223">
        <v>0</v>
      </c>
      <c r="R223" t="s">
        <v>70</v>
      </c>
      <c r="S223">
        <v>0</v>
      </c>
      <c r="T223">
        <v>0</v>
      </c>
      <c r="U223">
        <v>780</v>
      </c>
      <c r="V223" t="s">
        <v>57</v>
      </c>
      <c r="W223">
        <v>0</v>
      </c>
      <c r="X223">
        <v>0</v>
      </c>
      <c r="Y223">
        <v>0</v>
      </c>
      <c r="Z223">
        <v>0</v>
      </c>
      <c r="AA223" t="s">
        <v>67</v>
      </c>
      <c r="AB223">
        <v>0</v>
      </c>
      <c r="AC223">
        <v>0</v>
      </c>
      <c r="AD223">
        <v>0</v>
      </c>
      <c r="AE223">
        <v>0</v>
      </c>
      <c r="AF223" t="s">
        <v>60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s">
        <v>58</v>
      </c>
      <c r="AM223" t="s">
        <v>58</v>
      </c>
      <c r="AN223" t="s">
        <v>71</v>
      </c>
      <c r="AO223">
        <v>14</v>
      </c>
      <c r="AP223">
        <v>10</v>
      </c>
      <c r="AQ223">
        <v>6</v>
      </c>
      <c r="AR223">
        <v>11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s">
        <v>61</v>
      </c>
      <c r="BA223" t="s">
        <v>57</v>
      </c>
      <c r="BB223" t="s">
        <v>55</v>
      </c>
      <c r="BC223" t="s">
        <v>58</v>
      </c>
      <c r="BD223" t="s">
        <v>58</v>
      </c>
    </row>
    <row r="224" spans="1:56" x14ac:dyDescent="0.25">
      <c r="A224" t="str" cm="1">
        <f t="array" ref="A224">_xlfn.XLOOKUP(RIGHT(M224,8),TeamIdentity!C:C,TeamIdentity!A:A,NONE)</f>
        <v>Cowboys</v>
      </c>
      <c r="B224" t="str" cm="1">
        <f t="array" ref="B224">_xlfn.XLOOKUP(RIGHT(F224,8),TeamIdentity!C:C,TeamIdentity!A:A,NONE)</f>
        <v>Eagles</v>
      </c>
      <c r="C224" t="s">
        <v>54</v>
      </c>
      <c r="D224" t="s">
        <v>54</v>
      </c>
      <c r="E224" t="s">
        <v>54</v>
      </c>
      <c r="F224" t="s">
        <v>519</v>
      </c>
      <c r="G224" t="s">
        <v>54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541</v>
      </c>
      <c r="N224">
        <v>-1</v>
      </c>
      <c r="O224">
        <v>0</v>
      </c>
      <c r="P224">
        <v>-1</v>
      </c>
      <c r="Q224">
        <v>0</v>
      </c>
      <c r="R224" t="s">
        <v>70</v>
      </c>
      <c r="S224">
        <v>0</v>
      </c>
      <c r="T224">
        <v>0</v>
      </c>
      <c r="U224">
        <v>975</v>
      </c>
      <c r="V224" t="s">
        <v>57</v>
      </c>
      <c r="W224">
        <v>0</v>
      </c>
      <c r="X224">
        <v>0</v>
      </c>
      <c r="Y224">
        <v>0</v>
      </c>
      <c r="Z224">
        <v>0</v>
      </c>
      <c r="AA224" t="s">
        <v>67</v>
      </c>
      <c r="AB224">
        <v>0</v>
      </c>
      <c r="AC224">
        <v>0</v>
      </c>
      <c r="AD224">
        <v>0</v>
      </c>
      <c r="AE224">
        <v>0</v>
      </c>
      <c r="AF224" t="s">
        <v>68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s">
        <v>58</v>
      </c>
      <c r="AM224" t="s">
        <v>58</v>
      </c>
      <c r="AN224" t="s">
        <v>71</v>
      </c>
      <c r="AO224">
        <v>14</v>
      </c>
      <c r="AP224">
        <v>11</v>
      </c>
      <c r="AQ224">
        <v>13</v>
      </c>
      <c r="AR224">
        <v>11</v>
      </c>
      <c r="AS224" t="b">
        <v>1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s">
        <v>61</v>
      </c>
      <c r="BA224" t="s">
        <v>57</v>
      </c>
      <c r="BB224" t="s">
        <v>55</v>
      </c>
      <c r="BC224" t="s">
        <v>58</v>
      </c>
      <c r="BD224" t="s">
        <v>58</v>
      </c>
    </row>
    <row r="225" spans="1:56" x14ac:dyDescent="0.25">
      <c r="A225" t="str" cm="1">
        <f t="array" ref="A225">_xlfn.XLOOKUP(RIGHT(M225,8),TeamIdentity!C:C,TeamIdentity!A:A,NONE)</f>
        <v>Jaguars</v>
      </c>
      <c r="B225" t="str" cm="1">
        <f t="array" ref="B225">_xlfn.XLOOKUP(RIGHT(F225,8),TeamIdentity!C:C,TeamIdentity!A:A,NONE)</f>
        <v>Colts</v>
      </c>
      <c r="C225" t="s">
        <v>54</v>
      </c>
      <c r="D225" t="s">
        <v>54</v>
      </c>
      <c r="E225" t="s">
        <v>54</v>
      </c>
      <c r="F225" t="s">
        <v>540</v>
      </c>
      <c r="G225" t="s">
        <v>54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536</v>
      </c>
      <c r="N225">
        <v>-1</v>
      </c>
      <c r="O225">
        <v>0</v>
      </c>
      <c r="P225">
        <v>-1</v>
      </c>
      <c r="Q225">
        <v>0</v>
      </c>
      <c r="R225" t="s">
        <v>70</v>
      </c>
      <c r="S225">
        <v>0</v>
      </c>
      <c r="T225">
        <v>0</v>
      </c>
      <c r="U225">
        <v>780</v>
      </c>
      <c r="V225" t="s">
        <v>57</v>
      </c>
      <c r="W225">
        <v>0</v>
      </c>
      <c r="X225">
        <v>0</v>
      </c>
      <c r="Y225">
        <v>0</v>
      </c>
      <c r="Z225">
        <v>0</v>
      </c>
      <c r="AA225" t="s">
        <v>67</v>
      </c>
      <c r="AB225">
        <v>0</v>
      </c>
      <c r="AC225">
        <v>0</v>
      </c>
      <c r="AD225">
        <v>0</v>
      </c>
      <c r="AE225">
        <v>0</v>
      </c>
      <c r="AF225" t="s">
        <v>60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s">
        <v>58</v>
      </c>
      <c r="AM225" t="s">
        <v>58</v>
      </c>
      <c r="AN225" t="s">
        <v>71</v>
      </c>
      <c r="AO225">
        <v>14</v>
      </c>
      <c r="AP225">
        <v>13</v>
      </c>
      <c r="AQ225">
        <v>0</v>
      </c>
      <c r="AR225">
        <v>11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s">
        <v>61</v>
      </c>
      <c r="BA225" t="s">
        <v>57</v>
      </c>
      <c r="BB225" t="s">
        <v>55</v>
      </c>
      <c r="BC225" t="s">
        <v>58</v>
      </c>
      <c r="BD225" t="s">
        <v>58</v>
      </c>
    </row>
    <row r="226" spans="1:56" x14ac:dyDescent="0.25">
      <c r="A226" t="str" cm="1">
        <f t="array" ref="A226">_xlfn.XLOOKUP(RIGHT(M226,8),TeamIdentity!C:C,TeamIdentity!A:A,NONE)</f>
        <v>Vikings</v>
      </c>
      <c r="B226" t="str" cm="1">
        <f t="array" ref="B226">_xlfn.XLOOKUP(RIGHT(F226,8),TeamIdentity!C:C,TeamIdentity!A:A,NONE)</f>
        <v>Saints</v>
      </c>
      <c r="C226" t="s">
        <v>54</v>
      </c>
      <c r="D226" t="s">
        <v>54</v>
      </c>
      <c r="E226" t="s">
        <v>54</v>
      </c>
      <c r="F226" t="s">
        <v>537</v>
      </c>
      <c r="G226" t="s">
        <v>54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526</v>
      </c>
      <c r="N226">
        <v>-1</v>
      </c>
      <c r="O226">
        <v>0</v>
      </c>
      <c r="P226">
        <v>-1</v>
      </c>
      <c r="Q226">
        <v>0</v>
      </c>
      <c r="R226" t="s">
        <v>70</v>
      </c>
      <c r="S226">
        <v>0</v>
      </c>
      <c r="T226">
        <v>0</v>
      </c>
      <c r="U226">
        <v>780</v>
      </c>
      <c r="V226" t="s">
        <v>57</v>
      </c>
      <c r="W226">
        <v>0</v>
      </c>
      <c r="X226">
        <v>0</v>
      </c>
      <c r="Y226">
        <v>0</v>
      </c>
      <c r="Z226">
        <v>0</v>
      </c>
      <c r="AA226" t="s">
        <v>67</v>
      </c>
      <c r="AB226">
        <v>0</v>
      </c>
      <c r="AC226">
        <v>0</v>
      </c>
      <c r="AD226">
        <v>0</v>
      </c>
      <c r="AE226">
        <v>0</v>
      </c>
      <c r="AF226" t="s">
        <v>60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s">
        <v>58</v>
      </c>
      <c r="AM226" t="s">
        <v>58</v>
      </c>
      <c r="AN226" t="s">
        <v>71</v>
      </c>
      <c r="AO226">
        <v>14</v>
      </c>
      <c r="AP226">
        <v>11</v>
      </c>
      <c r="AQ226">
        <v>2</v>
      </c>
      <c r="AR226">
        <v>11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s">
        <v>61</v>
      </c>
      <c r="BA226" t="s">
        <v>57</v>
      </c>
      <c r="BB226" t="s">
        <v>55</v>
      </c>
      <c r="BC226" t="s">
        <v>58</v>
      </c>
      <c r="BD226" t="s">
        <v>58</v>
      </c>
    </row>
    <row r="227" spans="1:56" x14ac:dyDescent="0.25">
      <c r="A227" t="str" cm="1">
        <f t="array" ref="A227">_xlfn.XLOOKUP(RIGHT(M227,8),TeamIdentity!C:C,TeamIdentity!A:A,NONE)</f>
        <v>Commanders</v>
      </c>
      <c r="B227" t="str" cm="1">
        <f t="array" ref="B227">_xlfn.XLOOKUP(RIGHT(F227,8),TeamIdentity!C:C,TeamIdentity!A:A,NONE)</f>
        <v>Chiefs</v>
      </c>
      <c r="C227" t="s">
        <v>54</v>
      </c>
      <c r="D227" t="s">
        <v>54</v>
      </c>
      <c r="E227" t="s">
        <v>54</v>
      </c>
      <c r="F227" t="s">
        <v>535</v>
      </c>
      <c r="G227" t="s">
        <v>54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521</v>
      </c>
      <c r="N227">
        <v>-1</v>
      </c>
      <c r="O227">
        <v>0</v>
      </c>
      <c r="P227">
        <v>-1</v>
      </c>
      <c r="Q227">
        <v>0</v>
      </c>
      <c r="R227" t="s">
        <v>70</v>
      </c>
      <c r="S227">
        <v>0</v>
      </c>
      <c r="T227">
        <v>0</v>
      </c>
      <c r="U227">
        <v>975</v>
      </c>
      <c r="V227" t="s">
        <v>57</v>
      </c>
      <c r="W227">
        <v>0</v>
      </c>
      <c r="X227">
        <v>0</v>
      </c>
      <c r="Y227">
        <v>0</v>
      </c>
      <c r="Z227">
        <v>0</v>
      </c>
      <c r="AA227" t="s">
        <v>67</v>
      </c>
      <c r="AB227">
        <v>0</v>
      </c>
      <c r="AC227">
        <v>0</v>
      </c>
      <c r="AD227">
        <v>0</v>
      </c>
      <c r="AE227">
        <v>0</v>
      </c>
      <c r="AF227" t="s">
        <v>60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s">
        <v>58</v>
      </c>
      <c r="AM227" t="s">
        <v>58</v>
      </c>
      <c r="AN227" t="s">
        <v>71</v>
      </c>
      <c r="AO227">
        <v>14</v>
      </c>
      <c r="AP227">
        <v>12</v>
      </c>
      <c r="AQ227">
        <v>9</v>
      </c>
      <c r="AR227">
        <v>11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s">
        <v>61</v>
      </c>
      <c r="BA227" t="s">
        <v>57</v>
      </c>
      <c r="BB227" t="s">
        <v>55</v>
      </c>
      <c r="BC227" t="s">
        <v>58</v>
      </c>
      <c r="BD227" t="s">
        <v>58</v>
      </c>
    </row>
    <row r="228" spans="1:56" x14ac:dyDescent="0.25">
      <c r="A228" t="str" cm="1">
        <f t="array" ref="A228">_xlfn.XLOOKUP(RIGHT(M228,8),TeamIdentity!C:C,TeamIdentity!A:A,NONE)</f>
        <v>Falcons</v>
      </c>
      <c r="B228" t="str" cm="1">
        <f t="array" ref="B228">_xlfn.XLOOKUP(RIGHT(F228,8),TeamIdentity!C:C,TeamIdentity!A:A,NONE)</f>
        <v>Saints</v>
      </c>
      <c r="C228" t="s">
        <v>54</v>
      </c>
      <c r="D228" t="s">
        <v>54</v>
      </c>
      <c r="E228" t="s">
        <v>54</v>
      </c>
      <c r="F228" t="s">
        <v>537</v>
      </c>
      <c r="G228" t="s">
        <v>54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515</v>
      </c>
      <c r="N228">
        <v>-1</v>
      </c>
      <c r="O228">
        <v>0</v>
      </c>
      <c r="P228">
        <v>-1</v>
      </c>
      <c r="Q228">
        <v>0</v>
      </c>
      <c r="R228" t="s">
        <v>70</v>
      </c>
      <c r="S228">
        <v>0</v>
      </c>
      <c r="T228">
        <v>0</v>
      </c>
      <c r="U228">
        <v>1220</v>
      </c>
      <c r="V228" t="s">
        <v>57</v>
      </c>
      <c r="W228">
        <v>0</v>
      </c>
      <c r="X228">
        <v>0</v>
      </c>
      <c r="Y228">
        <v>0</v>
      </c>
      <c r="Z228">
        <v>0</v>
      </c>
      <c r="AA228" t="s">
        <v>68</v>
      </c>
      <c r="AB228">
        <v>0</v>
      </c>
      <c r="AC228">
        <v>0</v>
      </c>
      <c r="AD228">
        <v>0</v>
      </c>
      <c r="AE228">
        <v>0</v>
      </c>
      <c r="AF228" t="s">
        <v>68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s">
        <v>58</v>
      </c>
      <c r="AM228" t="s">
        <v>58</v>
      </c>
      <c r="AN228" t="s">
        <v>71</v>
      </c>
      <c r="AO228">
        <v>14</v>
      </c>
      <c r="AP228">
        <v>13</v>
      </c>
      <c r="AQ228">
        <v>13</v>
      </c>
      <c r="AR228">
        <v>11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s">
        <v>61</v>
      </c>
      <c r="BA228" t="s">
        <v>57</v>
      </c>
      <c r="BB228" t="s">
        <v>55</v>
      </c>
      <c r="BC228" t="s">
        <v>58</v>
      </c>
      <c r="BD228" t="s">
        <v>58</v>
      </c>
    </row>
    <row r="229" spans="1:56" x14ac:dyDescent="0.25">
      <c r="A229" t="str" cm="1">
        <f t="array" ref="A229">_xlfn.XLOOKUP(RIGHT(M229,8),TeamIdentity!C:C,TeamIdentity!A:A,NONE)</f>
        <v>Browns</v>
      </c>
      <c r="B229" t="str" cm="1">
        <f t="array" ref="B229">_xlfn.XLOOKUP(RIGHT(F229,8),TeamIdentity!C:C,TeamIdentity!A:A,NONE)</f>
        <v>Steelers</v>
      </c>
      <c r="C229" t="s">
        <v>54</v>
      </c>
      <c r="D229" t="s">
        <v>54</v>
      </c>
      <c r="E229" t="s">
        <v>54</v>
      </c>
      <c r="F229" t="s">
        <v>518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530</v>
      </c>
      <c r="N229">
        <v>-1</v>
      </c>
      <c r="O229">
        <v>0</v>
      </c>
      <c r="P229">
        <v>-1</v>
      </c>
      <c r="Q229">
        <v>0</v>
      </c>
      <c r="R229" t="s">
        <v>70</v>
      </c>
      <c r="S229">
        <v>0</v>
      </c>
      <c r="T229">
        <v>0</v>
      </c>
      <c r="U229">
        <v>780</v>
      </c>
      <c r="V229" t="s">
        <v>57</v>
      </c>
      <c r="W229">
        <v>0</v>
      </c>
      <c r="X229">
        <v>0</v>
      </c>
      <c r="Y229">
        <v>0</v>
      </c>
      <c r="Z229">
        <v>0</v>
      </c>
      <c r="AA229" t="s">
        <v>67</v>
      </c>
      <c r="AB229">
        <v>0</v>
      </c>
      <c r="AC229">
        <v>0</v>
      </c>
      <c r="AD229">
        <v>0</v>
      </c>
      <c r="AE229">
        <v>0</v>
      </c>
      <c r="AF229" t="s">
        <v>60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s">
        <v>58</v>
      </c>
      <c r="AM229" t="s">
        <v>58</v>
      </c>
      <c r="AN229" t="s">
        <v>71</v>
      </c>
      <c r="AO229">
        <v>14</v>
      </c>
      <c r="AP229">
        <v>12</v>
      </c>
      <c r="AQ229">
        <v>0</v>
      </c>
      <c r="AR229">
        <v>11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s">
        <v>61</v>
      </c>
      <c r="BA229" t="s">
        <v>57</v>
      </c>
      <c r="BB229" t="s">
        <v>55</v>
      </c>
      <c r="BC229" t="s">
        <v>58</v>
      </c>
      <c r="BD229" t="s">
        <v>58</v>
      </c>
    </row>
    <row r="230" spans="1:56" x14ac:dyDescent="0.25">
      <c r="A230" t="str" cm="1">
        <f t="array" ref="A230">_xlfn.XLOOKUP(RIGHT(M230,8),TeamIdentity!C:C,TeamIdentity!A:A,NONE)</f>
        <v>Buccaneers</v>
      </c>
      <c r="B230" t="str" cm="1">
        <f t="array" ref="B230">_xlfn.XLOOKUP(RIGHT(F230,8),TeamIdentity!C:C,TeamIdentity!A:A,NONE)</f>
        <v>Colts</v>
      </c>
      <c r="C230" t="s">
        <v>54</v>
      </c>
      <c r="D230" t="s">
        <v>54</v>
      </c>
      <c r="E230" t="s">
        <v>54</v>
      </c>
      <c r="F230" t="s">
        <v>540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531</v>
      </c>
      <c r="N230">
        <v>-1</v>
      </c>
      <c r="O230">
        <v>0</v>
      </c>
      <c r="P230">
        <v>-1</v>
      </c>
      <c r="Q230">
        <v>0</v>
      </c>
      <c r="R230" t="s">
        <v>70</v>
      </c>
      <c r="S230">
        <v>0</v>
      </c>
      <c r="T230">
        <v>0</v>
      </c>
      <c r="U230">
        <v>780</v>
      </c>
      <c r="V230" t="s">
        <v>57</v>
      </c>
      <c r="W230">
        <v>0</v>
      </c>
      <c r="X230">
        <v>0</v>
      </c>
      <c r="Y230">
        <v>0</v>
      </c>
      <c r="Z230">
        <v>0</v>
      </c>
      <c r="AA230" t="s">
        <v>67</v>
      </c>
      <c r="AB230">
        <v>0</v>
      </c>
      <c r="AC230">
        <v>0</v>
      </c>
      <c r="AD230">
        <v>0</v>
      </c>
      <c r="AE230">
        <v>0</v>
      </c>
      <c r="AF230" t="s">
        <v>60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s">
        <v>58</v>
      </c>
      <c r="AM230" t="s">
        <v>58</v>
      </c>
      <c r="AN230" t="s">
        <v>71</v>
      </c>
      <c r="AO230">
        <v>14</v>
      </c>
      <c r="AP230">
        <v>12</v>
      </c>
      <c r="AQ230">
        <v>1</v>
      </c>
      <c r="AR230">
        <v>11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s">
        <v>61</v>
      </c>
      <c r="BA230" t="s">
        <v>57</v>
      </c>
      <c r="BB230" t="s">
        <v>55</v>
      </c>
      <c r="BC230" t="s">
        <v>58</v>
      </c>
      <c r="BD230" t="s">
        <v>58</v>
      </c>
    </row>
    <row r="231" spans="1:56" x14ac:dyDescent="0.25">
      <c r="A231" t="str" cm="1">
        <f t="array" ref="A231">_xlfn.XLOOKUP(RIGHT(M231,8),TeamIdentity!C:C,TeamIdentity!A:A,NONE)</f>
        <v>Lions</v>
      </c>
      <c r="B231" t="str" cm="1">
        <f t="array" ref="B231">_xlfn.XLOOKUP(RIGHT(F231,8),TeamIdentity!C:C,TeamIdentity!A:A,NONE)</f>
        <v>Packers</v>
      </c>
      <c r="C231" t="s">
        <v>54</v>
      </c>
      <c r="D231" t="s">
        <v>54</v>
      </c>
      <c r="E231" t="s">
        <v>54</v>
      </c>
      <c r="F231" t="s">
        <v>529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513</v>
      </c>
      <c r="N231">
        <v>-1</v>
      </c>
      <c r="O231">
        <v>0</v>
      </c>
      <c r="P231">
        <v>-1</v>
      </c>
      <c r="Q231">
        <v>0</v>
      </c>
      <c r="R231" t="s">
        <v>70</v>
      </c>
      <c r="S231">
        <v>0</v>
      </c>
      <c r="T231">
        <v>0</v>
      </c>
      <c r="U231">
        <v>780</v>
      </c>
      <c r="V231" t="s">
        <v>57</v>
      </c>
      <c r="W231">
        <v>0</v>
      </c>
      <c r="X231">
        <v>0</v>
      </c>
      <c r="Y231">
        <v>0</v>
      </c>
      <c r="Z231">
        <v>0</v>
      </c>
      <c r="AA231" t="s">
        <v>67</v>
      </c>
      <c r="AB231">
        <v>0</v>
      </c>
      <c r="AC231">
        <v>0</v>
      </c>
      <c r="AD231">
        <v>0</v>
      </c>
      <c r="AE231">
        <v>0</v>
      </c>
      <c r="AF231" t="s">
        <v>60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s">
        <v>58</v>
      </c>
      <c r="AM231" t="s">
        <v>58</v>
      </c>
      <c r="AN231" t="s">
        <v>71</v>
      </c>
      <c r="AO231">
        <v>14</v>
      </c>
      <c r="AP231">
        <v>12</v>
      </c>
      <c r="AQ231">
        <v>2</v>
      </c>
      <c r="AR231">
        <v>11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s">
        <v>61</v>
      </c>
      <c r="BA231" t="s">
        <v>57</v>
      </c>
      <c r="BB231" t="s">
        <v>55</v>
      </c>
      <c r="BC231" t="s">
        <v>58</v>
      </c>
      <c r="BD231" t="s">
        <v>58</v>
      </c>
    </row>
    <row r="232" spans="1:56" x14ac:dyDescent="0.25">
      <c r="A232" t="str" cm="1">
        <f t="array" ref="A232">_xlfn.XLOOKUP(RIGHT(M232,8),TeamIdentity!C:C,TeamIdentity!A:A,NONE)</f>
        <v>Steelers</v>
      </c>
      <c r="B232" t="str" cm="1">
        <f t="array" ref="B232">_xlfn.XLOOKUP(RIGHT(F232,8),TeamIdentity!C:C,TeamIdentity!A:A,NONE)</f>
        <v>Jaguars</v>
      </c>
      <c r="C232" t="s">
        <v>54</v>
      </c>
      <c r="D232" t="s">
        <v>54</v>
      </c>
      <c r="E232" t="s">
        <v>54</v>
      </c>
      <c r="F232" t="s">
        <v>536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518</v>
      </c>
      <c r="N232">
        <v>-1</v>
      </c>
      <c r="O232">
        <v>0</v>
      </c>
      <c r="P232">
        <v>-1</v>
      </c>
      <c r="Q232">
        <v>0</v>
      </c>
      <c r="R232" t="s">
        <v>70</v>
      </c>
      <c r="S232">
        <v>0</v>
      </c>
      <c r="T232">
        <v>0</v>
      </c>
      <c r="U232">
        <v>1230</v>
      </c>
      <c r="V232" t="s">
        <v>57</v>
      </c>
      <c r="W232">
        <v>0</v>
      </c>
      <c r="X232">
        <v>0</v>
      </c>
      <c r="Y232">
        <v>0</v>
      </c>
      <c r="Z232">
        <v>0</v>
      </c>
      <c r="AA232" t="s">
        <v>65</v>
      </c>
      <c r="AB232">
        <v>0</v>
      </c>
      <c r="AC232">
        <v>0</v>
      </c>
      <c r="AD232">
        <v>0</v>
      </c>
      <c r="AE232">
        <v>0</v>
      </c>
      <c r="AF232" t="s">
        <v>65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s">
        <v>58</v>
      </c>
      <c r="AM232" t="s">
        <v>58</v>
      </c>
      <c r="AN232" t="s">
        <v>71</v>
      </c>
      <c r="AO232">
        <v>14</v>
      </c>
      <c r="AP232">
        <v>11</v>
      </c>
      <c r="AQ232">
        <v>11</v>
      </c>
      <c r="AR232">
        <v>11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s">
        <v>61</v>
      </c>
      <c r="BA232" t="s">
        <v>57</v>
      </c>
      <c r="BB232" t="s">
        <v>55</v>
      </c>
      <c r="BC232" t="s">
        <v>58</v>
      </c>
      <c r="BD232" t="s">
        <v>58</v>
      </c>
    </row>
    <row r="233" spans="1:56" x14ac:dyDescent="0.25">
      <c r="A233" t="str" cm="1">
        <f t="array" ref="A233">_xlfn.XLOOKUP(RIGHT(M233,8),TeamIdentity!C:C,TeamIdentity!A:A,NONE)</f>
        <v>Lions</v>
      </c>
      <c r="B233" t="str" cm="1">
        <f t="array" ref="B233">_xlfn.XLOOKUP(RIGHT(F233,8),TeamIdentity!C:C,TeamIdentity!A:A,NONE)</f>
        <v>Bears</v>
      </c>
      <c r="C233" t="s">
        <v>54</v>
      </c>
      <c r="D233" t="s">
        <v>54</v>
      </c>
      <c r="E233" t="s">
        <v>54</v>
      </c>
      <c r="F233" t="s">
        <v>523</v>
      </c>
      <c r="G233" t="s">
        <v>54</v>
      </c>
      <c r="H233" t="s">
        <v>54</v>
      </c>
      <c r="I233" t="s">
        <v>54</v>
      </c>
      <c r="J233" t="s">
        <v>54</v>
      </c>
      <c r="K233" t="s">
        <v>54</v>
      </c>
      <c r="L233" t="s">
        <v>54</v>
      </c>
      <c r="M233" t="s">
        <v>513</v>
      </c>
      <c r="N233">
        <v>-1</v>
      </c>
      <c r="O233">
        <v>0</v>
      </c>
      <c r="P233">
        <v>-1</v>
      </c>
      <c r="Q233">
        <v>0</v>
      </c>
      <c r="R233" t="s">
        <v>70</v>
      </c>
      <c r="S233">
        <v>0</v>
      </c>
      <c r="T233">
        <v>0</v>
      </c>
      <c r="U233">
        <v>750</v>
      </c>
      <c r="V233" t="s">
        <v>57</v>
      </c>
      <c r="W233">
        <v>0</v>
      </c>
      <c r="X233">
        <v>0</v>
      </c>
      <c r="Y233">
        <v>0</v>
      </c>
      <c r="Z233">
        <v>0</v>
      </c>
      <c r="AA233" t="s">
        <v>67</v>
      </c>
      <c r="AB233">
        <v>0</v>
      </c>
      <c r="AC233">
        <v>0</v>
      </c>
      <c r="AD233">
        <v>0</v>
      </c>
      <c r="AE233">
        <v>0</v>
      </c>
      <c r="AF233" t="s">
        <v>68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s">
        <v>58</v>
      </c>
      <c r="AM233" t="s">
        <v>58</v>
      </c>
      <c r="AN233" t="s">
        <v>71</v>
      </c>
      <c r="AO233">
        <v>14</v>
      </c>
      <c r="AP233">
        <v>11</v>
      </c>
      <c r="AQ233">
        <v>12</v>
      </c>
      <c r="AR233">
        <v>11</v>
      </c>
      <c r="AS233" t="b">
        <v>1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s">
        <v>61</v>
      </c>
      <c r="BA233" t="s">
        <v>57</v>
      </c>
      <c r="BB233" t="s">
        <v>55</v>
      </c>
      <c r="BC233" t="s">
        <v>58</v>
      </c>
      <c r="BD233" t="s">
        <v>58</v>
      </c>
    </row>
    <row r="234" spans="1:56" x14ac:dyDescent="0.25">
      <c r="A234" t="str" cm="1">
        <f t="array" ref="A234">_xlfn.XLOOKUP(RIGHT(M234,8),TeamIdentity!C:C,TeamIdentity!A:A,NONE)</f>
        <v>Broncos</v>
      </c>
      <c r="B234" t="str" cm="1">
        <f t="array" ref="B234">_xlfn.XLOOKUP(RIGHT(F234,8),TeamIdentity!C:C,TeamIdentity!A:A,NONE)</f>
        <v>Jets</v>
      </c>
      <c r="C234" t="s">
        <v>54</v>
      </c>
      <c r="D234" t="s">
        <v>54</v>
      </c>
      <c r="E234" t="s">
        <v>54</v>
      </c>
      <c r="F234" t="s">
        <v>522</v>
      </c>
      <c r="G234" t="s">
        <v>54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539</v>
      </c>
      <c r="N234">
        <v>-1</v>
      </c>
      <c r="O234">
        <v>0</v>
      </c>
      <c r="P234">
        <v>-1</v>
      </c>
      <c r="Q234">
        <v>0</v>
      </c>
      <c r="R234" t="s">
        <v>70</v>
      </c>
      <c r="S234">
        <v>0</v>
      </c>
      <c r="T234">
        <v>0</v>
      </c>
      <c r="U234">
        <v>975</v>
      </c>
      <c r="V234" t="s">
        <v>57</v>
      </c>
      <c r="W234">
        <v>0</v>
      </c>
      <c r="X234">
        <v>0</v>
      </c>
      <c r="Y234">
        <v>0</v>
      </c>
      <c r="Z234">
        <v>0</v>
      </c>
      <c r="AA234" t="s">
        <v>67</v>
      </c>
      <c r="AB234">
        <v>0</v>
      </c>
      <c r="AC234">
        <v>0</v>
      </c>
      <c r="AD234">
        <v>0</v>
      </c>
      <c r="AE234">
        <v>0</v>
      </c>
      <c r="AF234" t="s">
        <v>60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s">
        <v>58</v>
      </c>
      <c r="AM234" t="s">
        <v>58</v>
      </c>
      <c r="AN234" t="s">
        <v>71</v>
      </c>
      <c r="AO234">
        <v>14</v>
      </c>
      <c r="AP234">
        <v>12</v>
      </c>
      <c r="AQ234">
        <v>10</v>
      </c>
      <c r="AR234">
        <v>11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s">
        <v>61</v>
      </c>
      <c r="BA234" t="s">
        <v>57</v>
      </c>
      <c r="BB234" t="s">
        <v>55</v>
      </c>
      <c r="BC234" t="s">
        <v>58</v>
      </c>
      <c r="BD234" t="s">
        <v>58</v>
      </c>
    </row>
    <row r="235" spans="1:56" x14ac:dyDescent="0.25">
      <c r="A235" t="str" cm="1">
        <f t="array" ref="A235">_xlfn.XLOOKUP(RIGHT(M235,8),TeamIdentity!C:C,TeamIdentity!A:A,NONE)</f>
        <v>Jaguars</v>
      </c>
      <c r="B235" t="str" cm="1">
        <f t="array" ref="B235">_xlfn.XLOOKUP(RIGHT(F235,8),TeamIdentity!C:C,TeamIdentity!A:A,NONE)</f>
        <v>Saints</v>
      </c>
      <c r="C235" t="s">
        <v>54</v>
      </c>
      <c r="D235" t="s">
        <v>54</v>
      </c>
      <c r="E235" t="s">
        <v>54</v>
      </c>
      <c r="F235" t="s">
        <v>537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536</v>
      </c>
      <c r="N235">
        <v>-1</v>
      </c>
      <c r="O235">
        <v>0</v>
      </c>
      <c r="P235">
        <v>-1</v>
      </c>
      <c r="Q235">
        <v>0</v>
      </c>
      <c r="R235" t="s">
        <v>70</v>
      </c>
      <c r="S235">
        <v>0</v>
      </c>
      <c r="T235">
        <v>0</v>
      </c>
      <c r="U235">
        <v>780</v>
      </c>
      <c r="V235" t="s">
        <v>57</v>
      </c>
      <c r="W235">
        <v>0</v>
      </c>
      <c r="X235">
        <v>0</v>
      </c>
      <c r="Y235">
        <v>0</v>
      </c>
      <c r="Z235">
        <v>0</v>
      </c>
      <c r="AA235" t="s">
        <v>67</v>
      </c>
      <c r="AB235">
        <v>0</v>
      </c>
      <c r="AC235">
        <v>0</v>
      </c>
      <c r="AD235">
        <v>0</v>
      </c>
      <c r="AE235">
        <v>0</v>
      </c>
      <c r="AF235" t="s">
        <v>60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s">
        <v>58</v>
      </c>
      <c r="AM235" t="s">
        <v>58</v>
      </c>
      <c r="AN235" t="s">
        <v>71</v>
      </c>
      <c r="AO235">
        <v>14</v>
      </c>
      <c r="AP235">
        <v>12</v>
      </c>
      <c r="AQ235">
        <v>3</v>
      </c>
      <c r="AR235">
        <v>11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s">
        <v>61</v>
      </c>
      <c r="BA235" t="s">
        <v>57</v>
      </c>
      <c r="BB235" t="s">
        <v>55</v>
      </c>
      <c r="BC235" t="s">
        <v>58</v>
      </c>
      <c r="BD235" t="s">
        <v>58</v>
      </c>
    </row>
    <row r="236" spans="1:56" x14ac:dyDescent="0.25">
      <c r="A236" t="str" cm="1">
        <f t="array" ref="A236">_xlfn.XLOOKUP(RIGHT(M236,8),TeamIdentity!C:C,TeamIdentity!A:A,NONE)</f>
        <v>Eagles</v>
      </c>
      <c r="B236" t="str" cm="1">
        <f t="array" ref="B236">_xlfn.XLOOKUP(RIGHT(F236,8),TeamIdentity!C:C,TeamIdentity!A:A,NONE)</f>
        <v>Cowboys</v>
      </c>
      <c r="C236" t="s">
        <v>54</v>
      </c>
      <c r="D236" t="s">
        <v>54</v>
      </c>
      <c r="E236" t="s">
        <v>54</v>
      </c>
      <c r="F236" t="s">
        <v>541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519</v>
      </c>
      <c r="N236">
        <v>-1</v>
      </c>
      <c r="O236">
        <v>0</v>
      </c>
      <c r="P236">
        <v>-1</v>
      </c>
      <c r="Q236">
        <v>0</v>
      </c>
      <c r="R236" t="s">
        <v>70</v>
      </c>
      <c r="S236">
        <v>0</v>
      </c>
      <c r="T236">
        <v>0</v>
      </c>
      <c r="U236">
        <v>1220</v>
      </c>
      <c r="V236" t="s">
        <v>57</v>
      </c>
      <c r="W236">
        <v>0</v>
      </c>
      <c r="X236">
        <v>0</v>
      </c>
      <c r="Y236">
        <v>0</v>
      </c>
      <c r="Z236">
        <v>0</v>
      </c>
      <c r="AA236" t="s">
        <v>60</v>
      </c>
      <c r="AB236">
        <v>0</v>
      </c>
      <c r="AC236">
        <v>0</v>
      </c>
      <c r="AD236">
        <v>0</v>
      </c>
      <c r="AE236">
        <v>0</v>
      </c>
      <c r="AF236" t="s">
        <v>60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s">
        <v>58</v>
      </c>
      <c r="AM236" t="s">
        <v>58</v>
      </c>
      <c r="AN236" t="s">
        <v>71</v>
      </c>
      <c r="AO236">
        <v>14</v>
      </c>
      <c r="AP236">
        <v>13</v>
      </c>
      <c r="AQ236">
        <v>11</v>
      </c>
      <c r="AR236">
        <v>11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s">
        <v>61</v>
      </c>
      <c r="BA236" t="s">
        <v>57</v>
      </c>
      <c r="BB236" t="s">
        <v>55</v>
      </c>
      <c r="BC236" t="s">
        <v>58</v>
      </c>
      <c r="BD236" t="s">
        <v>58</v>
      </c>
    </row>
    <row r="237" spans="1:56" x14ac:dyDescent="0.25">
      <c r="A237" t="str" cm="1">
        <f t="array" ref="A237">_xlfn.XLOOKUP(RIGHT(M237,8),TeamIdentity!C:C,TeamIdentity!A:A,NONE)</f>
        <v>Ravens</v>
      </c>
      <c r="B237" t="str" cm="1">
        <f t="array" ref="B237">_xlfn.XLOOKUP(RIGHT(F237,8),TeamIdentity!C:C,TeamIdentity!A:A,NONE)</f>
        <v>Jets</v>
      </c>
      <c r="C237" t="s">
        <v>54</v>
      </c>
      <c r="D237" t="s">
        <v>54</v>
      </c>
      <c r="E237" t="s">
        <v>54</v>
      </c>
      <c r="F237" t="s">
        <v>522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520</v>
      </c>
      <c r="N237">
        <v>-1</v>
      </c>
      <c r="O237">
        <v>0</v>
      </c>
      <c r="P237">
        <v>-1</v>
      </c>
      <c r="Q237">
        <v>0</v>
      </c>
      <c r="R237" t="s">
        <v>70</v>
      </c>
      <c r="S237">
        <v>0</v>
      </c>
      <c r="T237">
        <v>0</v>
      </c>
      <c r="U237">
        <v>780</v>
      </c>
      <c r="V237" t="s">
        <v>57</v>
      </c>
      <c r="W237">
        <v>0</v>
      </c>
      <c r="X237">
        <v>0</v>
      </c>
      <c r="Y237">
        <v>0</v>
      </c>
      <c r="Z237">
        <v>0</v>
      </c>
      <c r="AA237" t="s">
        <v>67</v>
      </c>
      <c r="AB237">
        <v>0</v>
      </c>
      <c r="AC237">
        <v>0</v>
      </c>
      <c r="AD237">
        <v>0</v>
      </c>
      <c r="AE237">
        <v>0</v>
      </c>
      <c r="AF237" t="s">
        <v>60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s">
        <v>58</v>
      </c>
      <c r="AM237" t="s">
        <v>58</v>
      </c>
      <c r="AN237" t="s">
        <v>71</v>
      </c>
      <c r="AO237">
        <v>14</v>
      </c>
      <c r="AP237">
        <v>11</v>
      </c>
      <c r="AQ237">
        <v>3</v>
      </c>
      <c r="AR237">
        <v>11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s">
        <v>61</v>
      </c>
      <c r="BA237" t="s">
        <v>57</v>
      </c>
      <c r="BB237" t="s">
        <v>55</v>
      </c>
      <c r="BC237" t="s">
        <v>58</v>
      </c>
      <c r="BD237" t="s">
        <v>58</v>
      </c>
    </row>
    <row r="238" spans="1:56" x14ac:dyDescent="0.25">
      <c r="A238" t="str" cm="1">
        <f t="array" ref="A238">_xlfn.XLOOKUP(RIGHT(M238,8),TeamIdentity!C:C,TeamIdentity!A:A,NONE)</f>
        <v>Bills</v>
      </c>
      <c r="B238" t="str" cm="1">
        <f t="array" ref="B238">_xlfn.XLOOKUP(RIGHT(F238,8),TeamIdentity!C:C,TeamIdentity!A:A,NONE)</f>
        <v>Cowboys</v>
      </c>
      <c r="C238" t="s">
        <v>54</v>
      </c>
      <c r="D238" t="s">
        <v>54</v>
      </c>
      <c r="E238" t="s">
        <v>54</v>
      </c>
      <c r="F238" t="s">
        <v>541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524</v>
      </c>
      <c r="N238">
        <v>-1</v>
      </c>
      <c r="O238">
        <v>0</v>
      </c>
      <c r="P238">
        <v>-1</v>
      </c>
      <c r="Q238">
        <v>0</v>
      </c>
      <c r="R238" t="s">
        <v>70</v>
      </c>
      <c r="S238">
        <v>0</v>
      </c>
      <c r="T238">
        <v>0</v>
      </c>
      <c r="U238">
        <v>780</v>
      </c>
      <c r="V238" t="s">
        <v>57</v>
      </c>
      <c r="W238">
        <v>0</v>
      </c>
      <c r="X238">
        <v>0</v>
      </c>
      <c r="Y238">
        <v>0</v>
      </c>
      <c r="Z238">
        <v>0</v>
      </c>
      <c r="AA238" t="s">
        <v>67</v>
      </c>
      <c r="AB238">
        <v>0</v>
      </c>
      <c r="AC238">
        <v>0</v>
      </c>
      <c r="AD238">
        <v>0</v>
      </c>
      <c r="AE238">
        <v>0</v>
      </c>
      <c r="AF238" t="s">
        <v>60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s">
        <v>58</v>
      </c>
      <c r="AM238" t="s">
        <v>58</v>
      </c>
      <c r="AN238" t="s">
        <v>71</v>
      </c>
      <c r="AO238">
        <v>14</v>
      </c>
      <c r="AP238">
        <v>10</v>
      </c>
      <c r="AQ238">
        <v>7</v>
      </c>
      <c r="AR238">
        <v>11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s">
        <v>61</v>
      </c>
      <c r="BA238" t="s">
        <v>57</v>
      </c>
      <c r="BB238" t="s">
        <v>55</v>
      </c>
      <c r="BC238" t="s">
        <v>58</v>
      </c>
      <c r="BD238" t="s">
        <v>58</v>
      </c>
    </row>
    <row r="239" spans="1:56" x14ac:dyDescent="0.25">
      <c r="A239" t="str" cm="1">
        <f t="array" ref="A239">_xlfn.XLOOKUP(RIGHT(M239,8),TeamIdentity!C:C,TeamIdentity!A:A,NONE)</f>
        <v>Seahawks</v>
      </c>
      <c r="B239" t="str" cm="1">
        <f t="array" ref="B239">_xlfn.XLOOKUP(RIGHT(F239,8),TeamIdentity!C:C,TeamIdentity!A:A,NONE)</f>
        <v>Bengals</v>
      </c>
      <c r="C239" t="s">
        <v>54</v>
      </c>
      <c r="D239" t="s">
        <v>54</v>
      </c>
      <c r="E239" t="s">
        <v>54</v>
      </c>
      <c r="F239" t="s">
        <v>532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527</v>
      </c>
      <c r="N239">
        <v>-1</v>
      </c>
      <c r="O239">
        <v>0</v>
      </c>
      <c r="P239">
        <v>-1</v>
      </c>
      <c r="Q239">
        <v>0</v>
      </c>
      <c r="R239" t="s">
        <v>70</v>
      </c>
      <c r="S239">
        <v>0</v>
      </c>
      <c r="T239">
        <v>0</v>
      </c>
      <c r="U239">
        <v>1200</v>
      </c>
      <c r="V239" t="s">
        <v>57</v>
      </c>
      <c r="W239">
        <v>0</v>
      </c>
      <c r="X239">
        <v>0</v>
      </c>
      <c r="Y239">
        <v>0</v>
      </c>
      <c r="Z239">
        <v>0</v>
      </c>
      <c r="AA239" t="s">
        <v>68</v>
      </c>
      <c r="AB239">
        <v>0</v>
      </c>
      <c r="AC239">
        <v>0</v>
      </c>
      <c r="AD239">
        <v>0</v>
      </c>
      <c r="AE239">
        <v>0</v>
      </c>
      <c r="AF239" t="s">
        <v>68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s">
        <v>58</v>
      </c>
      <c r="AM239" t="s">
        <v>58</v>
      </c>
      <c r="AN239" t="s">
        <v>71</v>
      </c>
      <c r="AO239">
        <v>14</v>
      </c>
      <c r="AP239">
        <v>11</v>
      </c>
      <c r="AQ239">
        <v>14</v>
      </c>
      <c r="AR239">
        <v>11</v>
      </c>
      <c r="AS239" t="b">
        <v>1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s">
        <v>61</v>
      </c>
      <c r="BA239" t="s">
        <v>57</v>
      </c>
      <c r="BB239" t="s">
        <v>55</v>
      </c>
      <c r="BC239" t="s">
        <v>58</v>
      </c>
      <c r="BD239" t="s">
        <v>58</v>
      </c>
    </row>
    <row r="240" spans="1:56" x14ac:dyDescent="0.25">
      <c r="A240" t="str" cm="1">
        <f t="array" ref="A240">_xlfn.XLOOKUP(RIGHT(M240,8),TeamIdentity!C:C,TeamIdentity!A:A,NONE)</f>
        <v>Rams</v>
      </c>
      <c r="B240" t="str" cm="1">
        <f t="array" ref="B240">_xlfn.XLOOKUP(RIGHT(F240,8),TeamIdentity!C:C,TeamIdentity!A:A,NONE)</f>
        <v>Seahawks</v>
      </c>
      <c r="C240" t="s">
        <v>54</v>
      </c>
      <c r="D240" t="s">
        <v>54</v>
      </c>
      <c r="E240" t="s">
        <v>54</v>
      </c>
      <c r="F240" t="s">
        <v>527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542</v>
      </c>
      <c r="N240">
        <v>-1</v>
      </c>
      <c r="O240">
        <v>0</v>
      </c>
      <c r="P240">
        <v>-1</v>
      </c>
      <c r="Q240">
        <v>0</v>
      </c>
      <c r="R240" t="s">
        <v>70</v>
      </c>
      <c r="S240">
        <v>0</v>
      </c>
      <c r="T240">
        <v>0</v>
      </c>
      <c r="U240">
        <v>975</v>
      </c>
      <c r="V240" t="s">
        <v>57</v>
      </c>
      <c r="W240">
        <v>0</v>
      </c>
      <c r="X240">
        <v>0</v>
      </c>
      <c r="Y240">
        <v>0</v>
      </c>
      <c r="Z240">
        <v>0</v>
      </c>
      <c r="AA240" t="s">
        <v>67</v>
      </c>
      <c r="AB240">
        <v>0</v>
      </c>
      <c r="AC240">
        <v>0</v>
      </c>
      <c r="AD240">
        <v>0</v>
      </c>
      <c r="AE240">
        <v>0</v>
      </c>
      <c r="AF240" t="s">
        <v>60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s">
        <v>58</v>
      </c>
      <c r="AM240" t="s">
        <v>58</v>
      </c>
      <c r="AN240" t="s">
        <v>71</v>
      </c>
      <c r="AO240">
        <v>14</v>
      </c>
      <c r="AP240">
        <v>14</v>
      </c>
      <c r="AQ240">
        <v>9</v>
      </c>
      <c r="AR240">
        <v>11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s">
        <v>61</v>
      </c>
      <c r="BA240" t="s">
        <v>57</v>
      </c>
      <c r="BB240" t="s">
        <v>55</v>
      </c>
      <c r="BC240" t="s">
        <v>58</v>
      </c>
      <c r="BD240" t="s">
        <v>58</v>
      </c>
    </row>
    <row r="241" spans="1:56" x14ac:dyDescent="0.25">
      <c r="A241" t="str" cm="1">
        <f t="array" ref="A241">_xlfn.XLOOKUP(RIGHT(M241,8),TeamIdentity!C:C,TeamIdentity!A:A,NONE)</f>
        <v>Colts</v>
      </c>
      <c r="B241" t="str" cm="1">
        <f t="array" ref="B241">_xlfn.XLOOKUP(RIGHT(F241,8),TeamIdentity!C:C,TeamIdentity!A:A,NONE)</f>
        <v>Raiders</v>
      </c>
      <c r="C241" t="s">
        <v>54</v>
      </c>
      <c r="D241" t="s">
        <v>54</v>
      </c>
      <c r="E241" t="s">
        <v>54</v>
      </c>
      <c r="F241" t="s">
        <v>525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540</v>
      </c>
      <c r="N241">
        <v>-1</v>
      </c>
      <c r="O241">
        <v>0</v>
      </c>
      <c r="P241">
        <v>-1</v>
      </c>
      <c r="Q241">
        <v>0</v>
      </c>
      <c r="R241" t="s">
        <v>70</v>
      </c>
      <c r="S241">
        <v>0</v>
      </c>
      <c r="T241">
        <v>0</v>
      </c>
      <c r="U241">
        <v>780</v>
      </c>
      <c r="V241" t="s">
        <v>57</v>
      </c>
      <c r="W241">
        <v>0</v>
      </c>
      <c r="X241">
        <v>0</v>
      </c>
      <c r="Y241">
        <v>0</v>
      </c>
      <c r="Z241">
        <v>0</v>
      </c>
      <c r="AA241" t="s">
        <v>67</v>
      </c>
      <c r="AB241">
        <v>0</v>
      </c>
      <c r="AC241">
        <v>0</v>
      </c>
      <c r="AD241">
        <v>0</v>
      </c>
      <c r="AE241">
        <v>0</v>
      </c>
      <c r="AF241" t="s">
        <v>60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s">
        <v>58</v>
      </c>
      <c r="AM241" t="s">
        <v>58</v>
      </c>
      <c r="AN241" t="s">
        <v>71</v>
      </c>
      <c r="AO241">
        <v>14</v>
      </c>
      <c r="AP241">
        <v>11</v>
      </c>
      <c r="AQ241">
        <v>4</v>
      </c>
      <c r="AR241">
        <v>11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s">
        <v>61</v>
      </c>
      <c r="BA241" t="s">
        <v>57</v>
      </c>
      <c r="BB241" t="s">
        <v>55</v>
      </c>
      <c r="BC241" t="s">
        <v>58</v>
      </c>
      <c r="BD241" t="s">
        <v>58</v>
      </c>
    </row>
    <row r="242" spans="1:56" x14ac:dyDescent="0.25">
      <c r="A242" t="str" cm="1">
        <f t="array" ref="A242">_xlfn.XLOOKUP(RIGHT(M242,8),TeamIdentity!C:C,TeamIdentity!A:A,NONE)</f>
        <v>Raiders</v>
      </c>
      <c r="B242" t="str" cm="1">
        <f t="array" ref="B242">_xlfn.XLOOKUP(RIGHT(F242,8),TeamIdentity!C:C,TeamIdentity!A:A,NONE)</f>
        <v>Broncos</v>
      </c>
      <c r="C242" t="s">
        <v>54</v>
      </c>
      <c r="D242" t="s">
        <v>54</v>
      </c>
      <c r="E242" t="s">
        <v>54</v>
      </c>
      <c r="F242" t="s">
        <v>539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525</v>
      </c>
      <c r="N242">
        <v>-1</v>
      </c>
      <c r="O242">
        <v>0</v>
      </c>
      <c r="P242">
        <v>-1</v>
      </c>
      <c r="Q242">
        <v>0</v>
      </c>
      <c r="R242" t="s">
        <v>70</v>
      </c>
      <c r="S242">
        <v>0</v>
      </c>
      <c r="T242">
        <v>0</v>
      </c>
      <c r="U242">
        <v>965</v>
      </c>
      <c r="V242" t="s">
        <v>57</v>
      </c>
      <c r="W242">
        <v>0</v>
      </c>
      <c r="X242">
        <v>0</v>
      </c>
      <c r="Y242">
        <v>0</v>
      </c>
      <c r="Z242">
        <v>0</v>
      </c>
      <c r="AA242" t="s">
        <v>67</v>
      </c>
      <c r="AB242">
        <v>0</v>
      </c>
      <c r="AC242">
        <v>0</v>
      </c>
      <c r="AD242">
        <v>0</v>
      </c>
      <c r="AE242">
        <v>0</v>
      </c>
      <c r="AF242" t="s">
        <v>60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s">
        <v>58</v>
      </c>
      <c r="AM242" t="s">
        <v>58</v>
      </c>
      <c r="AN242" t="s">
        <v>71</v>
      </c>
      <c r="AO242">
        <v>14</v>
      </c>
      <c r="AP242">
        <v>13</v>
      </c>
      <c r="AQ242">
        <v>7</v>
      </c>
      <c r="AR242">
        <v>11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s">
        <v>61</v>
      </c>
      <c r="BA242" t="s">
        <v>57</v>
      </c>
      <c r="BB242" t="s">
        <v>55</v>
      </c>
      <c r="BC242" t="s">
        <v>58</v>
      </c>
      <c r="BD242" t="s">
        <v>58</v>
      </c>
    </row>
    <row r="243" spans="1:56" x14ac:dyDescent="0.25">
      <c r="A243" t="str" cm="1">
        <f t="array" ref="A243">_xlfn.XLOOKUP(RIGHT(M243,8),TeamIdentity!C:C,TeamIdentity!A:A,NONE)</f>
        <v>Buccaneers</v>
      </c>
      <c r="B243" t="str" cm="1">
        <f t="array" ref="B243">_xlfn.XLOOKUP(RIGHT(F243,8),TeamIdentity!C:C,TeamIdentity!A:A,NONE)</f>
        <v>Rams</v>
      </c>
      <c r="C243" t="s">
        <v>54</v>
      </c>
      <c r="D243" t="s">
        <v>54</v>
      </c>
      <c r="E243" t="s">
        <v>54</v>
      </c>
      <c r="F243" t="s">
        <v>542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531</v>
      </c>
      <c r="N243">
        <v>-1</v>
      </c>
      <c r="O243">
        <v>0</v>
      </c>
      <c r="P243">
        <v>-1</v>
      </c>
      <c r="Q243">
        <v>0</v>
      </c>
      <c r="R243" t="s">
        <v>70</v>
      </c>
      <c r="S243">
        <v>0</v>
      </c>
      <c r="T243">
        <v>0</v>
      </c>
      <c r="U243">
        <v>780</v>
      </c>
      <c r="V243" t="s">
        <v>57</v>
      </c>
      <c r="W243">
        <v>0</v>
      </c>
      <c r="X243">
        <v>0</v>
      </c>
      <c r="Y243">
        <v>0</v>
      </c>
      <c r="Z243">
        <v>0</v>
      </c>
      <c r="AA243" t="s">
        <v>67</v>
      </c>
      <c r="AB243">
        <v>0</v>
      </c>
      <c r="AC243">
        <v>0</v>
      </c>
      <c r="AD243">
        <v>0</v>
      </c>
      <c r="AE243">
        <v>0</v>
      </c>
      <c r="AF243" t="s">
        <v>60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s">
        <v>58</v>
      </c>
      <c r="AM243" t="s">
        <v>58</v>
      </c>
      <c r="AN243" t="s">
        <v>71</v>
      </c>
      <c r="AO243">
        <v>14</v>
      </c>
      <c r="AP243">
        <v>11</v>
      </c>
      <c r="AQ243">
        <v>5</v>
      </c>
      <c r="AR243">
        <v>11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s">
        <v>61</v>
      </c>
      <c r="BA243" t="s">
        <v>57</v>
      </c>
      <c r="BB243" t="s">
        <v>55</v>
      </c>
      <c r="BC243" t="s">
        <v>58</v>
      </c>
      <c r="BD243" t="s">
        <v>58</v>
      </c>
    </row>
    <row r="244" spans="1:56" x14ac:dyDescent="0.25">
      <c r="A244" t="str" cm="1">
        <f t="array" ref="A244">_xlfn.XLOOKUP(RIGHT(M244,8),TeamIdentity!C:C,TeamIdentity!A:A,NONE)</f>
        <v>Lions</v>
      </c>
      <c r="B244" t="str" cm="1">
        <f t="array" ref="B244">_xlfn.XLOOKUP(RIGHT(F244,8),TeamIdentity!C:C,TeamIdentity!A:A,NONE)</f>
        <v>Chiefs</v>
      </c>
      <c r="C244" t="s">
        <v>54</v>
      </c>
      <c r="D244" t="s">
        <v>54</v>
      </c>
      <c r="E244" t="s">
        <v>54</v>
      </c>
      <c r="F244" t="s">
        <v>535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513</v>
      </c>
      <c r="N244">
        <v>-1</v>
      </c>
      <c r="O244">
        <v>0</v>
      </c>
      <c r="P244">
        <v>-1</v>
      </c>
      <c r="Q244">
        <v>0</v>
      </c>
      <c r="R244" t="s">
        <v>70</v>
      </c>
      <c r="S244">
        <v>0</v>
      </c>
      <c r="T244">
        <v>0</v>
      </c>
      <c r="U244">
        <v>965</v>
      </c>
      <c r="V244" t="s">
        <v>57</v>
      </c>
      <c r="W244">
        <v>0</v>
      </c>
      <c r="X244">
        <v>0</v>
      </c>
      <c r="Y244">
        <v>0</v>
      </c>
      <c r="Z244">
        <v>0</v>
      </c>
      <c r="AA244" t="s">
        <v>67</v>
      </c>
      <c r="AB244">
        <v>0</v>
      </c>
      <c r="AC244">
        <v>0</v>
      </c>
      <c r="AD244">
        <v>0</v>
      </c>
      <c r="AE244">
        <v>0</v>
      </c>
      <c r="AF244" t="s">
        <v>60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s">
        <v>58</v>
      </c>
      <c r="AM244" t="s">
        <v>58</v>
      </c>
      <c r="AN244" t="s">
        <v>71</v>
      </c>
      <c r="AO244">
        <v>14</v>
      </c>
      <c r="AP244">
        <v>14</v>
      </c>
      <c r="AQ244">
        <v>8</v>
      </c>
      <c r="AR244">
        <v>11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s">
        <v>61</v>
      </c>
      <c r="BA244" t="s">
        <v>57</v>
      </c>
      <c r="BB244" t="s">
        <v>55</v>
      </c>
      <c r="BC244" t="s">
        <v>58</v>
      </c>
      <c r="BD244" t="s">
        <v>58</v>
      </c>
    </row>
    <row r="245" spans="1:56" x14ac:dyDescent="0.25">
      <c r="A245" t="str" cm="1">
        <f t="array" ref="A245">_xlfn.XLOOKUP(RIGHT(M245,8),TeamIdentity!C:C,TeamIdentity!A:A,NONE)</f>
        <v>Bengals</v>
      </c>
      <c r="B245" t="str" cm="1">
        <f t="array" ref="B245">_xlfn.XLOOKUP(RIGHT(F245,8),TeamIdentity!C:C,TeamIdentity!A:A,NONE)</f>
        <v>Texans</v>
      </c>
      <c r="C245" t="s">
        <v>54</v>
      </c>
      <c r="D245" t="s">
        <v>54</v>
      </c>
      <c r="E245" t="s">
        <v>54</v>
      </c>
      <c r="F245" t="s">
        <v>517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532</v>
      </c>
      <c r="N245">
        <v>-1</v>
      </c>
      <c r="O245">
        <v>0</v>
      </c>
      <c r="P245">
        <v>-1</v>
      </c>
      <c r="Q245">
        <v>0</v>
      </c>
      <c r="R245" t="s">
        <v>70</v>
      </c>
      <c r="S245">
        <v>0</v>
      </c>
      <c r="T245">
        <v>0</v>
      </c>
      <c r="U245">
        <v>780</v>
      </c>
      <c r="V245" t="s">
        <v>57</v>
      </c>
      <c r="W245">
        <v>0</v>
      </c>
      <c r="X245">
        <v>0</v>
      </c>
      <c r="Y245">
        <v>0</v>
      </c>
      <c r="Z245">
        <v>0</v>
      </c>
      <c r="AA245" t="s">
        <v>67</v>
      </c>
      <c r="AB245">
        <v>0</v>
      </c>
      <c r="AC245">
        <v>0</v>
      </c>
      <c r="AD245">
        <v>0</v>
      </c>
      <c r="AE245">
        <v>0</v>
      </c>
      <c r="AF245" t="s">
        <v>60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s">
        <v>58</v>
      </c>
      <c r="AM245" t="s">
        <v>58</v>
      </c>
      <c r="AN245" t="s">
        <v>71</v>
      </c>
      <c r="AO245">
        <v>14</v>
      </c>
      <c r="AP245">
        <v>13</v>
      </c>
      <c r="AQ245">
        <v>1</v>
      </c>
      <c r="AR245">
        <v>11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s">
        <v>61</v>
      </c>
      <c r="BA245" t="s">
        <v>57</v>
      </c>
      <c r="BB245" t="s">
        <v>55</v>
      </c>
      <c r="BC245" t="s">
        <v>58</v>
      </c>
      <c r="BD245" t="s">
        <v>58</v>
      </c>
    </row>
    <row r="246" spans="1:56" x14ac:dyDescent="0.25">
      <c r="A246" t="str" cm="1">
        <f t="array" ref="A246">_xlfn.XLOOKUP(RIGHT(M246,8),TeamIdentity!C:C,TeamIdentity!A:A,NONE)</f>
        <v>Titans</v>
      </c>
      <c r="B246" t="str" cm="1">
        <f t="array" ref="B246">_xlfn.XLOOKUP(RIGHT(F246,8),TeamIdentity!C:C,TeamIdentity!A:A,NONE)</f>
        <v>Buccaneers</v>
      </c>
      <c r="C246" t="s">
        <v>54</v>
      </c>
      <c r="D246" t="s">
        <v>54</v>
      </c>
      <c r="E246" t="s">
        <v>54</v>
      </c>
      <c r="F246" t="s">
        <v>531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534</v>
      </c>
      <c r="N246">
        <v>-1</v>
      </c>
      <c r="O246">
        <v>0</v>
      </c>
      <c r="P246">
        <v>-1</v>
      </c>
      <c r="Q246">
        <v>0</v>
      </c>
      <c r="R246" t="s">
        <v>70</v>
      </c>
      <c r="S246">
        <v>0</v>
      </c>
      <c r="T246">
        <v>0</v>
      </c>
      <c r="U246">
        <v>780</v>
      </c>
      <c r="V246" t="s">
        <v>57</v>
      </c>
      <c r="W246">
        <v>0</v>
      </c>
      <c r="X246">
        <v>0</v>
      </c>
      <c r="Y246">
        <v>0</v>
      </c>
      <c r="Z246">
        <v>0</v>
      </c>
      <c r="AA246" t="s">
        <v>67</v>
      </c>
      <c r="AB246">
        <v>0</v>
      </c>
      <c r="AC246">
        <v>0</v>
      </c>
      <c r="AD246">
        <v>0</v>
      </c>
      <c r="AE246">
        <v>0</v>
      </c>
      <c r="AF246" t="s">
        <v>60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s">
        <v>58</v>
      </c>
      <c r="AM246" t="s">
        <v>58</v>
      </c>
      <c r="AN246" t="s">
        <v>71</v>
      </c>
      <c r="AO246">
        <v>14</v>
      </c>
      <c r="AP246">
        <v>13</v>
      </c>
      <c r="AQ246">
        <v>2</v>
      </c>
      <c r="AR246">
        <v>11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s">
        <v>61</v>
      </c>
      <c r="BA246" t="s">
        <v>57</v>
      </c>
      <c r="BB246" t="s">
        <v>55</v>
      </c>
      <c r="BC246" t="s">
        <v>58</v>
      </c>
      <c r="BD246" t="s">
        <v>58</v>
      </c>
    </row>
    <row r="247" spans="1:56" x14ac:dyDescent="0.25">
      <c r="A247" t="str" cm="1">
        <f t="array" ref="A247">_xlfn.XLOOKUP(RIGHT(M247,8),TeamIdentity!C:C,TeamIdentity!A:A,NONE)</f>
        <v>Falcons</v>
      </c>
      <c r="B247" t="str" cm="1">
        <f t="array" ref="B247">_xlfn.XLOOKUP(RIGHT(F247,8),TeamIdentity!C:C,TeamIdentity!A:A,NONE)</f>
        <v>Seahawks</v>
      </c>
      <c r="C247" t="s">
        <v>54</v>
      </c>
      <c r="D247" t="s">
        <v>54</v>
      </c>
      <c r="E247" t="s">
        <v>54</v>
      </c>
      <c r="F247" t="s">
        <v>527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515</v>
      </c>
      <c r="N247">
        <v>-1</v>
      </c>
      <c r="O247">
        <v>0</v>
      </c>
      <c r="P247">
        <v>-1</v>
      </c>
      <c r="Q247">
        <v>0</v>
      </c>
      <c r="R247" t="s">
        <v>70</v>
      </c>
      <c r="S247">
        <v>0</v>
      </c>
      <c r="T247">
        <v>0</v>
      </c>
      <c r="U247">
        <v>780</v>
      </c>
      <c r="V247" t="s">
        <v>57</v>
      </c>
      <c r="W247">
        <v>0</v>
      </c>
      <c r="X247">
        <v>0</v>
      </c>
      <c r="Y247">
        <v>0</v>
      </c>
      <c r="Z247">
        <v>0</v>
      </c>
      <c r="AA247" t="s">
        <v>67</v>
      </c>
      <c r="AB247">
        <v>0</v>
      </c>
      <c r="AC247">
        <v>0</v>
      </c>
      <c r="AD247">
        <v>0</v>
      </c>
      <c r="AE247">
        <v>0</v>
      </c>
      <c r="AF247" t="s">
        <v>60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s">
        <v>58</v>
      </c>
      <c r="AM247" t="s">
        <v>58</v>
      </c>
      <c r="AN247" t="s">
        <v>71</v>
      </c>
      <c r="AO247">
        <v>14</v>
      </c>
      <c r="AP247">
        <v>12</v>
      </c>
      <c r="AQ247">
        <v>4</v>
      </c>
      <c r="AR247">
        <v>11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s">
        <v>61</v>
      </c>
      <c r="BA247" t="s">
        <v>57</v>
      </c>
      <c r="BB247" t="s">
        <v>55</v>
      </c>
      <c r="BC247" t="s">
        <v>58</v>
      </c>
      <c r="BD247" t="s">
        <v>58</v>
      </c>
    </row>
    <row r="248" spans="1:56" x14ac:dyDescent="0.25">
      <c r="A248" t="str" cm="1">
        <f t="array" ref="A248">_xlfn.XLOOKUP(RIGHT(M248,8),TeamIdentity!C:C,TeamIdentity!A:A,NONE)</f>
        <v>Packers</v>
      </c>
      <c r="B248" t="str" cm="1">
        <f t="array" ref="B248">_xlfn.XLOOKUP(RIGHT(F248,8),TeamIdentity!C:C,TeamIdentity!A:A,NONE)</f>
        <v>Ravens</v>
      </c>
      <c r="C248" t="s">
        <v>54</v>
      </c>
      <c r="D248" t="s">
        <v>54</v>
      </c>
      <c r="E248" t="s">
        <v>54</v>
      </c>
      <c r="F248" t="s">
        <v>520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529</v>
      </c>
      <c r="N248">
        <v>-1</v>
      </c>
      <c r="O248">
        <v>0</v>
      </c>
      <c r="P248">
        <v>-1</v>
      </c>
      <c r="Q248">
        <v>0</v>
      </c>
      <c r="R248" t="s">
        <v>70</v>
      </c>
      <c r="S248">
        <v>0</v>
      </c>
      <c r="T248">
        <v>0</v>
      </c>
      <c r="U248">
        <v>780</v>
      </c>
      <c r="V248" t="s">
        <v>57</v>
      </c>
      <c r="W248">
        <v>0</v>
      </c>
      <c r="X248">
        <v>0</v>
      </c>
      <c r="Y248">
        <v>0</v>
      </c>
      <c r="Z248">
        <v>0</v>
      </c>
      <c r="AA248" t="s">
        <v>67</v>
      </c>
      <c r="AB248">
        <v>0</v>
      </c>
      <c r="AC248">
        <v>0</v>
      </c>
      <c r="AD248">
        <v>0</v>
      </c>
      <c r="AE248">
        <v>0</v>
      </c>
      <c r="AF248" t="s">
        <v>60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s">
        <v>58</v>
      </c>
      <c r="AM248" t="s">
        <v>58</v>
      </c>
      <c r="AN248" t="s">
        <v>71</v>
      </c>
      <c r="AO248">
        <v>14</v>
      </c>
      <c r="AP248">
        <v>13</v>
      </c>
      <c r="AQ248">
        <v>3</v>
      </c>
      <c r="AR248">
        <v>11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s">
        <v>61</v>
      </c>
      <c r="BA248" t="s">
        <v>57</v>
      </c>
      <c r="BB248" t="s">
        <v>55</v>
      </c>
      <c r="BC248" t="s">
        <v>58</v>
      </c>
      <c r="BD248" t="s">
        <v>58</v>
      </c>
    </row>
    <row r="249" spans="1:56" x14ac:dyDescent="0.25">
      <c r="A249" t="str" cm="1">
        <f t="array" ref="A249">_xlfn.XLOOKUP(RIGHT(M249,8),TeamIdentity!C:C,TeamIdentity!A:A,NONE)</f>
        <v>Jets</v>
      </c>
      <c r="B249" t="str" cm="1">
        <f t="array" ref="B249">_xlfn.XLOOKUP(RIGHT(F249,8),TeamIdentity!C:C,TeamIdentity!A:A,NONE)</f>
        <v>Bills</v>
      </c>
      <c r="C249" t="s">
        <v>54</v>
      </c>
      <c r="D249" t="s">
        <v>54</v>
      </c>
      <c r="E249" t="s">
        <v>54</v>
      </c>
      <c r="F249" t="s">
        <v>524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522</v>
      </c>
      <c r="N249">
        <v>-1</v>
      </c>
      <c r="O249">
        <v>0</v>
      </c>
      <c r="P249">
        <v>-1</v>
      </c>
      <c r="Q249">
        <v>0</v>
      </c>
      <c r="R249" t="s">
        <v>70</v>
      </c>
      <c r="S249">
        <v>0</v>
      </c>
      <c r="T249">
        <v>0</v>
      </c>
      <c r="U249">
        <v>780</v>
      </c>
      <c r="V249" t="s">
        <v>57</v>
      </c>
      <c r="W249">
        <v>0</v>
      </c>
      <c r="X249">
        <v>0</v>
      </c>
      <c r="Y249">
        <v>0</v>
      </c>
      <c r="Z249">
        <v>0</v>
      </c>
      <c r="AA249" t="s">
        <v>67</v>
      </c>
      <c r="AB249">
        <v>0</v>
      </c>
      <c r="AC249">
        <v>0</v>
      </c>
      <c r="AD249">
        <v>0</v>
      </c>
      <c r="AE249">
        <v>0</v>
      </c>
      <c r="AF249" t="s">
        <v>60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s">
        <v>58</v>
      </c>
      <c r="AM249" t="s">
        <v>58</v>
      </c>
      <c r="AN249" t="s">
        <v>71</v>
      </c>
      <c r="AO249">
        <v>14</v>
      </c>
      <c r="AP249">
        <v>13</v>
      </c>
      <c r="AQ249">
        <v>4</v>
      </c>
      <c r="AR249">
        <v>11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s">
        <v>61</v>
      </c>
      <c r="BA249" t="s">
        <v>57</v>
      </c>
      <c r="BB249" t="s">
        <v>55</v>
      </c>
      <c r="BC249" t="s">
        <v>58</v>
      </c>
      <c r="BD249" t="s">
        <v>58</v>
      </c>
    </row>
    <row r="250" spans="1:56" x14ac:dyDescent="0.25">
      <c r="A250" t="str" cm="1">
        <f t="array" ref="A250">_xlfn.XLOOKUP(RIGHT(M250,8),TeamIdentity!C:C,TeamIdentity!A:A,NONE)</f>
        <v>Dolphins</v>
      </c>
      <c r="B250" t="str" cm="1">
        <f t="array" ref="B250">_xlfn.XLOOKUP(RIGHT(F250,8),TeamIdentity!C:C,TeamIdentity!A:A,NONE)</f>
        <v>Patriots</v>
      </c>
      <c r="C250" t="s">
        <v>54</v>
      </c>
      <c r="D250" t="s">
        <v>54</v>
      </c>
      <c r="E250" t="s">
        <v>54</v>
      </c>
      <c r="F250" t="s">
        <v>512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516</v>
      </c>
      <c r="N250">
        <v>-1</v>
      </c>
      <c r="O250">
        <v>0</v>
      </c>
      <c r="P250">
        <v>-1</v>
      </c>
      <c r="Q250">
        <v>0</v>
      </c>
      <c r="R250" t="s">
        <v>70</v>
      </c>
      <c r="S250">
        <v>0</v>
      </c>
      <c r="T250">
        <v>0</v>
      </c>
      <c r="U250">
        <v>1220</v>
      </c>
      <c r="V250" t="s">
        <v>57</v>
      </c>
      <c r="W250">
        <v>0</v>
      </c>
      <c r="X250">
        <v>0</v>
      </c>
      <c r="Y250">
        <v>0</v>
      </c>
      <c r="Z250">
        <v>0</v>
      </c>
      <c r="AA250" t="s">
        <v>60</v>
      </c>
      <c r="AB250">
        <v>0</v>
      </c>
      <c r="AC250">
        <v>0</v>
      </c>
      <c r="AD250">
        <v>0</v>
      </c>
      <c r="AE250">
        <v>0</v>
      </c>
      <c r="AF250" t="s">
        <v>60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s">
        <v>58</v>
      </c>
      <c r="AM250" t="s">
        <v>58</v>
      </c>
      <c r="AN250" t="s">
        <v>71</v>
      </c>
      <c r="AO250">
        <v>14</v>
      </c>
      <c r="AP250">
        <v>12</v>
      </c>
      <c r="AQ250">
        <v>11</v>
      </c>
      <c r="AR250">
        <v>11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s">
        <v>61</v>
      </c>
      <c r="BA250" t="s">
        <v>57</v>
      </c>
      <c r="BB250" t="s">
        <v>55</v>
      </c>
      <c r="BC250" t="s">
        <v>58</v>
      </c>
      <c r="BD250" t="s">
        <v>58</v>
      </c>
    </row>
    <row r="251" spans="1:56" x14ac:dyDescent="0.25">
      <c r="A251" t="str" cm="1">
        <f t="array" ref="A251">_xlfn.XLOOKUP(RIGHT(M251,8),TeamIdentity!C:C,TeamIdentity!A:A,NONE)</f>
        <v>Patriots</v>
      </c>
      <c r="B251" t="str" cm="1">
        <f t="array" ref="B251">_xlfn.XLOOKUP(RIGHT(F251,8),TeamIdentity!C:C,TeamIdentity!A:A,NONE)</f>
        <v>Chargers</v>
      </c>
      <c r="C251" t="s">
        <v>54</v>
      </c>
      <c r="D251" t="s">
        <v>54</v>
      </c>
      <c r="E251" t="s">
        <v>54</v>
      </c>
      <c r="F251" t="s">
        <v>528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512</v>
      </c>
      <c r="N251">
        <v>-1</v>
      </c>
      <c r="O251">
        <v>0</v>
      </c>
      <c r="P251">
        <v>-1</v>
      </c>
      <c r="Q251">
        <v>0</v>
      </c>
      <c r="R251" t="s">
        <v>70</v>
      </c>
      <c r="S251">
        <v>0</v>
      </c>
      <c r="T251">
        <v>0</v>
      </c>
      <c r="U251">
        <v>780</v>
      </c>
      <c r="V251" t="s">
        <v>57</v>
      </c>
      <c r="W251">
        <v>0</v>
      </c>
      <c r="X251">
        <v>0</v>
      </c>
      <c r="Y251">
        <v>0</v>
      </c>
      <c r="Z251">
        <v>0</v>
      </c>
      <c r="AA251" t="s">
        <v>67</v>
      </c>
      <c r="AB251">
        <v>0</v>
      </c>
      <c r="AC251">
        <v>0</v>
      </c>
      <c r="AD251">
        <v>0</v>
      </c>
      <c r="AE251">
        <v>0</v>
      </c>
      <c r="AF251" t="s">
        <v>60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s">
        <v>58</v>
      </c>
      <c r="AM251" t="s">
        <v>58</v>
      </c>
      <c r="AN251" t="s">
        <v>71</v>
      </c>
      <c r="AO251">
        <v>14</v>
      </c>
      <c r="AP251">
        <v>13</v>
      </c>
      <c r="AQ251">
        <v>5</v>
      </c>
      <c r="AR251">
        <v>11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s">
        <v>61</v>
      </c>
      <c r="BA251" t="s">
        <v>57</v>
      </c>
      <c r="BB251" t="s">
        <v>55</v>
      </c>
      <c r="BC251" t="s">
        <v>58</v>
      </c>
      <c r="BD251" t="s">
        <v>58</v>
      </c>
    </row>
    <row r="252" spans="1:56" x14ac:dyDescent="0.25">
      <c r="A252" t="str" cm="1">
        <f t="array" ref="A252">_xlfn.XLOOKUP(RIGHT(M252,8),TeamIdentity!C:C,TeamIdentity!A:A,NONE)</f>
        <v>Commanders</v>
      </c>
      <c r="B252" t="str" cm="1">
        <f t="array" ref="B252">_xlfn.XLOOKUP(RIGHT(F252,8),TeamIdentity!C:C,TeamIdentity!A:A,NONE)</f>
        <v>Panthers</v>
      </c>
      <c r="C252" t="s">
        <v>54</v>
      </c>
      <c r="D252" t="s">
        <v>54</v>
      </c>
      <c r="E252" t="s">
        <v>54</v>
      </c>
      <c r="F252" t="s">
        <v>511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521</v>
      </c>
      <c r="N252">
        <v>-1</v>
      </c>
      <c r="O252">
        <v>0</v>
      </c>
      <c r="P252">
        <v>-1</v>
      </c>
      <c r="Q252">
        <v>0</v>
      </c>
      <c r="R252" t="s">
        <v>70</v>
      </c>
      <c r="S252">
        <v>0</v>
      </c>
      <c r="T252">
        <v>0</v>
      </c>
      <c r="U252">
        <v>780</v>
      </c>
      <c r="V252" t="s">
        <v>57</v>
      </c>
      <c r="W252">
        <v>0</v>
      </c>
      <c r="X252">
        <v>0</v>
      </c>
      <c r="Y252">
        <v>0</v>
      </c>
      <c r="Z252">
        <v>0</v>
      </c>
      <c r="AA252" t="s">
        <v>67</v>
      </c>
      <c r="AB252">
        <v>0</v>
      </c>
      <c r="AC252">
        <v>0</v>
      </c>
      <c r="AD252">
        <v>0</v>
      </c>
      <c r="AE252">
        <v>0</v>
      </c>
      <c r="AF252" t="s">
        <v>60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s">
        <v>58</v>
      </c>
      <c r="AM252" t="s">
        <v>58</v>
      </c>
      <c r="AN252" t="s">
        <v>71</v>
      </c>
      <c r="AO252">
        <v>14</v>
      </c>
      <c r="AP252">
        <v>13</v>
      </c>
      <c r="AQ252">
        <v>6</v>
      </c>
      <c r="AR252">
        <v>11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s">
        <v>61</v>
      </c>
      <c r="BA252" t="s">
        <v>57</v>
      </c>
      <c r="BB252" t="s">
        <v>55</v>
      </c>
      <c r="BC252" t="s">
        <v>58</v>
      </c>
      <c r="BD252" t="s">
        <v>58</v>
      </c>
    </row>
    <row r="253" spans="1:56" x14ac:dyDescent="0.25">
      <c r="A253" t="str" cm="1">
        <f t="array" ref="A253">_xlfn.XLOOKUP(RIGHT(M253,8),TeamIdentity!C:C,TeamIdentity!A:A,NONE)</f>
        <v>Chargers</v>
      </c>
      <c r="B253" t="str" cm="1">
        <f t="array" ref="B253">_xlfn.XLOOKUP(RIGHT(F253,8),TeamIdentity!C:C,TeamIdentity!A:A,NONE)</f>
        <v>Broncos</v>
      </c>
      <c r="C253" t="s">
        <v>54</v>
      </c>
      <c r="D253" t="s">
        <v>54</v>
      </c>
      <c r="E253" t="s">
        <v>54</v>
      </c>
      <c r="F253" t="s">
        <v>539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528</v>
      </c>
      <c r="N253">
        <v>-1</v>
      </c>
      <c r="O253">
        <v>0</v>
      </c>
      <c r="P253">
        <v>-1</v>
      </c>
      <c r="Q253">
        <v>0</v>
      </c>
      <c r="R253" t="s">
        <v>70</v>
      </c>
      <c r="S253">
        <v>0</v>
      </c>
      <c r="T253">
        <v>0</v>
      </c>
      <c r="U253">
        <v>1230</v>
      </c>
      <c r="V253" t="s">
        <v>57</v>
      </c>
      <c r="W253">
        <v>0</v>
      </c>
      <c r="X253">
        <v>0</v>
      </c>
      <c r="Y253">
        <v>0</v>
      </c>
      <c r="Z253">
        <v>0</v>
      </c>
      <c r="AA253" t="s">
        <v>65</v>
      </c>
      <c r="AB253">
        <v>0</v>
      </c>
      <c r="AC253">
        <v>0</v>
      </c>
      <c r="AD253">
        <v>0</v>
      </c>
      <c r="AE253">
        <v>0</v>
      </c>
      <c r="AF253" t="s">
        <v>65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s">
        <v>58</v>
      </c>
      <c r="AM253" t="s">
        <v>58</v>
      </c>
      <c r="AN253" t="s">
        <v>71</v>
      </c>
      <c r="AO253">
        <v>14</v>
      </c>
      <c r="AP253">
        <v>14</v>
      </c>
      <c r="AQ253">
        <v>14</v>
      </c>
      <c r="AR253">
        <v>11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s">
        <v>61</v>
      </c>
      <c r="BA253" t="s">
        <v>57</v>
      </c>
      <c r="BB253" t="s">
        <v>55</v>
      </c>
      <c r="BC253" t="s">
        <v>58</v>
      </c>
      <c r="BD253" t="s">
        <v>58</v>
      </c>
    </row>
    <row r="254" spans="1:56" x14ac:dyDescent="0.25">
      <c r="A254" t="str" cm="1">
        <f t="array" ref="A254">_xlfn.XLOOKUP(RIGHT(M254,8),TeamIdentity!C:C,TeamIdentity!A:A,NONE)</f>
        <v>Giants</v>
      </c>
      <c r="B254" t="str" cm="1">
        <f t="array" ref="B254">_xlfn.XLOOKUP(RIGHT(F254,8),TeamIdentity!C:C,TeamIdentity!A:A,NONE)</f>
        <v>Cowboys</v>
      </c>
      <c r="C254" t="s">
        <v>54</v>
      </c>
      <c r="D254" t="s">
        <v>54</v>
      </c>
      <c r="E254" t="s">
        <v>54</v>
      </c>
      <c r="F254" t="s">
        <v>541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514</v>
      </c>
      <c r="N254">
        <v>-1</v>
      </c>
      <c r="O254">
        <v>0</v>
      </c>
      <c r="P254">
        <v>-1</v>
      </c>
      <c r="Q254">
        <v>0</v>
      </c>
      <c r="R254" t="s">
        <v>70</v>
      </c>
      <c r="S254">
        <v>0</v>
      </c>
      <c r="T254">
        <v>0</v>
      </c>
      <c r="U254">
        <v>1230</v>
      </c>
      <c r="V254" t="s">
        <v>57</v>
      </c>
      <c r="W254">
        <v>0</v>
      </c>
      <c r="X254">
        <v>0</v>
      </c>
      <c r="Y254">
        <v>0</v>
      </c>
      <c r="Z254">
        <v>0</v>
      </c>
      <c r="AA254" t="s">
        <v>65</v>
      </c>
      <c r="AB254">
        <v>0</v>
      </c>
      <c r="AC254">
        <v>0</v>
      </c>
      <c r="AD254">
        <v>0</v>
      </c>
      <c r="AE254">
        <v>0</v>
      </c>
      <c r="AF254" t="s">
        <v>65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s">
        <v>58</v>
      </c>
      <c r="AM254" t="s">
        <v>58</v>
      </c>
      <c r="AN254" t="s">
        <v>71</v>
      </c>
      <c r="AO254">
        <v>14</v>
      </c>
      <c r="AP254">
        <v>12</v>
      </c>
      <c r="AQ254">
        <v>12</v>
      </c>
      <c r="AR254">
        <v>11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s">
        <v>61</v>
      </c>
      <c r="BA254" t="s">
        <v>57</v>
      </c>
      <c r="BB254" t="s">
        <v>55</v>
      </c>
      <c r="BC254" t="s">
        <v>58</v>
      </c>
      <c r="BD254" t="s">
        <v>58</v>
      </c>
    </row>
    <row r="255" spans="1:56" x14ac:dyDescent="0.25">
      <c r="A255" t="str" cm="1">
        <f t="array" ref="A255">_xlfn.XLOOKUP(RIGHT(M255,8),TeamIdentity!C:C,TeamIdentity!A:A,NONE)</f>
        <v>Giants</v>
      </c>
      <c r="B255" t="str" cm="1">
        <f t="array" ref="B255">_xlfn.XLOOKUP(RIGHT(F255,8),TeamIdentity!C:C,TeamIdentity!A:A,NONE)</f>
        <v>Commanders</v>
      </c>
      <c r="C255" t="s">
        <v>54</v>
      </c>
      <c r="D255" t="s">
        <v>54</v>
      </c>
      <c r="E255" t="s">
        <v>54</v>
      </c>
      <c r="F255" t="s">
        <v>521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514</v>
      </c>
      <c r="N255">
        <v>-1</v>
      </c>
      <c r="O255">
        <v>0</v>
      </c>
      <c r="P255">
        <v>-1</v>
      </c>
      <c r="Q255">
        <v>0</v>
      </c>
      <c r="R255" t="s">
        <v>70</v>
      </c>
      <c r="S255">
        <v>0</v>
      </c>
      <c r="T255">
        <v>0</v>
      </c>
      <c r="U255">
        <v>780</v>
      </c>
      <c r="V255" t="s">
        <v>57</v>
      </c>
      <c r="W255">
        <v>0</v>
      </c>
      <c r="X255">
        <v>0</v>
      </c>
      <c r="Y255">
        <v>0</v>
      </c>
      <c r="Z255">
        <v>0</v>
      </c>
      <c r="AA255" t="s">
        <v>67</v>
      </c>
      <c r="AB255">
        <v>0</v>
      </c>
      <c r="AC255">
        <v>0</v>
      </c>
      <c r="AD255">
        <v>0</v>
      </c>
      <c r="AE255">
        <v>0</v>
      </c>
      <c r="AF255" t="s">
        <v>60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s">
        <v>58</v>
      </c>
      <c r="AM255" t="s">
        <v>58</v>
      </c>
      <c r="AN255" t="s">
        <v>71</v>
      </c>
      <c r="AO255">
        <v>14</v>
      </c>
      <c r="AP255">
        <v>11</v>
      </c>
      <c r="AQ255">
        <v>6</v>
      </c>
      <c r="AR255">
        <v>11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s">
        <v>61</v>
      </c>
      <c r="BA255" t="s">
        <v>57</v>
      </c>
      <c r="BB255" t="s">
        <v>55</v>
      </c>
      <c r="BC255" t="s">
        <v>58</v>
      </c>
      <c r="BD255" t="s">
        <v>58</v>
      </c>
    </row>
    <row r="256" spans="1:56" x14ac:dyDescent="0.25">
      <c r="A256" t="str" cm="1">
        <f t="array" ref="A256">_xlfn.XLOOKUP(RIGHT(M256,8),TeamIdentity!C:C,TeamIdentity!A:A,NONE)</f>
        <v>Bengals</v>
      </c>
      <c r="B256" t="str" cm="1">
        <f t="array" ref="B256">_xlfn.XLOOKUP(RIGHT(F256,8),TeamIdentity!C:C,TeamIdentity!A:A,NONE)</f>
        <v>Titans</v>
      </c>
      <c r="C256" t="s">
        <v>54</v>
      </c>
      <c r="D256" t="s">
        <v>54</v>
      </c>
      <c r="E256" t="s">
        <v>54</v>
      </c>
      <c r="F256" t="s">
        <v>534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532</v>
      </c>
      <c r="N256">
        <v>-1</v>
      </c>
      <c r="O256">
        <v>0</v>
      </c>
      <c r="P256">
        <v>-1</v>
      </c>
      <c r="Q256">
        <v>0</v>
      </c>
      <c r="R256" t="s">
        <v>70</v>
      </c>
      <c r="S256">
        <v>0</v>
      </c>
      <c r="T256">
        <v>0</v>
      </c>
      <c r="U256">
        <v>780</v>
      </c>
      <c r="V256" t="s">
        <v>57</v>
      </c>
      <c r="W256">
        <v>0</v>
      </c>
      <c r="X256">
        <v>0</v>
      </c>
      <c r="Y256">
        <v>0</v>
      </c>
      <c r="Z256">
        <v>0</v>
      </c>
      <c r="AA256" t="s">
        <v>67</v>
      </c>
      <c r="AB256">
        <v>0</v>
      </c>
      <c r="AC256">
        <v>0</v>
      </c>
      <c r="AD256">
        <v>0</v>
      </c>
      <c r="AE256">
        <v>0</v>
      </c>
      <c r="AF256" t="s">
        <v>60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s">
        <v>58</v>
      </c>
      <c r="AM256" t="s">
        <v>58</v>
      </c>
      <c r="AN256" t="s">
        <v>71</v>
      </c>
      <c r="AO256">
        <v>14</v>
      </c>
      <c r="AP256">
        <v>14</v>
      </c>
      <c r="AQ256">
        <v>0</v>
      </c>
      <c r="AR256">
        <v>11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s">
        <v>61</v>
      </c>
      <c r="BA256" t="s">
        <v>57</v>
      </c>
      <c r="BB256" t="s">
        <v>55</v>
      </c>
      <c r="BC256" t="s">
        <v>58</v>
      </c>
      <c r="BD256" t="s">
        <v>58</v>
      </c>
    </row>
    <row r="257" spans="1:56" x14ac:dyDescent="0.25">
      <c r="A257" t="str" cm="1">
        <f t="array" ref="A257">_xlfn.XLOOKUP(RIGHT(M257,8),TeamIdentity!C:C,TeamIdentity!A:A,NONE)</f>
        <v>Falcons</v>
      </c>
      <c r="B257" t="str" cm="1">
        <f t="array" ref="B257">_xlfn.XLOOKUP(RIGHT(F257,8),TeamIdentity!C:C,TeamIdentity!A:A,NONE)</f>
        <v>Jaguars</v>
      </c>
      <c r="C257" t="s">
        <v>54</v>
      </c>
      <c r="D257" t="s">
        <v>54</v>
      </c>
      <c r="E257" t="s">
        <v>54</v>
      </c>
      <c r="F257" t="s">
        <v>536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515</v>
      </c>
      <c r="N257">
        <v>-1</v>
      </c>
      <c r="O257">
        <v>0</v>
      </c>
      <c r="P257">
        <v>-1</v>
      </c>
      <c r="Q257">
        <v>0</v>
      </c>
      <c r="R257" t="s">
        <v>70</v>
      </c>
      <c r="S257">
        <v>0</v>
      </c>
      <c r="T257">
        <v>0</v>
      </c>
      <c r="U257">
        <v>780</v>
      </c>
      <c r="V257" t="s">
        <v>57</v>
      </c>
      <c r="W257">
        <v>0</v>
      </c>
      <c r="X257">
        <v>0</v>
      </c>
      <c r="Y257">
        <v>0</v>
      </c>
      <c r="Z257">
        <v>0</v>
      </c>
      <c r="AA257" t="s">
        <v>67</v>
      </c>
      <c r="AB257">
        <v>0</v>
      </c>
      <c r="AC257">
        <v>0</v>
      </c>
      <c r="AD257">
        <v>0</v>
      </c>
      <c r="AE257">
        <v>0</v>
      </c>
      <c r="AF257" t="s">
        <v>60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s">
        <v>58</v>
      </c>
      <c r="AM257" t="s">
        <v>58</v>
      </c>
      <c r="AN257" t="s">
        <v>71</v>
      </c>
      <c r="AO257">
        <v>14</v>
      </c>
      <c r="AP257">
        <v>14</v>
      </c>
      <c r="AQ257">
        <v>1</v>
      </c>
      <c r="AR257">
        <v>11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s">
        <v>61</v>
      </c>
      <c r="BA257" t="s">
        <v>57</v>
      </c>
      <c r="BB257" t="s">
        <v>55</v>
      </c>
      <c r="BC257" t="s">
        <v>58</v>
      </c>
      <c r="BD257" t="s">
        <v>58</v>
      </c>
    </row>
    <row r="258" spans="1:56" x14ac:dyDescent="0.25">
      <c r="A258" t="str" cm="1">
        <f t="array" ref="A258">_xlfn.XLOOKUP(RIGHT(M258,8),TeamIdentity!C:C,TeamIdentity!A:A,NONE)</f>
        <v>Falcons</v>
      </c>
      <c r="B258" t="str" cm="1">
        <f t="array" ref="B258">_xlfn.XLOOKUP(RIGHT(F258,8),TeamIdentity!C:C,TeamIdentity!A:A,NONE)</f>
        <v>Vikings</v>
      </c>
      <c r="C258" t="s">
        <v>54</v>
      </c>
      <c r="D258" t="s">
        <v>54</v>
      </c>
      <c r="E258" t="s">
        <v>54</v>
      </c>
      <c r="F258" t="s">
        <v>526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515</v>
      </c>
      <c r="N258">
        <v>-1</v>
      </c>
      <c r="O258">
        <v>0</v>
      </c>
      <c r="P258">
        <v>-1</v>
      </c>
      <c r="Q258">
        <v>0</v>
      </c>
      <c r="R258" t="s">
        <v>70</v>
      </c>
      <c r="S258">
        <v>0</v>
      </c>
      <c r="T258">
        <v>0</v>
      </c>
      <c r="U258">
        <v>780</v>
      </c>
      <c r="V258" t="s">
        <v>57</v>
      </c>
      <c r="W258">
        <v>0</v>
      </c>
      <c r="X258">
        <v>0</v>
      </c>
      <c r="Y258">
        <v>0</v>
      </c>
      <c r="Z258">
        <v>0</v>
      </c>
      <c r="AA258" t="s">
        <v>67</v>
      </c>
      <c r="AB258">
        <v>0</v>
      </c>
      <c r="AC258">
        <v>0</v>
      </c>
      <c r="AD258">
        <v>0</v>
      </c>
      <c r="AE258">
        <v>0</v>
      </c>
      <c r="AF258" t="s">
        <v>60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s">
        <v>58</v>
      </c>
      <c r="AM258" t="s">
        <v>58</v>
      </c>
      <c r="AN258" t="s">
        <v>71</v>
      </c>
      <c r="AO258">
        <v>14</v>
      </c>
      <c r="AP258">
        <v>15</v>
      </c>
      <c r="AQ258">
        <v>0</v>
      </c>
      <c r="AR258">
        <v>11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s">
        <v>61</v>
      </c>
      <c r="BA258" t="s">
        <v>57</v>
      </c>
      <c r="BB258" t="s">
        <v>55</v>
      </c>
      <c r="BC258" t="s">
        <v>58</v>
      </c>
      <c r="BD258" t="s">
        <v>58</v>
      </c>
    </row>
    <row r="259" spans="1:56" x14ac:dyDescent="0.25">
      <c r="A259" t="str" cm="1">
        <f t="array" ref="A259">_xlfn.XLOOKUP(RIGHT(M259,8),TeamIdentity!C:C,TeamIdentity!A:A,NONE)</f>
        <v>Raiders</v>
      </c>
      <c r="B259" t="str" cm="1">
        <f t="array" ref="B259">_xlfn.XLOOKUP(RIGHT(F259,8),TeamIdentity!C:C,TeamIdentity!A:A,NONE)</f>
        <v>Chiefs</v>
      </c>
      <c r="C259" t="s">
        <v>54</v>
      </c>
      <c r="D259" t="s">
        <v>54</v>
      </c>
      <c r="E259" t="s">
        <v>54</v>
      </c>
      <c r="F259" t="s">
        <v>535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525</v>
      </c>
      <c r="N259">
        <v>-1</v>
      </c>
      <c r="O259">
        <v>0</v>
      </c>
      <c r="P259">
        <v>-1</v>
      </c>
      <c r="Q259">
        <v>0</v>
      </c>
      <c r="R259" t="s">
        <v>70</v>
      </c>
      <c r="S259">
        <v>0</v>
      </c>
      <c r="T259">
        <v>0</v>
      </c>
      <c r="U259">
        <v>975</v>
      </c>
      <c r="V259" t="s">
        <v>57</v>
      </c>
      <c r="W259">
        <v>0</v>
      </c>
      <c r="X259">
        <v>0</v>
      </c>
      <c r="Y259">
        <v>0</v>
      </c>
      <c r="Z259">
        <v>0</v>
      </c>
      <c r="AA259" t="s">
        <v>67</v>
      </c>
      <c r="AB259">
        <v>0</v>
      </c>
      <c r="AC259">
        <v>0</v>
      </c>
      <c r="AD259">
        <v>0</v>
      </c>
      <c r="AE259">
        <v>0</v>
      </c>
      <c r="AF259" t="s">
        <v>60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s">
        <v>58</v>
      </c>
      <c r="AM259" t="s">
        <v>58</v>
      </c>
      <c r="AN259" t="s">
        <v>71</v>
      </c>
      <c r="AO259">
        <v>14</v>
      </c>
      <c r="AP259">
        <v>15</v>
      </c>
      <c r="AQ259">
        <v>10</v>
      </c>
      <c r="AR259">
        <v>11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s">
        <v>61</v>
      </c>
      <c r="BA259" t="s">
        <v>57</v>
      </c>
      <c r="BB259" t="s">
        <v>55</v>
      </c>
      <c r="BC259" t="s">
        <v>58</v>
      </c>
      <c r="BD259" t="s">
        <v>58</v>
      </c>
    </row>
    <row r="260" spans="1:56" x14ac:dyDescent="0.25">
      <c r="A260" t="str" cm="1">
        <f t="array" ref="A260">_xlfn.XLOOKUP(RIGHT(M260,8),TeamIdentity!C:C,TeamIdentity!A:A,NONE)</f>
        <v>Vikings</v>
      </c>
      <c r="B260" t="str" cm="1">
        <f t="array" ref="B260">_xlfn.XLOOKUP(RIGHT(F260,8),TeamIdentity!C:C,TeamIdentity!A:A,NONE)</f>
        <v>Raiders</v>
      </c>
      <c r="C260" t="s">
        <v>54</v>
      </c>
      <c r="D260" t="s">
        <v>54</v>
      </c>
      <c r="E260" t="s">
        <v>54</v>
      </c>
      <c r="F260" t="s">
        <v>525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526</v>
      </c>
      <c r="N260">
        <v>-1</v>
      </c>
      <c r="O260">
        <v>0</v>
      </c>
      <c r="P260">
        <v>-1</v>
      </c>
      <c r="Q260">
        <v>0</v>
      </c>
      <c r="R260" t="s">
        <v>70</v>
      </c>
      <c r="S260">
        <v>0</v>
      </c>
      <c r="T260">
        <v>0</v>
      </c>
      <c r="U260">
        <v>780</v>
      </c>
      <c r="V260" t="s">
        <v>57</v>
      </c>
      <c r="W260">
        <v>0</v>
      </c>
      <c r="X260">
        <v>0</v>
      </c>
      <c r="Y260">
        <v>0</v>
      </c>
      <c r="Z260">
        <v>0</v>
      </c>
      <c r="AA260" t="s">
        <v>67</v>
      </c>
      <c r="AB260">
        <v>0</v>
      </c>
      <c r="AC260">
        <v>0</v>
      </c>
      <c r="AD260">
        <v>0</v>
      </c>
      <c r="AE260">
        <v>0</v>
      </c>
      <c r="AF260" t="s">
        <v>60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s">
        <v>58</v>
      </c>
      <c r="AM260" t="s">
        <v>58</v>
      </c>
      <c r="AN260" t="s">
        <v>71</v>
      </c>
      <c r="AO260">
        <v>14</v>
      </c>
      <c r="AP260">
        <v>14</v>
      </c>
      <c r="AQ260">
        <v>2</v>
      </c>
      <c r="AR260">
        <v>11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s">
        <v>61</v>
      </c>
      <c r="BA260" t="s">
        <v>57</v>
      </c>
      <c r="BB260" t="s">
        <v>55</v>
      </c>
      <c r="BC260" t="s">
        <v>58</v>
      </c>
      <c r="BD260" t="s">
        <v>58</v>
      </c>
    </row>
    <row r="261" spans="1:56" x14ac:dyDescent="0.25">
      <c r="A261" t="str" cm="1">
        <f t="array" ref="A261">_xlfn.XLOOKUP(RIGHT(M261,8),TeamIdentity!C:C,TeamIdentity!A:A,NONE)</f>
        <v>Ravens</v>
      </c>
      <c r="B261" t="str" cm="1">
        <f t="array" ref="B261">_xlfn.XLOOKUP(RIGHT(F261,8),TeamIdentity!C:C,TeamIdentity!A:A,NONE)</f>
        <v>Colts</v>
      </c>
      <c r="C261" t="s">
        <v>54</v>
      </c>
      <c r="D261" t="s">
        <v>54</v>
      </c>
      <c r="E261" t="s">
        <v>54</v>
      </c>
      <c r="F261" t="s">
        <v>540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520</v>
      </c>
      <c r="N261">
        <v>-1</v>
      </c>
      <c r="O261">
        <v>0</v>
      </c>
      <c r="P261">
        <v>-1</v>
      </c>
      <c r="Q261">
        <v>0</v>
      </c>
      <c r="R261" t="s">
        <v>70</v>
      </c>
      <c r="S261">
        <v>0</v>
      </c>
      <c r="T261">
        <v>0</v>
      </c>
      <c r="U261">
        <v>780</v>
      </c>
      <c r="V261" t="s">
        <v>57</v>
      </c>
      <c r="W261">
        <v>0</v>
      </c>
      <c r="X261">
        <v>0</v>
      </c>
      <c r="Y261">
        <v>0</v>
      </c>
      <c r="Z261">
        <v>0</v>
      </c>
      <c r="AA261" t="s">
        <v>67</v>
      </c>
      <c r="AB261">
        <v>0</v>
      </c>
      <c r="AC261">
        <v>0</v>
      </c>
      <c r="AD261">
        <v>0</v>
      </c>
      <c r="AE261">
        <v>0</v>
      </c>
      <c r="AF261" t="s">
        <v>60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s">
        <v>58</v>
      </c>
      <c r="AM261" t="s">
        <v>58</v>
      </c>
      <c r="AN261" t="s">
        <v>71</v>
      </c>
      <c r="AO261">
        <v>14</v>
      </c>
      <c r="AP261">
        <v>14</v>
      </c>
      <c r="AQ261">
        <v>3</v>
      </c>
      <c r="AR261">
        <v>11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s">
        <v>61</v>
      </c>
      <c r="BA261" t="s">
        <v>57</v>
      </c>
      <c r="BB261" t="s">
        <v>55</v>
      </c>
      <c r="BC261" t="s">
        <v>58</v>
      </c>
      <c r="BD261" t="s">
        <v>58</v>
      </c>
    </row>
    <row r="262" spans="1:56" x14ac:dyDescent="0.25">
      <c r="A262" t="str" cm="1">
        <f t="array" ref="A262">_xlfn.XLOOKUP(RIGHT(M262,8),TeamIdentity!C:C,TeamIdentity!A:A,NONE)</f>
        <v>Commanders</v>
      </c>
      <c r="B262" t="str" cm="1">
        <f t="array" ref="B262">_xlfn.XLOOKUP(RIGHT(F262,8),TeamIdentity!C:C,TeamIdentity!A:A,NONE)</f>
        <v>Giants</v>
      </c>
      <c r="C262" t="s">
        <v>54</v>
      </c>
      <c r="D262" t="s">
        <v>54</v>
      </c>
      <c r="E262" t="s">
        <v>54</v>
      </c>
      <c r="F262" t="s">
        <v>514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521</v>
      </c>
      <c r="N262">
        <v>-1</v>
      </c>
      <c r="O262">
        <v>0</v>
      </c>
      <c r="P262">
        <v>-1</v>
      </c>
      <c r="Q262">
        <v>0</v>
      </c>
      <c r="R262" t="s">
        <v>70</v>
      </c>
      <c r="S262">
        <v>0</v>
      </c>
      <c r="T262">
        <v>0</v>
      </c>
      <c r="U262">
        <v>780</v>
      </c>
      <c r="V262" t="s">
        <v>57</v>
      </c>
      <c r="W262">
        <v>0</v>
      </c>
      <c r="X262">
        <v>0</v>
      </c>
      <c r="Y262">
        <v>0</v>
      </c>
      <c r="Z262">
        <v>0</v>
      </c>
      <c r="AA262" t="s">
        <v>67</v>
      </c>
      <c r="AB262">
        <v>0</v>
      </c>
      <c r="AC262">
        <v>0</v>
      </c>
      <c r="AD262">
        <v>0</v>
      </c>
      <c r="AE262">
        <v>0</v>
      </c>
      <c r="AF262" t="s">
        <v>60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s">
        <v>58</v>
      </c>
      <c r="AM262" t="s">
        <v>58</v>
      </c>
      <c r="AN262" t="s">
        <v>71</v>
      </c>
      <c r="AO262">
        <v>14</v>
      </c>
      <c r="AP262">
        <v>14</v>
      </c>
      <c r="AQ262">
        <v>4</v>
      </c>
      <c r="AR262">
        <v>11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s">
        <v>61</v>
      </c>
      <c r="BA262" t="s">
        <v>57</v>
      </c>
      <c r="BB262" t="s">
        <v>55</v>
      </c>
      <c r="BC262" t="s">
        <v>58</v>
      </c>
      <c r="BD262" t="s">
        <v>58</v>
      </c>
    </row>
    <row r="263" spans="1:56" x14ac:dyDescent="0.25">
      <c r="A263" t="str" cm="1">
        <f t="array" ref="A263">_xlfn.XLOOKUP(RIGHT(M263,8),TeamIdentity!C:C,TeamIdentity!A:A,NONE)</f>
        <v>Cardinals</v>
      </c>
      <c r="B263" t="str" cm="1">
        <f t="array" ref="B263">_xlfn.XLOOKUP(RIGHT(F263,8),TeamIdentity!C:C,TeamIdentity!A:A,NONE)</f>
        <v>Steelers</v>
      </c>
      <c r="C263" t="s">
        <v>54</v>
      </c>
      <c r="D263" t="s">
        <v>54</v>
      </c>
      <c r="E263" t="s">
        <v>54</v>
      </c>
      <c r="F263" t="s">
        <v>518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538</v>
      </c>
      <c r="N263">
        <v>-1</v>
      </c>
      <c r="O263">
        <v>0</v>
      </c>
      <c r="P263">
        <v>-1</v>
      </c>
      <c r="Q263">
        <v>0</v>
      </c>
      <c r="R263" t="s">
        <v>70</v>
      </c>
      <c r="S263">
        <v>0</v>
      </c>
      <c r="T263">
        <v>0</v>
      </c>
      <c r="U263">
        <v>1220</v>
      </c>
      <c r="V263" t="s">
        <v>57</v>
      </c>
      <c r="W263">
        <v>0</v>
      </c>
      <c r="X263">
        <v>0</v>
      </c>
      <c r="Y263">
        <v>0</v>
      </c>
      <c r="Z263">
        <v>0</v>
      </c>
      <c r="AA263" t="s">
        <v>68</v>
      </c>
      <c r="AB263">
        <v>0</v>
      </c>
      <c r="AC263">
        <v>0</v>
      </c>
      <c r="AD263">
        <v>0</v>
      </c>
      <c r="AE263">
        <v>0</v>
      </c>
      <c r="AF263" t="s">
        <v>68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s">
        <v>58</v>
      </c>
      <c r="AM263" t="s">
        <v>58</v>
      </c>
      <c r="AN263" t="s">
        <v>71</v>
      </c>
      <c r="AO263">
        <v>14</v>
      </c>
      <c r="AP263">
        <v>14</v>
      </c>
      <c r="AQ263">
        <v>15</v>
      </c>
      <c r="AR263">
        <v>11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s">
        <v>61</v>
      </c>
      <c r="BA263" t="s">
        <v>57</v>
      </c>
      <c r="BB263" t="s">
        <v>55</v>
      </c>
      <c r="BC263" t="s">
        <v>58</v>
      </c>
      <c r="BD263" t="s">
        <v>58</v>
      </c>
    </row>
    <row r="264" spans="1:56" x14ac:dyDescent="0.25">
      <c r="A264" t="str" cm="1">
        <f t="array" ref="A264">_xlfn.XLOOKUP(RIGHT(M264,8),TeamIdentity!C:C,TeamIdentity!A:A,NONE)</f>
        <v>Cowboys</v>
      </c>
      <c r="B264" t="str" cm="1">
        <f t="array" ref="B264">_xlfn.XLOOKUP(RIGHT(F264,8),TeamIdentity!C:C,TeamIdentity!A:A,NONE)</f>
        <v>Patriots</v>
      </c>
      <c r="C264" t="s">
        <v>54</v>
      </c>
      <c r="D264" t="s">
        <v>54</v>
      </c>
      <c r="E264" t="s">
        <v>54</v>
      </c>
      <c r="F264" t="s">
        <v>512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541</v>
      </c>
      <c r="N264">
        <v>-1</v>
      </c>
      <c r="O264">
        <v>0</v>
      </c>
      <c r="P264">
        <v>-1</v>
      </c>
      <c r="Q264">
        <v>0</v>
      </c>
      <c r="R264" t="s">
        <v>70</v>
      </c>
      <c r="S264">
        <v>0</v>
      </c>
      <c r="T264">
        <v>0</v>
      </c>
      <c r="U264">
        <v>1220</v>
      </c>
      <c r="V264" t="s">
        <v>57</v>
      </c>
      <c r="W264">
        <v>0</v>
      </c>
      <c r="X264">
        <v>0</v>
      </c>
      <c r="Y264">
        <v>0</v>
      </c>
      <c r="Z264">
        <v>0</v>
      </c>
      <c r="AA264" t="s">
        <v>60</v>
      </c>
      <c r="AB264">
        <v>0</v>
      </c>
      <c r="AC264">
        <v>0</v>
      </c>
      <c r="AD264">
        <v>0</v>
      </c>
      <c r="AE264">
        <v>0</v>
      </c>
      <c r="AF264" t="s">
        <v>60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s">
        <v>58</v>
      </c>
      <c r="AM264" t="s">
        <v>58</v>
      </c>
      <c r="AN264" t="s">
        <v>71</v>
      </c>
      <c r="AO264">
        <v>14</v>
      </c>
      <c r="AP264">
        <v>14</v>
      </c>
      <c r="AQ264">
        <v>13</v>
      </c>
      <c r="AR264">
        <v>11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s">
        <v>61</v>
      </c>
      <c r="BA264" t="s">
        <v>57</v>
      </c>
      <c r="BB264" t="s">
        <v>55</v>
      </c>
      <c r="BC264" t="s">
        <v>58</v>
      </c>
      <c r="BD264" t="s">
        <v>58</v>
      </c>
    </row>
    <row r="265" spans="1:56" x14ac:dyDescent="0.25">
      <c r="A265" t="str" cm="1">
        <f t="array" ref="A265">_xlfn.XLOOKUP(RIGHT(M265,8),TeamIdentity!C:C,TeamIdentity!A:A,NONE)</f>
        <v>Panthers</v>
      </c>
      <c r="B265" t="str" cm="1">
        <f t="array" ref="B265">_xlfn.XLOOKUP(RIGHT(F265,8),TeamIdentity!C:C,TeamIdentity!A:A,NONE)</f>
        <v>49ers</v>
      </c>
      <c r="C265" t="s">
        <v>54</v>
      </c>
      <c r="D265" t="s">
        <v>54</v>
      </c>
      <c r="E265" t="s">
        <v>54</v>
      </c>
      <c r="F265" t="s">
        <v>533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511</v>
      </c>
      <c r="N265">
        <v>-1</v>
      </c>
      <c r="O265">
        <v>0</v>
      </c>
      <c r="P265">
        <v>-1</v>
      </c>
      <c r="Q265">
        <v>0</v>
      </c>
      <c r="R265" t="s">
        <v>70</v>
      </c>
      <c r="S265">
        <v>0</v>
      </c>
      <c r="T265">
        <v>0</v>
      </c>
      <c r="U265">
        <v>780</v>
      </c>
      <c r="V265" t="s">
        <v>57</v>
      </c>
      <c r="W265">
        <v>0</v>
      </c>
      <c r="X265">
        <v>0</v>
      </c>
      <c r="Y265">
        <v>0</v>
      </c>
      <c r="Z265">
        <v>0</v>
      </c>
      <c r="AA265" t="s">
        <v>67</v>
      </c>
      <c r="AB265">
        <v>0</v>
      </c>
      <c r="AC265">
        <v>0</v>
      </c>
      <c r="AD265">
        <v>0</v>
      </c>
      <c r="AE265">
        <v>0</v>
      </c>
      <c r="AF265" t="s">
        <v>60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s">
        <v>58</v>
      </c>
      <c r="AM265" t="s">
        <v>58</v>
      </c>
      <c r="AN265" t="s">
        <v>71</v>
      </c>
      <c r="AO265">
        <v>14</v>
      </c>
      <c r="AP265">
        <v>12</v>
      </c>
      <c r="AQ265">
        <v>5</v>
      </c>
      <c r="AR265">
        <v>11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s">
        <v>61</v>
      </c>
      <c r="BA265" t="s">
        <v>57</v>
      </c>
      <c r="BB265" t="s">
        <v>55</v>
      </c>
      <c r="BC265" t="s">
        <v>58</v>
      </c>
      <c r="BD265" t="s">
        <v>58</v>
      </c>
    </row>
    <row r="266" spans="1:56" x14ac:dyDescent="0.25">
      <c r="A266" t="str" cm="1">
        <f t="array" ref="A266">_xlfn.XLOOKUP(RIGHT(M266,8),TeamIdentity!C:C,TeamIdentity!A:A,NONE)</f>
        <v>Cardinals</v>
      </c>
      <c r="B266" t="str" cm="1">
        <f t="array" ref="B266">_xlfn.XLOOKUP(RIGHT(F266,8),TeamIdentity!C:C,TeamIdentity!A:A,NONE)</f>
        <v>49ers</v>
      </c>
      <c r="C266" t="s">
        <v>54</v>
      </c>
      <c r="D266" t="s">
        <v>54</v>
      </c>
      <c r="E266" t="s">
        <v>54</v>
      </c>
      <c r="F266" t="s">
        <v>533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538</v>
      </c>
      <c r="N266">
        <v>-1</v>
      </c>
      <c r="O266">
        <v>0</v>
      </c>
      <c r="P266">
        <v>-1</v>
      </c>
      <c r="Q266">
        <v>0</v>
      </c>
      <c r="R266" t="s">
        <v>70</v>
      </c>
      <c r="S266">
        <v>0</v>
      </c>
      <c r="T266">
        <v>0</v>
      </c>
      <c r="U266">
        <v>975</v>
      </c>
      <c r="V266" t="s">
        <v>57</v>
      </c>
      <c r="W266">
        <v>0</v>
      </c>
      <c r="X266">
        <v>0</v>
      </c>
      <c r="Y266">
        <v>0</v>
      </c>
      <c r="Z266">
        <v>0</v>
      </c>
      <c r="AA266" t="s">
        <v>67</v>
      </c>
      <c r="AB266">
        <v>0</v>
      </c>
      <c r="AC266">
        <v>0</v>
      </c>
      <c r="AD266">
        <v>0</v>
      </c>
      <c r="AE266">
        <v>0</v>
      </c>
      <c r="AF266" t="s">
        <v>60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s">
        <v>58</v>
      </c>
      <c r="AM266" t="s">
        <v>58</v>
      </c>
      <c r="AN266" t="s">
        <v>71</v>
      </c>
      <c r="AO266">
        <v>14</v>
      </c>
      <c r="AP266">
        <v>13</v>
      </c>
      <c r="AQ266">
        <v>8</v>
      </c>
      <c r="AR266">
        <v>11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s">
        <v>61</v>
      </c>
      <c r="BA266" t="s">
        <v>57</v>
      </c>
      <c r="BB266" t="s">
        <v>55</v>
      </c>
      <c r="BC266" t="s">
        <v>58</v>
      </c>
      <c r="BD266" t="s">
        <v>58</v>
      </c>
    </row>
    <row r="267" spans="1:56" x14ac:dyDescent="0.25">
      <c r="A267" t="str" cm="1">
        <f t="array" ref="A267">_xlfn.XLOOKUP(RIGHT(M267,8),TeamIdentity!C:C,TeamIdentity!A:A,NONE)</f>
        <v>Patriots</v>
      </c>
      <c r="B267" t="str" cm="1">
        <f t="array" ref="B267">_xlfn.XLOOKUP(RIGHT(F267,8),TeamIdentity!C:C,TeamIdentity!A:A,NONE)</f>
        <v>Eagles</v>
      </c>
      <c r="C267" t="s">
        <v>54</v>
      </c>
      <c r="D267" t="s">
        <v>54</v>
      </c>
      <c r="E267" t="s">
        <v>54</v>
      </c>
      <c r="F267" t="s">
        <v>519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512</v>
      </c>
      <c r="N267">
        <v>-1</v>
      </c>
      <c r="O267">
        <v>0</v>
      </c>
      <c r="P267">
        <v>-1</v>
      </c>
      <c r="Q267">
        <v>0</v>
      </c>
      <c r="R267" t="s">
        <v>70</v>
      </c>
      <c r="S267">
        <v>0</v>
      </c>
      <c r="T267">
        <v>0</v>
      </c>
      <c r="U267">
        <v>1220</v>
      </c>
      <c r="V267" t="s">
        <v>57</v>
      </c>
      <c r="W267">
        <v>0</v>
      </c>
      <c r="X267">
        <v>0</v>
      </c>
      <c r="Y267">
        <v>0</v>
      </c>
      <c r="Z267">
        <v>0</v>
      </c>
      <c r="AA267" t="s">
        <v>60</v>
      </c>
      <c r="AB267">
        <v>0</v>
      </c>
      <c r="AC267">
        <v>0</v>
      </c>
      <c r="AD267">
        <v>0</v>
      </c>
      <c r="AE267">
        <v>0</v>
      </c>
      <c r="AF267" t="s">
        <v>60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s">
        <v>58</v>
      </c>
      <c r="AM267" t="s">
        <v>58</v>
      </c>
      <c r="AN267" t="s">
        <v>71</v>
      </c>
      <c r="AO267">
        <v>14</v>
      </c>
      <c r="AP267">
        <v>15</v>
      </c>
      <c r="AQ267">
        <v>13</v>
      </c>
      <c r="AR267">
        <v>11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s">
        <v>61</v>
      </c>
      <c r="BA267" t="s">
        <v>57</v>
      </c>
      <c r="BB267" t="s">
        <v>55</v>
      </c>
      <c r="BC267" t="s">
        <v>58</v>
      </c>
      <c r="BD267" t="s">
        <v>58</v>
      </c>
    </row>
    <row r="268" spans="1:56" x14ac:dyDescent="0.25">
      <c r="A268" t="str" cm="1">
        <f t="array" ref="A268">_xlfn.XLOOKUP(RIGHT(M268,8),TeamIdentity!C:C,TeamIdentity!A:A,NONE)</f>
        <v>Panthers</v>
      </c>
      <c r="B268" t="str" cm="1">
        <f t="array" ref="B268">_xlfn.XLOOKUP(RIGHT(F268,8),TeamIdentity!C:C,TeamIdentity!A:A,NONE)</f>
        <v>Packers</v>
      </c>
      <c r="C268" t="s">
        <v>54</v>
      </c>
      <c r="D268" t="s">
        <v>54</v>
      </c>
      <c r="E268" t="s">
        <v>54</v>
      </c>
      <c r="F268" t="s">
        <v>529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511</v>
      </c>
      <c r="N268">
        <v>-1</v>
      </c>
      <c r="O268">
        <v>0</v>
      </c>
      <c r="P268">
        <v>-1</v>
      </c>
      <c r="Q268">
        <v>0</v>
      </c>
      <c r="R268" t="s">
        <v>70</v>
      </c>
      <c r="S268">
        <v>0</v>
      </c>
      <c r="T268">
        <v>0</v>
      </c>
      <c r="U268">
        <v>780</v>
      </c>
      <c r="V268" t="s">
        <v>57</v>
      </c>
      <c r="W268">
        <v>0</v>
      </c>
      <c r="X268">
        <v>0</v>
      </c>
      <c r="Y268">
        <v>0</v>
      </c>
      <c r="Z268">
        <v>0</v>
      </c>
      <c r="AA268" t="s">
        <v>67</v>
      </c>
      <c r="AB268">
        <v>0</v>
      </c>
      <c r="AC268">
        <v>0</v>
      </c>
      <c r="AD268">
        <v>0</v>
      </c>
      <c r="AE268">
        <v>0</v>
      </c>
      <c r="AF268" t="s">
        <v>60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s">
        <v>58</v>
      </c>
      <c r="AM268" t="s">
        <v>58</v>
      </c>
      <c r="AN268" t="s">
        <v>71</v>
      </c>
      <c r="AO268">
        <v>14</v>
      </c>
      <c r="AP268">
        <v>14</v>
      </c>
      <c r="AQ268">
        <v>5</v>
      </c>
      <c r="AR268">
        <v>11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s">
        <v>61</v>
      </c>
      <c r="BA268" t="s">
        <v>57</v>
      </c>
      <c r="BB268" t="s">
        <v>55</v>
      </c>
      <c r="BC268" t="s">
        <v>58</v>
      </c>
      <c r="BD268" t="s">
        <v>58</v>
      </c>
    </row>
    <row r="269" spans="1:56" x14ac:dyDescent="0.25">
      <c r="A269" t="str" cm="1">
        <f t="array" ref="A269">_xlfn.XLOOKUP(RIGHT(M269,8),TeamIdentity!C:C,TeamIdentity!A:A,NONE)</f>
        <v>Eagles</v>
      </c>
      <c r="B269" t="str" cm="1">
        <f t="array" ref="B269">_xlfn.XLOOKUP(RIGHT(F269,8),TeamIdentity!C:C,TeamIdentity!A:A,NONE)</f>
        <v>Bills</v>
      </c>
      <c r="C269" t="s">
        <v>54</v>
      </c>
      <c r="D269" t="s">
        <v>54</v>
      </c>
      <c r="E269" t="s">
        <v>54</v>
      </c>
      <c r="F269" t="s">
        <v>524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519</v>
      </c>
      <c r="N269">
        <v>-1</v>
      </c>
      <c r="O269">
        <v>0</v>
      </c>
      <c r="P269">
        <v>-1</v>
      </c>
      <c r="Q269">
        <v>0</v>
      </c>
      <c r="R269" t="s">
        <v>70</v>
      </c>
      <c r="S269">
        <v>0</v>
      </c>
      <c r="T269">
        <v>0</v>
      </c>
      <c r="U269">
        <v>780</v>
      </c>
      <c r="V269" t="s">
        <v>57</v>
      </c>
      <c r="W269">
        <v>0</v>
      </c>
      <c r="X269">
        <v>0</v>
      </c>
      <c r="Y269">
        <v>0</v>
      </c>
      <c r="Z269">
        <v>0</v>
      </c>
      <c r="AA269" t="s">
        <v>67</v>
      </c>
      <c r="AB269">
        <v>0</v>
      </c>
      <c r="AC269">
        <v>0</v>
      </c>
      <c r="AD269">
        <v>0</v>
      </c>
      <c r="AE269">
        <v>0</v>
      </c>
      <c r="AF269" t="s">
        <v>60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s">
        <v>58</v>
      </c>
      <c r="AM269" t="s">
        <v>58</v>
      </c>
      <c r="AN269" t="s">
        <v>71</v>
      </c>
      <c r="AO269">
        <v>14</v>
      </c>
      <c r="AP269">
        <v>14</v>
      </c>
      <c r="AQ269">
        <v>6</v>
      </c>
      <c r="AR269">
        <v>11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s">
        <v>61</v>
      </c>
      <c r="BA269" t="s">
        <v>57</v>
      </c>
      <c r="BB269" t="s">
        <v>55</v>
      </c>
      <c r="BC269" t="s">
        <v>58</v>
      </c>
      <c r="BD269" t="s">
        <v>58</v>
      </c>
    </row>
    <row r="270" spans="1:56" x14ac:dyDescent="0.25">
      <c r="A270" t="str" cm="1">
        <f t="array" ref="A270">_xlfn.XLOOKUP(RIGHT(M270,8),TeamIdentity!C:C,TeamIdentity!A:A,NONE)</f>
        <v>Texans</v>
      </c>
      <c r="B270" t="str" cm="1">
        <f t="array" ref="B270">_xlfn.XLOOKUP(RIGHT(F270,8),TeamIdentity!C:C,TeamIdentity!A:A,NONE)</f>
        <v>Titans</v>
      </c>
      <c r="C270" t="s">
        <v>54</v>
      </c>
      <c r="D270" t="s">
        <v>54</v>
      </c>
      <c r="E270" t="s">
        <v>54</v>
      </c>
      <c r="F270" t="s">
        <v>534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517</v>
      </c>
      <c r="N270">
        <v>-1</v>
      </c>
      <c r="O270">
        <v>0</v>
      </c>
      <c r="P270">
        <v>-1</v>
      </c>
      <c r="Q270">
        <v>0</v>
      </c>
      <c r="R270" t="s">
        <v>70</v>
      </c>
      <c r="S270">
        <v>0</v>
      </c>
      <c r="T270">
        <v>0</v>
      </c>
      <c r="U270">
        <v>780</v>
      </c>
      <c r="V270" t="s">
        <v>57</v>
      </c>
      <c r="W270">
        <v>0</v>
      </c>
      <c r="X270">
        <v>0</v>
      </c>
      <c r="Y270">
        <v>0</v>
      </c>
      <c r="Z270">
        <v>0</v>
      </c>
      <c r="AA270" t="s">
        <v>67</v>
      </c>
      <c r="AB270">
        <v>0</v>
      </c>
      <c r="AC270">
        <v>0</v>
      </c>
      <c r="AD270">
        <v>0</v>
      </c>
      <c r="AE270">
        <v>0</v>
      </c>
      <c r="AF270" t="s">
        <v>60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s">
        <v>58</v>
      </c>
      <c r="AM270" t="s">
        <v>58</v>
      </c>
      <c r="AN270" t="s">
        <v>71</v>
      </c>
      <c r="AO270">
        <v>14</v>
      </c>
      <c r="AP270">
        <v>12</v>
      </c>
      <c r="AQ270">
        <v>6</v>
      </c>
      <c r="AR270">
        <v>11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s">
        <v>61</v>
      </c>
      <c r="BA270" t="s">
        <v>57</v>
      </c>
      <c r="BB270" t="s">
        <v>55</v>
      </c>
      <c r="BC270" t="s">
        <v>58</v>
      </c>
      <c r="BD270" t="s">
        <v>58</v>
      </c>
    </row>
    <row r="271" spans="1:56" x14ac:dyDescent="0.25">
      <c r="A271" t="str" cm="1">
        <f t="array" ref="A271">_xlfn.XLOOKUP(RIGHT(M271,8),TeamIdentity!C:C,TeamIdentity!A:A,NONE)</f>
        <v>Bears</v>
      </c>
      <c r="B271" t="str" cm="1">
        <f t="array" ref="B271">_xlfn.XLOOKUP(RIGHT(F271,8),TeamIdentity!C:C,TeamIdentity!A:A,NONE)</f>
        <v>Lions</v>
      </c>
      <c r="C271" t="s">
        <v>54</v>
      </c>
      <c r="D271" t="s">
        <v>54</v>
      </c>
      <c r="E271" t="s">
        <v>54</v>
      </c>
      <c r="F271" t="s">
        <v>513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523</v>
      </c>
      <c r="N271">
        <v>-1</v>
      </c>
      <c r="O271">
        <v>0</v>
      </c>
      <c r="P271">
        <v>-1</v>
      </c>
      <c r="Q271">
        <v>0</v>
      </c>
      <c r="R271" t="s">
        <v>70</v>
      </c>
      <c r="S271">
        <v>0</v>
      </c>
      <c r="T271">
        <v>0</v>
      </c>
      <c r="U271">
        <v>1230</v>
      </c>
      <c r="V271" t="s">
        <v>57</v>
      </c>
      <c r="W271">
        <v>0</v>
      </c>
      <c r="X271">
        <v>0</v>
      </c>
      <c r="Y271">
        <v>0</v>
      </c>
      <c r="Z271">
        <v>0</v>
      </c>
      <c r="AA271" t="s">
        <v>65</v>
      </c>
      <c r="AB271">
        <v>0</v>
      </c>
      <c r="AC271">
        <v>0</v>
      </c>
      <c r="AD271">
        <v>0</v>
      </c>
      <c r="AE271">
        <v>0</v>
      </c>
      <c r="AF271" t="s">
        <v>65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s">
        <v>58</v>
      </c>
      <c r="AM271" t="s">
        <v>58</v>
      </c>
      <c r="AN271" t="s">
        <v>71</v>
      </c>
      <c r="AO271">
        <v>14</v>
      </c>
      <c r="AP271">
        <v>13</v>
      </c>
      <c r="AQ271">
        <v>12</v>
      </c>
      <c r="AR271">
        <v>11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s">
        <v>61</v>
      </c>
      <c r="BA271" t="s">
        <v>57</v>
      </c>
      <c r="BB271" t="s">
        <v>55</v>
      </c>
      <c r="BC271" t="s">
        <v>58</v>
      </c>
      <c r="BD271" t="s">
        <v>58</v>
      </c>
    </row>
    <row r="272" spans="1:56" x14ac:dyDescent="0.25">
      <c r="A272" t="str" cm="1">
        <f t="array" ref="A272">_xlfn.XLOOKUP(RIGHT(M272,8),TeamIdentity!C:C,TeamIdentity!A:A,NONE)</f>
        <v>Seahawks</v>
      </c>
      <c r="B272" t="str" cm="1">
        <f t="array" ref="B272">_xlfn.XLOOKUP(RIGHT(F272,8),TeamIdentity!C:C,TeamIdentity!A:A,NONE)</f>
        <v>Browns</v>
      </c>
      <c r="C272" t="s">
        <v>54</v>
      </c>
      <c r="D272" t="s">
        <v>54</v>
      </c>
      <c r="E272" t="s">
        <v>54</v>
      </c>
      <c r="F272" t="s">
        <v>530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527</v>
      </c>
      <c r="N272">
        <v>-1</v>
      </c>
      <c r="O272">
        <v>0</v>
      </c>
      <c r="P272">
        <v>-1</v>
      </c>
      <c r="Q272">
        <v>0</v>
      </c>
      <c r="R272" t="s">
        <v>70</v>
      </c>
      <c r="S272">
        <v>0</v>
      </c>
      <c r="T272">
        <v>0</v>
      </c>
      <c r="U272">
        <v>1230</v>
      </c>
      <c r="V272" t="s">
        <v>57</v>
      </c>
      <c r="W272">
        <v>0</v>
      </c>
      <c r="X272">
        <v>0</v>
      </c>
      <c r="Y272">
        <v>0</v>
      </c>
      <c r="Z272">
        <v>0</v>
      </c>
      <c r="AA272" t="s">
        <v>65</v>
      </c>
      <c r="AB272">
        <v>0</v>
      </c>
      <c r="AC272">
        <v>0</v>
      </c>
      <c r="AD272">
        <v>0</v>
      </c>
      <c r="AE272">
        <v>0</v>
      </c>
      <c r="AF272" t="s">
        <v>65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s">
        <v>58</v>
      </c>
      <c r="AM272" t="s">
        <v>58</v>
      </c>
      <c r="AN272" t="s">
        <v>71</v>
      </c>
      <c r="AO272">
        <v>14</v>
      </c>
      <c r="AP272">
        <v>15</v>
      </c>
      <c r="AQ272">
        <v>14</v>
      </c>
      <c r="AR272">
        <v>11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s">
        <v>61</v>
      </c>
      <c r="BA272" t="s">
        <v>57</v>
      </c>
      <c r="BB272" t="s">
        <v>55</v>
      </c>
      <c r="BC272" t="s">
        <v>58</v>
      </c>
      <c r="BD272" t="s">
        <v>58</v>
      </c>
    </row>
    <row r="273" spans="1:56" x14ac:dyDescent="0.25">
      <c r="A273" t="str" cm="1">
        <f t="array" ref="A273">_xlfn.XLOOKUP(RIGHT(M273,8),TeamIdentity!C:C,TeamIdentity!A:A,NONE)</f>
        <v>Cardinals</v>
      </c>
      <c r="B273" t="str" cm="1">
        <f t="array" ref="B273">_xlfn.XLOOKUP(RIGHT(F273,8),TeamIdentity!C:C,TeamIdentity!A:A,NONE)</f>
        <v>Cowboys</v>
      </c>
      <c r="C273" t="s">
        <v>54</v>
      </c>
      <c r="D273" t="s">
        <v>54</v>
      </c>
      <c r="E273" t="s">
        <v>54</v>
      </c>
      <c r="F273" t="s">
        <v>541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538</v>
      </c>
      <c r="N273">
        <v>-1</v>
      </c>
      <c r="O273">
        <v>0</v>
      </c>
      <c r="P273">
        <v>-1</v>
      </c>
      <c r="Q273">
        <v>0</v>
      </c>
      <c r="R273" t="s">
        <v>70</v>
      </c>
      <c r="S273">
        <v>0</v>
      </c>
      <c r="T273">
        <v>0</v>
      </c>
      <c r="U273">
        <v>965</v>
      </c>
      <c r="V273" t="s">
        <v>57</v>
      </c>
      <c r="W273">
        <v>0</v>
      </c>
      <c r="X273">
        <v>0</v>
      </c>
      <c r="Y273">
        <v>0</v>
      </c>
      <c r="Z273">
        <v>0</v>
      </c>
      <c r="AA273" t="s">
        <v>67</v>
      </c>
      <c r="AB273">
        <v>0</v>
      </c>
      <c r="AC273">
        <v>0</v>
      </c>
      <c r="AD273">
        <v>0</v>
      </c>
      <c r="AE273">
        <v>0</v>
      </c>
      <c r="AF273" t="s">
        <v>60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s">
        <v>58</v>
      </c>
      <c r="AM273" t="s">
        <v>58</v>
      </c>
      <c r="AN273" t="s">
        <v>71</v>
      </c>
      <c r="AO273">
        <v>14</v>
      </c>
      <c r="AP273">
        <v>16</v>
      </c>
      <c r="AQ273">
        <v>8</v>
      </c>
      <c r="AR273">
        <v>11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s">
        <v>61</v>
      </c>
      <c r="BA273" t="s">
        <v>57</v>
      </c>
      <c r="BB273" t="s">
        <v>55</v>
      </c>
      <c r="BC273" t="s">
        <v>58</v>
      </c>
      <c r="BD273" t="s">
        <v>58</v>
      </c>
    </row>
    <row r="274" spans="1:56" x14ac:dyDescent="0.25">
      <c r="A274" t="str" cm="1">
        <f t="array" ref="A274">_xlfn.XLOOKUP(RIGHT(M274,8),TeamIdentity!C:C,TeamIdentity!A:A,NONE)</f>
        <v>Commanders</v>
      </c>
      <c r="B274" t="str" cm="1">
        <f t="array" ref="B274">_xlfn.XLOOKUP(RIGHT(F274,8),TeamIdentity!C:C,TeamIdentity!A:A,NONE)</f>
        <v>Patriots</v>
      </c>
      <c r="C274" t="s">
        <v>54</v>
      </c>
      <c r="D274" t="s">
        <v>54</v>
      </c>
      <c r="E274" t="s">
        <v>54</v>
      </c>
      <c r="F274" t="s">
        <v>512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521</v>
      </c>
      <c r="N274">
        <v>-1</v>
      </c>
      <c r="O274">
        <v>0</v>
      </c>
      <c r="P274">
        <v>-1</v>
      </c>
      <c r="Q274">
        <v>0</v>
      </c>
      <c r="R274" t="s">
        <v>70</v>
      </c>
      <c r="S274">
        <v>0</v>
      </c>
      <c r="T274">
        <v>0</v>
      </c>
      <c r="U274">
        <v>780</v>
      </c>
      <c r="V274" t="s">
        <v>57</v>
      </c>
      <c r="W274">
        <v>0</v>
      </c>
      <c r="X274">
        <v>0</v>
      </c>
      <c r="Y274">
        <v>0</v>
      </c>
      <c r="Z274">
        <v>0</v>
      </c>
      <c r="AA274" t="s">
        <v>67</v>
      </c>
      <c r="AB274">
        <v>0</v>
      </c>
      <c r="AC274">
        <v>0</v>
      </c>
      <c r="AD274">
        <v>0</v>
      </c>
      <c r="AE274">
        <v>0</v>
      </c>
      <c r="AF274" t="s">
        <v>60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s">
        <v>58</v>
      </c>
      <c r="AM274" t="s">
        <v>58</v>
      </c>
      <c r="AN274" t="s">
        <v>71</v>
      </c>
      <c r="AO274">
        <v>14</v>
      </c>
      <c r="AP274">
        <v>16</v>
      </c>
      <c r="AQ274">
        <v>0</v>
      </c>
      <c r="AR274">
        <v>11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s">
        <v>61</v>
      </c>
      <c r="BA274" t="s">
        <v>57</v>
      </c>
      <c r="BB274" t="s">
        <v>55</v>
      </c>
      <c r="BC274" t="s">
        <v>58</v>
      </c>
      <c r="BD274" t="s">
        <v>58</v>
      </c>
    </row>
    <row r="275" spans="1:56" x14ac:dyDescent="0.25">
      <c r="A275" t="str" cm="1">
        <f t="array" ref="A275">_xlfn.XLOOKUP(RIGHT(M275,8),TeamIdentity!C:C,TeamIdentity!A:A,NONE)</f>
        <v>Cardinals</v>
      </c>
      <c r="B275" t="str" cm="1">
        <f t="array" ref="B275">_xlfn.XLOOKUP(RIGHT(F275,8),TeamIdentity!C:C,TeamIdentity!A:A,NONE)</f>
        <v>Rams</v>
      </c>
      <c r="C275" t="s">
        <v>54</v>
      </c>
      <c r="D275" t="s">
        <v>54</v>
      </c>
      <c r="E275" t="s">
        <v>54</v>
      </c>
      <c r="F275" t="s">
        <v>542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538</v>
      </c>
      <c r="N275">
        <v>-1</v>
      </c>
      <c r="O275">
        <v>0</v>
      </c>
      <c r="P275">
        <v>-1</v>
      </c>
      <c r="Q275">
        <v>0</v>
      </c>
      <c r="R275" t="s">
        <v>70</v>
      </c>
      <c r="S275">
        <v>0</v>
      </c>
      <c r="T275">
        <v>0</v>
      </c>
      <c r="U275">
        <v>975</v>
      </c>
      <c r="V275" t="s">
        <v>57</v>
      </c>
      <c r="W275">
        <v>0</v>
      </c>
      <c r="X275">
        <v>0</v>
      </c>
      <c r="Y275">
        <v>0</v>
      </c>
      <c r="Z275">
        <v>0</v>
      </c>
      <c r="AA275" t="s">
        <v>67</v>
      </c>
      <c r="AB275">
        <v>0</v>
      </c>
      <c r="AC275">
        <v>0</v>
      </c>
      <c r="AD275">
        <v>0</v>
      </c>
      <c r="AE275">
        <v>0</v>
      </c>
      <c r="AF275" t="s">
        <v>60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s">
        <v>58</v>
      </c>
      <c r="AM275" t="s">
        <v>58</v>
      </c>
      <c r="AN275" t="s">
        <v>71</v>
      </c>
      <c r="AO275">
        <v>14</v>
      </c>
      <c r="AP275">
        <v>15</v>
      </c>
      <c r="AQ275">
        <v>11</v>
      </c>
      <c r="AR275">
        <v>11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s">
        <v>61</v>
      </c>
      <c r="BA275" t="s">
        <v>57</v>
      </c>
      <c r="BB275" t="s">
        <v>55</v>
      </c>
      <c r="BC275" t="s">
        <v>58</v>
      </c>
      <c r="BD275" t="s">
        <v>58</v>
      </c>
    </row>
    <row r="276" spans="1:56" x14ac:dyDescent="0.25">
      <c r="A276" t="str" cm="1">
        <f t="array" ref="A276">_xlfn.XLOOKUP(RIGHT(M276,8),TeamIdentity!C:C,TeamIdentity!A:A,NONE)</f>
        <v>Jets</v>
      </c>
      <c r="B276" t="str" cm="1">
        <f t="array" ref="B276">_xlfn.XLOOKUP(RIGHT(F276,8),TeamIdentity!C:C,TeamIdentity!A:A,NONE)</f>
        <v>Giants</v>
      </c>
      <c r="C276" t="s">
        <v>54</v>
      </c>
      <c r="D276" t="s">
        <v>54</v>
      </c>
      <c r="E276" t="s">
        <v>54</v>
      </c>
      <c r="F276" t="s">
        <v>514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522</v>
      </c>
      <c r="N276">
        <v>-1</v>
      </c>
      <c r="O276">
        <v>0</v>
      </c>
      <c r="P276">
        <v>-1</v>
      </c>
      <c r="Q276">
        <v>0</v>
      </c>
      <c r="R276" t="s">
        <v>70</v>
      </c>
      <c r="S276">
        <v>0</v>
      </c>
      <c r="T276">
        <v>0</v>
      </c>
      <c r="U276">
        <v>780</v>
      </c>
      <c r="V276" t="s">
        <v>57</v>
      </c>
      <c r="W276">
        <v>0</v>
      </c>
      <c r="X276">
        <v>0</v>
      </c>
      <c r="Y276">
        <v>0</v>
      </c>
      <c r="Z276">
        <v>0</v>
      </c>
      <c r="AA276" t="s">
        <v>67</v>
      </c>
      <c r="AB276">
        <v>0</v>
      </c>
      <c r="AC276">
        <v>0</v>
      </c>
      <c r="AD276">
        <v>0</v>
      </c>
      <c r="AE276">
        <v>0</v>
      </c>
      <c r="AF276" t="s">
        <v>60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s">
        <v>58</v>
      </c>
      <c r="AM276" t="s">
        <v>58</v>
      </c>
      <c r="AN276" t="s">
        <v>71</v>
      </c>
      <c r="AO276">
        <v>14</v>
      </c>
      <c r="AP276">
        <v>15</v>
      </c>
      <c r="AQ276">
        <v>1</v>
      </c>
      <c r="AR276">
        <v>11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s">
        <v>61</v>
      </c>
      <c r="BA276" t="s">
        <v>57</v>
      </c>
      <c r="BB276" t="s">
        <v>55</v>
      </c>
      <c r="BC276" t="s">
        <v>58</v>
      </c>
      <c r="BD276" t="s">
        <v>58</v>
      </c>
    </row>
    <row r="277" spans="1:56" x14ac:dyDescent="0.25">
      <c r="A277" t="str" cm="1">
        <f t="array" ref="A277">_xlfn.XLOOKUP(RIGHT(M277,8),TeamIdentity!C:C,TeamIdentity!A:A,NONE)</f>
        <v>Jaguars</v>
      </c>
      <c r="B277" t="str" cm="1">
        <f t="array" ref="B277">_xlfn.XLOOKUP(RIGHT(F277,8),TeamIdentity!C:C,TeamIdentity!A:A,NONE)</f>
        <v>Chargers</v>
      </c>
      <c r="C277" t="s">
        <v>54</v>
      </c>
      <c r="D277" t="s">
        <v>54</v>
      </c>
      <c r="E277" t="s">
        <v>54</v>
      </c>
      <c r="F277" t="s">
        <v>528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536</v>
      </c>
      <c r="N277">
        <v>-1</v>
      </c>
      <c r="O277">
        <v>0</v>
      </c>
      <c r="P277">
        <v>-1</v>
      </c>
      <c r="Q277">
        <v>0</v>
      </c>
      <c r="R277" t="s">
        <v>70</v>
      </c>
      <c r="S277">
        <v>0</v>
      </c>
      <c r="T277">
        <v>0</v>
      </c>
      <c r="U277">
        <v>780</v>
      </c>
      <c r="V277" t="s">
        <v>57</v>
      </c>
      <c r="W277">
        <v>0</v>
      </c>
      <c r="X277">
        <v>0</v>
      </c>
      <c r="Y277">
        <v>0</v>
      </c>
      <c r="Z277">
        <v>0</v>
      </c>
      <c r="AA277" t="s">
        <v>67</v>
      </c>
      <c r="AB277">
        <v>0</v>
      </c>
      <c r="AC277">
        <v>0</v>
      </c>
      <c r="AD277">
        <v>0</v>
      </c>
      <c r="AE277">
        <v>0</v>
      </c>
      <c r="AF277" t="s">
        <v>60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s">
        <v>58</v>
      </c>
      <c r="AM277" t="s">
        <v>58</v>
      </c>
      <c r="AN277" t="s">
        <v>71</v>
      </c>
      <c r="AO277">
        <v>14</v>
      </c>
      <c r="AP277">
        <v>15</v>
      </c>
      <c r="AQ277">
        <v>2</v>
      </c>
      <c r="AR277">
        <v>11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s">
        <v>61</v>
      </c>
      <c r="BA277" t="s">
        <v>57</v>
      </c>
      <c r="BB277" t="s">
        <v>55</v>
      </c>
      <c r="BC277" t="s">
        <v>58</v>
      </c>
      <c r="BD277" t="s">
        <v>58</v>
      </c>
    </row>
    <row r="278" spans="1:56" x14ac:dyDescent="0.25">
      <c r="A278" t="str" cm="1">
        <f t="array" ref="A278">_xlfn.XLOOKUP(RIGHT(M278,8),TeamIdentity!C:C,TeamIdentity!A:A,NONE)</f>
        <v>Saints</v>
      </c>
      <c r="B278" t="str" cm="1">
        <f t="array" ref="B278">_xlfn.XLOOKUP(RIGHT(F278,8),TeamIdentity!C:C,TeamIdentity!A:A,NONE)</f>
        <v>Texans</v>
      </c>
      <c r="C278" t="s">
        <v>54</v>
      </c>
      <c r="D278" t="s">
        <v>54</v>
      </c>
      <c r="E278" t="s">
        <v>54</v>
      </c>
      <c r="F278" t="s">
        <v>517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537</v>
      </c>
      <c r="N278">
        <v>-1</v>
      </c>
      <c r="O278">
        <v>0</v>
      </c>
      <c r="P278">
        <v>-1</v>
      </c>
      <c r="Q278">
        <v>0</v>
      </c>
      <c r="R278" t="s">
        <v>70</v>
      </c>
      <c r="S278">
        <v>0</v>
      </c>
      <c r="T278">
        <v>0</v>
      </c>
      <c r="U278">
        <v>975</v>
      </c>
      <c r="V278" t="s">
        <v>57</v>
      </c>
      <c r="W278">
        <v>0</v>
      </c>
      <c r="X278">
        <v>0</v>
      </c>
      <c r="Y278">
        <v>0</v>
      </c>
      <c r="Z278">
        <v>0</v>
      </c>
      <c r="AA278" t="s">
        <v>67</v>
      </c>
      <c r="AB278">
        <v>0</v>
      </c>
      <c r="AC278">
        <v>0</v>
      </c>
      <c r="AD278">
        <v>0</v>
      </c>
      <c r="AE278">
        <v>0</v>
      </c>
      <c r="AF278" t="s">
        <v>60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s">
        <v>58</v>
      </c>
      <c r="AM278" t="s">
        <v>58</v>
      </c>
      <c r="AN278" t="s">
        <v>71</v>
      </c>
      <c r="AO278">
        <v>14</v>
      </c>
      <c r="AP278">
        <v>14</v>
      </c>
      <c r="AQ278">
        <v>10</v>
      </c>
      <c r="AR278">
        <v>11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s">
        <v>61</v>
      </c>
      <c r="BA278" t="s">
        <v>57</v>
      </c>
      <c r="BB278" t="s">
        <v>55</v>
      </c>
      <c r="BC278" t="s">
        <v>58</v>
      </c>
      <c r="BD278" t="s">
        <v>58</v>
      </c>
    </row>
    <row r="279" spans="1:56" x14ac:dyDescent="0.25">
      <c r="A279" t="str" cm="1">
        <f t="array" ref="A279">_xlfn.XLOOKUP(RIGHT(M279,8),TeamIdentity!C:C,TeamIdentity!A:A,NONE)</f>
        <v>Texans</v>
      </c>
      <c r="B279" t="str" cm="1">
        <f t="array" ref="B279">_xlfn.XLOOKUP(RIGHT(F279,8),TeamIdentity!C:C,TeamIdentity!A:A,NONE)</f>
        <v>Colts</v>
      </c>
      <c r="C279" t="s">
        <v>54</v>
      </c>
      <c r="D279" t="s">
        <v>54</v>
      </c>
      <c r="E279" t="s">
        <v>54</v>
      </c>
      <c r="F279" t="s">
        <v>540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517</v>
      </c>
      <c r="N279">
        <v>-1</v>
      </c>
      <c r="O279">
        <v>0</v>
      </c>
      <c r="P279">
        <v>-1</v>
      </c>
      <c r="Q279">
        <v>0</v>
      </c>
      <c r="R279" t="s">
        <v>70</v>
      </c>
      <c r="S279">
        <v>0</v>
      </c>
      <c r="T279">
        <v>0</v>
      </c>
      <c r="U279">
        <v>1220</v>
      </c>
      <c r="V279" t="s">
        <v>57</v>
      </c>
      <c r="W279">
        <v>0</v>
      </c>
      <c r="X279">
        <v>0</v>
      </c>
      <c r="Y279">
        <v>0</v>
      </c>
      <c r="Z279">
        <v>0</v>
      </c>
      <c r="AA279" t="s">
        <v>68</v>
      </c>
      <c r="AB279">
        <v>0</v>
      </c>
      <c r="AC279">
        <v>0</v>
      </c>
      <c r="AD279">
        <v>0</v>
      </c>
      <c r="AE279">
        <v>0</v>
      </c>
      <c r="AF279" t="s">
        <v>68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s">
        <v>58</v>
      </c>
      <c r="AM279" t="s">
        <v>58</v>
      </c>
      <c r="AN279" t="s">
        <v>71</v>
      </c>
      <c r="AO279">
        <v>14</v>
      </c>
      <c r="AP279">
        <v>15</v>
      </c>
      <c r="AQ279">
        <v>15</v>
      </c>
      <c r="AR279">
        <v>11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s">
        <v>61</v>
      </c>
      <c r="BA279" t="s">
        <v>57</v>
      </c>
      <c r="BB279" t="s">
        <v>55</v>
      </c>
      <c r="BC279" t="s">
        <v>58</v>
      </c>
      <c r="BD279" t="s">
        <v>58</v>
      </c>
    </row>
    <row r="280" spans="1:56" x14ac:dyDescent="0.25">
      <c r="A280" t="str" cm="1">
        <f t="array" ref="A280">_xlfn.XLOOKUP(RIGHT(M280,8),TeamIdentity!C:C,TeamIdentity!A:A,NONE)</f>
        <v>Bears</v>
      </c>
      <c r="B280" t="str" cm="1">
        <f t="array" ref="B280">_xlfn.XLOOKUP(RIGHT(F280,8),TeamIdentity!C:C,TeamIdentity!A:A,NONE)</f>
        <v>Packers</v>
      </c>
      <c r="C280" t="s">
        <v>54</v>
      </c>
      <c r="D280" t="s">
        <v>54</v>
      </c>
      <c r="E280" t="s">
        <v>54</v>
      </c>
      <c r="F280" t="s">
        <v>529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523</v>
      </c>
      <c r="N280">
        <v>-1</v>
      </c>
      <c r="O280">
        <v>0</v>
      </c>
      <c r="P280">
        <v>-1</v>
      </c>
      <c r="Q280">
        <v>0</v>
      </c>
      <c r="R280" t="s">
        <v>70</v>
      </c>
      <c r="S280">
        <v>0</v>
      </c>
      <c r="T280">
        <v>0</v>
      </c>
      <c r="U280">
        <v>780</v>
      </c>
      <c r="V280" t="s">
        <v>57</v>
      </c>
      <c r="W280">
        <v>0</v>
      </c>
      <c r="X280">
        <v>0</v>
      </c>
      <c r="Y280">
        <v>0</v>
      </c>
      <c r="Z280">
        <v>0</v>
      </c>
      <c r="AA280" t="s">
        <v>67</v>
      </c>
      <c r="AB280">
        <v>0</v>
      </c>
      <c r="AC280">
        <v>0</v>
      </c>
      <c r="AD280">
        <v>0</v>
      </c>
      <c r="AE280">
        <v>0</v>
      </c>
      <c r="AF280" t="s">
        <v>60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s">
        <v>58</v>
      </c>
      <c r="AM280" t="s">
        <v>58</v>
      </c>
      <c r="AN280" t="s">
        <v>71</v>
      </c>
      <c r="AO280">
        <v>14</v>
      </c>
      <c r="AP280">
        <v>15</v>
      </c>
      <c r="AQ280">
        <v>3</v>
      </c>
      <c r="AR280">
        <v>11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s">
        <v>61</v>
      </c>
      <c r="BA280" t="s">
        <v>57</v>
      </c>
      <c r="BB280" t="s">
        <v>55</v>
      </c>
      <c r="BC280" t="s">
        <v>58</v>
      </c>
      <c r="BD280" t="s">
        <v>58</v>
      </c>
    </row>
    <row r="281" spans="1:56" x14ac:dyDescent="0.25">
      <c r="A281" t="str" cm="1">
        <f t="array" ref="A281">_xlfn.XLOOKUP(RIGHT(M281,8),TeamIdentity!C:C,TeamIdentity!A:A,NONE)</f>
        <v>Lions</v>
      </c>
      <c r="B281" t="str" cm="1">
        <f t="array" ref="B281">_xlfn.XLOOKUP(RIGHT(F281,8),TeamIdentity!C:C,TeamIdentity!A:A,NONE)</f>
        <v>Buccaneers</v>
      </c>
      <c r="C281" t="s">
        <v>54</v>
      </c>
      <c r="D281" t="s">
        <v>54</v>
      </c>
      <c r="E281" t="s">
        <v>54</v>
      </c>
      <c r="F281" t="s">
        <v>531</v>
      </c>
      <c r="G281" t="s">
        <v>54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513</v>
      </c>
      <c r="N281">
        <v>-1</v>
      </c>
      <c r="O281">
        <v>0</v>
      </c>
      <c r="P281">
        <v>-1</v>
      </c>
      <c r="Q281">
        <v>0</v>
      </c>
      <c r="R281" t="s">
        <v>70</v>
      </c>
      <c r="S281">
        <v>0</v>
      </c>
      <c r="T281">
        <v>0</v>
      </c>
      <c r="U281">
        <v>780</v>
      </c>
      <c r="V281" t="s">
        <v>57</v>
      </c>
      <c r="W281">
        <v>0</v>
      </c>
      <c r="X281">
        <v>0</v>
      </c>
      <c r="Y281">
        <v>0</v>
      </c>
      <c r="Z281">
        <v>0</v>
      </c>
      <c r="AA281" t="s">
        <v>67</v>
      </c>
      <c r="AB281">
        <v>0</v>
      </c>
      <c r="AC281">
        <v>0</v>
      </c>
      <c r="AD281">
        <v>0</v>
      </c>
      <c r="AE281">
        <v>0</v>
      </c>
      <c r="AF281" t="s">
        <v>60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s">
        <v>58</v>
      </c>
      <c r="AM281" t="s">
        <v>58</v>
      </c>
      <c r="AN281" t="s">
        <v>71</v>
      </c>
      <c r="AO281">
        <v>14</v>
      </c>
      <c r="AP281">
        <v>15</v>
      </c>
      <c r="AQ281">
        <v>4</v>
      </c>
      <c r="AR281">
        <v>11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s">
        <v>61</v>
      </c>
      <c r="BA281" t="s">
        <v>57</v>
      </c>
      <c r="BB281" t="s">
        <v>55</v>
      </c>
      <c r="BC281" t="s">
        <v>58</v>
      </c>
      <c r="BD281" t="s">
        <v>58</v>
      </c>
    </row>
    <row r="282" spans="1:56" x14ac:dyDescent="0.25">
      <c r="A282" t="str" cm="1">
        <f t="array" ref="A282">_xlfn.XLOOKUP(RIGHT(M282,8),TeamIdentity!C:C,TeamIdentity!A:A,NONE)</f>
        <v>Bills</v>
      </c>
      <c r="B282" t="str" cm="1">
        <f t="array" ref="B282">_xlfn.XLOOKUP(RIGHT(F282,8),TeamIdentity!C:C,TeamIdentity!A:A,NONE)</f>
        <v>Broncos</v>
      </c>
      <c r="C282" t="s">
        <v>54</v>
      </c>
      <c r="D282" t="s">
        <v>54</v>
      </c>
      <c r="E282" t="s">
        <v>54</v>
      </c>
      <c r="F282" t="s">
        <v>539</v>
      </c>
      <c r="G282" t="s">
        <v>54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524</v>
      </c>
      <c r="N282">
        <v>-1</v>
      </c>
      <c r="O282">
        <v>0</v>
      </c>
      <c r="P282">
        <v>-1</v>
      </c>
      <c r="Q282">
        <v>0</v>
      </c>
      <c r="R282" t="s">
        <v>70</v>
      </c>
      <c r="S282">
        <v>0</v>
      </c>
      <c r="T282">
        <v>0</v>
      </c>
      <c r="U282">
        <v>780</v>
      </c>
      <c r="V282" t="s">
        <v>57</v>
      </c>
      <c r="W282">
        <v>0</v>
      </c>
      <c r="X282">
        <v>0</v>
      </c>
      <c r="Y282">
        <v>0</v>
      </c>
      <c r="Z282">
        <v>0</v>
      </c>
      <c r="AA282" t="s">
        <v>67</v>
      </c>
      <c r="AB282">
        <v>0</v>
      </c>
      <c r="AC282">
        <v>0</v>
      </c>
      <c r="AD282">
        <v>0</v>
      </c>
      <c r="AE282">
        <v>0</v>
      </c>
      <c r="AF282" t="s">
        <v>60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s">
        <v>58</v>
      </c>
      <c r="AM282" t="s">
        <v>58</v>
      </c>
      <c r="AN282" t="s">
        <v>71</v>
      </c>
      <c r="AO282">
        <v>14</v>
      </c>
      <c r="AP282">
        <v>15</v>
      </c>
      <c r="AQ282">
        <v>5</v>
      </c>
      <c r="AR282">
        <v>11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s">
        <v>61</v>
      </c>
      <c r="BA282" t="s">
        <v>57</v>
      </c>
      <c r="BB282" t="s">
        <v>55</v>
      </c>
      <c r="BC282" t="s">
        <v>58</v>
      </c>
      <c r="BD282" t="s">
        <v>58</v>
      </c>
    </row>
    <row r="283" spans="1:56" x14ac:dyDescent="0.25">
      <c r="A283" t="str" cm="1">
        <f t="array" ref="A283">_xlfn.XLOOKUP(RIGHT(M283,8),TeamIdentity!C:C,TeamIdentity!A:A,NONE)</f>
        <v>Giants</v>
      </c>
      <c r="B283" t="str" cm="1">
        <f t="array" ref="B283">_xlfn.XLOOKUP(RIGHT(F283,8),TeamIdentity!C:C,TeamIdentity!A:A,NONE)</f>
        <v>Eagles</v>
      </c>
      <c r="C283" t="s">
        <v>54</v>
      </c>
      <c r="D283" t="s">
        <v>54</v>
      </c>
      <c r="E283" t="s">
        <v>54</v>
      </c>
      <c r="F283" t="s">
        <v>519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514</v>
      </c>
      <c r="N283">
        <v>-1</v>
      </c>
      <c r="O283">
        <v>0</v>
      </c>
      <c r="P283">
        <v>-1</v>
      </c>
      <c r="Q283">
        <v>0</v>
      </c>
      <c r="R283" t="s">
        <v>70</v>
      </c>
      <c r="S283">
        <v>0</v>
      </c>
      <c r="T283">
        <v>0</v>
      </c>
      <c r="U283">
        <v>1230</v>
      </c>
      <c r="V283" t="s">
        <v>57</v>
      </c>
      <c r="W283">
        <v>0</v>
      </c>
      <c r="X283">
        <v>0</v>
      </c>
      <c r="Y283">
        <v>0</v>
      </c>
      <c r="Z283">
        <v>0</v>
      </c>
      <c r="AA283" t="s">
        <v>65</v>
      </c>
      <c r="AB283">
        <v>0</v>
      </c>
      <c r="AC283">
        <v>0</v>
      </c>
      <c r="AD283">
        <v>0</v>
      </c>
      <c r="AE283">
        <v>0</v>
      </c>
      <c r="AF283" t="s">
        <v>65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s">
        <v>58</v>
      </c>
      <c r="AM283" t="s">
        <v>58</v>
      </c>
      <c r="AN283" t="s">
        <v>71</v>
      </c>
      <c r="AO283">
        <v>14</v>
      </c>
      <c r="AP283">
        <v>16</v>
      </c>
      <c r="AQ283">
        <v>14</v>
      </c>
      <c r="AR283">
        <v>11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s">
        <v>61</v>
      </c>
      <c r="BA283" t="s">
        <v>57</v>
      </c>
      <c r="BB283" t="s">
        <v>55</v>
      </c>
      <c r="BC283" t="s">
        <v>58</v>
      </c>
      <c r="BD283" t="s">
        <v>58</v>
      </c>
    </row>
    <row r="284" spans="1:56" x14ac:dyDescent="0.25">
      <c r="A284" t="str" cm="1">
        <f t="array" ref="A284">_xlfn.XLOOKUP(RIGHT(M284,8),TeamIdentity!C:C,TeamIdentity!A:A,NONE)</f>
        <v>Titans</v>
      </c>
      <c r="B284" t="str" cm="1">
        <f t="array" ref="B284">_xlfn.XLOOKUP(RIGHT(F284,8),TeamIdentity!C:C,TeamIdentity!A:A,NONE)</f>
        <v>Steelers</v>
      </c>
      <c r="C284" t="s">
        <v>54</v>
      </c>
      <c r="D284" t="s">
        <v>54</v>
      </c>
      <c r="E284" t="s">
        <v>54</v>
      </c>
      <c r="F284" t="s">
        <v>518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534</v>
      </c>
      <c r="N284">
        <v>-1</v>
      </c>
      <c r="O284">
        <v>0</v>
      </c>
      <c r="P284">
        <v>-1</v>
      </c>
      <c r="Q284">
        <v>0</v>
      </c>
      <c r="R284" t="s">
        <v>70</v>
      </c>
      <c r="S284">
        <v>0</v>
      </c>
      <c r="T284">
        <v>0</v>
      </c>
      <c r="U284">
        <v>780</v>
      </c>
      <c r="V284" t="s">
        <v>57</v>
      </c>
      <c r="W284">
        <v>0</v>
      </c>
      <c r="X284">
        <v>0</v>
      </c>
      <c r="Y284">
        <v>0</v>
      </c>
      <c r="Z284">
        <v>0</v>
      </c>
      <c r="AA284" t="s">
        <v>67</v>
      </c>
      <c r="AB284">
        <v>0</v>
      </c>
      <c r="AC284">
        <v>0</v>
      </c>
      <c r="AD284">
        <v>0</v>
      </c>
      <c r="AE284">
        <v>0</v>
      </c>
      <c r="AF284" t="s">
        <v>60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s">
        <v>58</v>
      </c>
      <c r="AM284" t="s">
        <v>58</v>
      </c>
      <c r="AN284" t="s">
        <v>71</v>
      </c>
      <c r="AO284">
        <v>14</v>
      </c>
      <c r="AP284">
        <v>15</v>
      </c>
      <c r="AQ284">
        <v>6</v>
      </c>
      <c r="AR284">
        <v>11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s">
        <v>61</v>
      </c>
      <c r="BA284" t="s">
        <v>57</v>
      </c>
      <c r="BB284" t="s">
        <v>55</v>
      </c>
      <c r="BC284" t="s">
        <v>58</v>
      </c>
      <c r="BD284" t="s">
        <v>58</v>
      </c>
    </row>
    <row r="285" spans="1:56" x14ac:dyDescent="0.25">
      <c r="A285" t="str" cm="1">
        <f t="array" ref="A285">_xlfn.XLOOKUP(RIGHT(M285,8),TeamIdentity!C:C,TeamIdentity!A:A,NONE)</f>
        <v>Seahawks</v>
      </c>
      <c r="B285" t="str" cm="1">
        <f t="array" ref="B285">_xlfn.XLOOKUP(RIGHT(F285,8),TeamIdentity!C:C,TeamIdentity!A:A,NONE)</f>
        <v>Giants</v>
      </c>
      <c r="C285" t="s">
        <v>54</v>
      </c>
      <c r="D285" t="s">
        <v>54</v>
      </c>
      <c r="E285" t="s">
        <v>54</v>
      </c>
      <c r="F285" t="s">
        <v>514</v>
      </c>
      <c r="G285" t="s">
        <v>54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527</v>
      </c>
      <c r="N285">
        <v>-1</v>
      </c>
      <c r="O285">
        <v>0</v>
      </c>
      <c r="P285">
        <v>-1</v>
      </c>
      <c r="Q285">
        <v>0</v>
      </c>
      <c r="R285" t="s">
        <v>70</v>
      </c>
      <c r="S285">
        <v>0</v>
      </c>
      <c r="T285">
        <v>0</v>
      </c>
      <c r="U285">
        <v>975</v>
      </c>
      <c r="V285" t="s">
        <v>57</v>
      </c>
      <c r="W285">
        <v>0</v>
      </c>
      <c r="X285">
        <v>0</v>
      </c>
      <c r="Y285">
        <v>0</v>
      </c>
      <c r="Z285">
        <v>0</v>
      </c>
      <c r="AA285" t="s">
        <v>67</v>
      </c>
      <c r="AB285">
        <v>0</v>
      </c>
      <c r="AC285">
        <v>0</v>
      </c>
      <c r="AD285">
        <v>0</v>
      </c>
      <c r="AE285">
        <v>0</v>
      </c>
      <c r="AF285" t="s">
        <v>60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s">
        <v>58</v>
      </c>
      <c r="AM285" t="s">
        <v>58</v>
      </c>
      <c r="AN285" t="s">
        <v>71</v>
      </c>
      <c r="AO285">
        <v>14</v>
      </c>
      <c r="AP285">
        <v>13</v>
      </c>
      <c r="AQ285">
        <v>9</v>
      </c>
      <c r="AR285">
        <v>11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s">
        <v>61</v>
      </c>
      <c r="BA285" t="s">
        <v>57</v>
      </c>
      <c r="BB285" t="s">
        <v>55</v>
      </c>
      <c r="BC285" t="s">
        <v>58</v>
      </c>
      <c r="BD285" t="s">
        <v>58</v>
      </c>
    </row>
    <row r="286" spans="1:56" x14ac:dyDescent="0.25">
      <c r="A286" t="str" cm="1">
        <f t="array" ref="A286">_xlfn.XLOOKUP(RIGHT(M286,8),TeamIdentity!C:C,TeamIdentity!A:A,NONE)</f>
        <v>Chiefs</v>
      </c>
      <c r="B286" t="str" cm="1">
        <f t="array" ref="B286">_xlfn.XLOOKUP(RIGHT(F286,8),TeamIdentity!C:C,TeamIdentity!A:A,NONE)</f>
        <v>Vikings</v>
      </c>
      <c r="C286" t="s">
        <v>54</v>
      </c>
      <c r="D286" t="s">
        <v>54</v>
      </c>
      <c r="E286" t="s">
        <v>54</v>
      </c>
      <c r="F286" t="s">
        <v>526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535</v>
      </c>
      <c r="N286">
        <v>-1</v>
      </c>
      <c r="O286">
        <v>0</v>
      </c>
      <c r="P286">
        <v>-1</v>
      </c>
      <c r="Q286">
        <v>0</v>
      </c>
      <c r="R286" t="s">
        <v>70</v>
      </c>
      <c r="S286">
        <v>0</v>
      </c>
      <c r="T286">
        <v>0</v>
      </c>
      <c r="U286">
        <v>975</v>
      </c>
      <c r="V286" t="s">
        <v>57</v>
      </c>
      <c r="W286">
        <v>0</v>
      </c>
      <c r="X286">
        <v>0</v>
      </c>
      <c r="Y286">
        <v>0</v>
      </c>
      <c r="Z286">
        <v>0</v>
      </c>
      <c r="AA286" t="s">
        <v>67</v>
      </c>
      <c r="AB286">
        <v>0</v>
      </c>
      <c r="AC286">
        <v>0</v>
      </c>
      <c r="AD286">
        <v>0</v>
      </c>
      <c r="AE286">
        <v>0</v>
      </c>
      <c r="AF286" t="s">
        <v>60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s">
        <v>58</v>
      </c>
      <c r="AM286" t="s">
        <v>58</v>
      </c>
      <c r="AN286" t="s">
        <v>71</v>
      </c>
      <c r="AO286">
        <v>14</v>
      </c>
      <c r="AP286">
        <v>13</v>
      </c>
      <c r="AQ286">
        <v>10</v>
      </c>
      <c r="AR286">
        <v>11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s">
        <v>61</v>
      </c>
      <c r="BA286" t="s">
        <v>57</v>
      </c>
      <c r="BB286" t="s">
        <v>55</v>
      </c>
      <c r="BC286" t="s">
        <v>58</v>
      </c>
      <c r="BD286" t="s">
        <v>58</v>
      </c>
    </row>
    <row r="287" spans="1:56" x14ac:dyDescent="0.25">
      <c r="A287" t="str" cm="1">
        <f t="array" ref="A287">_xlfn.XLOOKUP(RIGHT(M287,8),TeamIdentity!C:C,TeamIdentity!A:A,NONE)</f>
        <v>Jets</v>
      </c>
      <c r="B287" t="str" cm="1">
        <f t="array" ref="B287">_xlfn.XLOOKUP(RIGHT(F287,8),TeamIdentity!C:C,TeamIdentity!A:A,NONE)</f>
        <v>Dolphins</v>
      </c>
      <c r="C287" t="s">
        <v>54</v>
      </c>
      <c r="D287" t="s">
        <v>54</v>
      </c>
      <c r="E287" t="s">
        <v>54</v>
      </c>
      <c r="F287" t="s">
        <v>516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522</v>
      </c>
      <c r="N287">
        <v>-1</v>
      </c>
      <c r="O287">
        <v>0</v>
      </c>
      <c r="P287">
        <v>-1</v>
      </c>
      <c r="Q287">
        <v>0</v>
      </c>
      <c r="R287" t="s">
        <v>70</v>
      </c>
      <c r="S287">
        <v>0</v>
      </c>
      <c r="T287">
        <v>0</v>
      </c>
      <c r="U287">
        <v>780</v>
      </c>
      <c r="V287" t="s">
        <v>57</v>
      </c>
      <c r="W287">
        <v>0</v>
      </c>
      <c r="X287">
        <v>0</v>
      </c>
      <c r="Y287">
        <v>0</v>
      </c>
      <c r="Z287">
        <v>0</v>
      </c>
      <c r="AA287" t="s">
        <v>67</v>
      </c>
      <c r="AB287">
        <v>0</v>
      </c>
      <c r="AC287">
        <v>0</v>
      </c>
      <c r="AD287">
        <v>0</v>
      </c>
      <c r="AE287">
        <v>0</v>
      </c>
      <c r="AF287" t="s">
        <v>60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s">
        <v>58</v>
      </c>
      <c r="AM287" t="s">
        <v>58</v>
      </c>
      <c r="AN287" t="s">
        <v>71</v>
      </c>
      <c r="AO287">
        <v>14</v>
      </c>
      <c r="AP287">
        <v>14</v>
      </c>
      <c r="AQ287">
        <v>7</v>
      </c>
      <c r="AR287">
        <v>11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s">
        <v>61</v>
      </c>
      <c r="BA287" t="s">
        <v>57</v>
      </c>
      <c r="BB287" t="s">
        <v>55</v>
      </c>
      <c r="BC287" t="s">
        <v>58</v>
      </c>
      <c r="BD287" t="s">
        <v>58</v>
      </c>
    </row>
    <row r="288" spans="1:56" x14ac:dyDescent="0.25">
      <c r="A288" t="str" cm="1">
        <f t="array" ref="A288">_xlfn.XLOOKUP(RIGHT(M288,8),TeamIdentity!C:C,TeamIdentity!A:A,NONE)</f>
        <v>Rams</v>
      </c>
      <c r="B288" t="str" cm="1">
        <f t="array" ref="B288">_xlfn.XLOOKUP(RIGHT(F288,8),TeamIdentity!C:C,TeamIdentity!A:A,NONE)</f>
        <v>Bears</v>
      </c>
      <c r="C288" t="s">
        <v>54</v>
      </c>
      <c r="D288" t="s">
        <v>54</v>
      </c>
      <c r="E288" t="s">
        <v>54</v>
      </c>
      <c r="F288" t="s">
        <v>523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542</v>
      </c>
      <c r="N288">
        <v>-1</v>
      </c>
      <c r="O288">
        <v>0</v>
      </c>
      <c r="P288">
        <v>-1</v>
      </c>
      <c r="Q288">
        <v>0</v>
      </c>
      <c r="R288" t="s">
        <v>70</v>
      </c>
      <c r="S288">
        <v>0</v>
      </c>
      <c r="T288">
        <v>0</v>
      </c>
      <c r="U288">
        <v>1220</v>
      </c>
      <c r="V288" t="s">
        <v>57</v>
      </c>
      <c r="W288">
        <v>0</v>
      </c>
      <c r="X288">
        <v>0</v>
      </c>
      <c r="Y288">
        <v>0</v>
      </c>
      <c r="Z288">
        <v>0</v>
      </c>
      <c r="AA288" t="s">
        <v>60</v>
      </c>
      <c r="AB288">
        <v>0</v>
      </c>
      <c r="AC288">
        <v>0</v>
      </c>
      <c r="AD288">
        <v>0</v>
      </c>
      <c r="AE288">
        <v>0</v>
      </c>
      <c r="AF288" t="s">
        <v>60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s">
        <v>58</v>
      </c>
      <c r="AM288" t="s">
        <v>58</v>
      </c>
      <c r="AN288" t="s">
        <v>71</v>
      </c>
      <c r="AO288">
        <v>14</v>
      </c>
      <c r="AP288">
        <v>16</v>
      </c>
      <c r="AQ288">
        <v>13</v>
      </c>
      <c r="AR288">
        <v>11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s">
        <v>61</v>
      </c>
      <c r="BA288" t="s">
        <v>57</v>
      </c>
      <c r="BB288" t="s">
        <v>55</v>
      </c>
      <c r="BC288" t="s">
        <v>58</v>
      </c>
      <c r="BD288" t="s">
        <v>58</v>
      </c>
    </row>
    <row r="289" spans="1:56" x14ac:dyDescent="0.25">
      <c r="A289" t="str" cm="1">
        <f t="array" ref="A289">_xlfn.XLOOKUP(RIGHT(M289,8),TeamIdentity!C:C,TeamIdentity!A:A,NONE)</f>
        <v>Commanders</v>
      </c>
      <c r="B289" t="str" cm="1">
        <f t="array" ref="B289">_xlfn.XLOOKUP(RIGHT(F289,8),TeamIdentity!C:C,TeamIdentity!A:A,NONE)</f>
        <v>Seahawks</v>
      </c>
      <c r="C289" t="s">
        <v>54</v>
      </c>
      <c r="D289" t="s">
        <v>54</v>
      </c>
      <c r="E289" t="s">
        <v>54</v>
      </c>
      <c r="F289" t="s">
        <v>527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521</v>
      </c>
      <c r="N289">
        <v>-1</v>
      </c>
      <c r="O289">
        <v>0</v>
      </c>
      <c r="P289">
        <v>-1</v>
      </c>
      <c r="Q289">
        <v>0</v>
      </c>
      <c r="R289" t="s">
        <v>70</v>
      </c>
      <c r="S289">
        <v>0</v>
      </c>
      <c r="T289">
        <v>0</v>
      </c>
      <c r="U289">
        <v>780</v>
      </c>
      <c r="V289" t="s">
        <v>57</v>
      </c>
      <c r="W289">
        <v>0</v>
      </c>
      <c r="X289">
        <v>0</v>
      </c>
      <c r="Y289">
        <v>0</v>
      </c>
      <c r="Z289">
        <v>0</v>
      </c>
      <c r="AA289" t="s">
        <v>67</v>
      </c>
      <c r="AB289">
        <v>0</v>
      </c>
      <c r="AC289">
        <v>0</v>
      </c>
      <c r="AD289">
        <v>0</v>
      </c>
      <c r="AE289">
        <v>0</v>
      </c>
      <c r="AF289" t="s">
        <v>60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s">
        <v>58</v>
      </c>
      <c r="AM289" t="s">
        <v>58</v>
      </c>
      <c r="AN289" t="s">
        <v>71</v>
      </c>
      <c r="AO289">
        <v>14</v>
      </c>
      <c r="AP289">
        <v>17</v>
      </c>
      <c r="AQ289">
        <v>0</v>
      </c>
      <c r="AR289">
        <v>11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s">
        <v>61</v>
      </c>
      <c r="BA289" t="s">
        <v>57</v>
      </c>
      <c r="BB289" t="s">
        <v>55</v>
      </c>
      <c r="BC289" t="s">
        <v>58</v>
      </c>
      <c r="BD289" t="s">
        <v>58</v>
      </c>
    </row>
    <row r="290" spans="1:56" x14ac:dyDescent="0.25">
      <c r="A290" t="str" cm="1">
        <f t="array" ref="A290">_xlfn.XLOOKUP(RIGHT(M290,8),TeamIdentity!C:C,TeamIdentity!A:A,NONE)</f>
        <v>Falcons</v>
      </c>
      <c r="B290" t="str" cm="1">
        <f t="array" ref="B290">_xlfn.XLOOKUP(RIGHT(F290,8),TeamIdentity!C:C,TeamIdentity!A:A,NONE)</f>
        <v>Buccaneers</v>
      </c>
      <c r="C290" t="s">
        <v>54</v>
      </c>
      <c r="D290" t="s">
        <v>54</v>
      </c>
      <c r="E290" t="s">
        <v>54</v>
      </c>
      <c r="F290" t="s">
        <v>531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515</v>
      </c>
      <c r="N290">
        <v>-1</v>
      </c>
      <c r="O290">
        <v>0</v>
      </c>
      <c r="P290">
        <v>-1</v>
      </c>
      <c r="Q290">
        <v>0</v>
      </c>
      <c r="R290" t="s">
        <v>70</v>
      </c>
      <c r="S290">
        <v>0</v>
      </c>
      <c r="T290">
        <v>0</v>
      </c>
      <c r="U290">
        <v>780</v>
      </c>
      <c r="V290" t="s">
        <v>57</v>
      </c>
      <c r="W290">
        <v>0</v>
      </c>
      <c r="X290">
        <v>0</v>
      </c>
      <c r="Y290">
        <v>0</v>
      </c>
      <c r="Z290">
        <v>0</v>
      </c>
      <c r="AA290" t="s">
        <v>67</v>
      </c>
      <c r="AB290">
        <v>0</v>
      </c>
      <c r="AC290">
        <v>0</v>
      </c>
      <c r="AD290">
        <v>0</v>
      </c>
      <c r="AE290">
        <v>0</v>
      </c>
      <c r="AF290" t="s">
        <v>60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s">
        <v>58</v>
      </c>
      <c r="AM290" t="s">
        <v>58</v>
      </c>
      <c r="AN290" t="s">
        <v>71</v>
      </c>
      <c r="AO290">
        <v>14</v>
      </c>
      <c r="AP290">
        <v>16</v>
      </c>
      <c r="AQ290">
        <v>1</v>
      </c>
      <c r="AR290">
        <v>11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s">
        <v>61</v>
      </c>
      <c r="BA290" t="s">
        <v>57</v>
      </c>
      <c r="BB290" t="s">
        <v>55</v>
      </c>
      <c r="BC290" t="s">
        <v>58</v>
      </c>
      <c r="BD290" t="s">
        <v>58</v>
      </c>
    </row>
    <row r="291" spans="1:56" x14ac:dyDescent="0.25">
      <c r="A291" t="str" cm="1">
        <f t="array" ref="A291">_xlfn.XLOOKUP(RIGHT(M291,8),TeamIdentity!C:C,TeamIdentity!A:A,NONE)</f>
        <v>Chiefs</v>
      </c>
      <c r="B291" t="str" cm="1">
        <f t="array" ref="B291">_xlfn.XLOOKUP(RIGHT(F291,8),TeamIdentity!C:C,TeamIdentity!A:A,NONE)</f>
        <v>Chargers</v>
      </c>
      <c r="C291" t="s">
        <v>54</v>
      </c>
      <c r="D291" t="s">
        <v>54</v>
      </c>
      <c r="E291" t="s">
        <v>54</v>
      </c>
      <c r="F291" t="s">
        <v>528</v>
      </c>
      <c r="G291" t="s">
        <v>54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535</v>
      </c>
      <c r="N291">
        <v>-1</v>
      </c>
      <c r="O291">
        <v>0</v>
      </c>
      <c r="P291">
        <v>-1</v>
      </c>
      <c r="Q291">
        <v>0</v>
      </c>
      <c r="R291" t="s">
        <v>70</v>
      </c>
      <c r="S291">
        <v>0</v>
      </c>
      <c r="T291">
        <v>0</v>
      </c>
      <c r="U291">
        <v>780</v>
      </c>
      <c r="V291" t="s">
        <v>57</v>
      </c>
      <c r="W291">
        <v>0</v>
      </c>
      <c r="X291">
        <v>0</v>
      </c>
      <c r="Y291">
        <v>0</v>
      </c>
      <c r="Z291">
        <v>0</v>
      </c>
      <c r="AA291" t="s">
        <v>67</v>
      </c>
      <c r="AB291">
        <v>0</v>
      </c>
      <c r="AC291">
        <v>0</v>
      </c>
      <c r="AD291">
        <v>0</v>
      </c>
      <c r="AE291">
        <v>0</v>
      </c>
      <c r="AF291" t="s">
        <v>60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s">
        <v>58</v>
      </c>
      <c r="AM291" t="s">
        <v>58</v>
      </c>
      <c r="AN291" t="s">
        <v>71</v>
      </c>
      <c r="AO291">
        <v>14</v>
      </c>
      <c r="AP291">
        <v>17</v>
      </c>
      <c r="AQ291">
        <v>1</v>
      </c>
      <c r="AR291">
        <v>11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s">
        <v>61</v>
      </c>
      <c r="BA291" t="s">
        <v>57</v>
      </c>
      <c r="BB291" t="s">
        <v>55</v>
      </c>
      <c r="BC291" t="s">
        <v>58</v>
      </c>
      <c r="BD291" t="s">
        <v>58</v>
      </c>
    </row>
    <row r="292" spans="1:56" x14ac:dyDescent="0.25">
      <c r="A292" t="str" cm="1">
        <f t="array" ref="A292">_xlfn.XLOOKUP(RIGHT(M292,8),TeamIdentity!C:C,TeamIdentity!A:A,NONE)</f>
        <v>Vikings</v>
      </c>
      <c r="B292" t="str" cm="1">
        <f t="array" ref="B292">_xlfn.XLOOKUP(RIGHT(F292,8),TeamIdentity!C:C,TeamIdentity!A:A,NONE)</f>
        <v>Packers</v>
      </c>
      <c r="C292" t="s">
        <v>54</v>
      </c>
      <c r="D292" t="s">
        <v>54</v>
      </c>
      <c r="E292" t="s">
        <v>54</v>
      </c>
      <c r="F292" t="s">
        <v>529</v>
      </c>
      <c r="G292" t="s">
        <v>54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526</v>
      </c>
      <c r="N292">
        <v>-1</v>
      </c>
      <c r="O292">
        <v>0</v>
      </c>
      <c r="P292">
        <v>-1</v>
      </c>
      <c r="Q292">
        <v>0</v>
      </c>
      <c r="R292" t="s">
        <v>70</v>
      </c>
      <c r="S292">
        <v>0</v>
      </c>
      <c r="T292">
        <v>0</v>
      </c>
      <c r="U292">
        <v>1220</v>
      </c>
      <c r="V292" t="s">
        <v>57</v>
      </c>
      <c r="W292">
        <v>0</v>
      </c>
      <c r="X292">
        <v>0</v>
      </c>
      <c r="Y292">
        <v>0</v>
      </c>
      <c r="Z292">
        <v>0</v>
      </c>
      <c r="AA292" t="s">
        <v>68</v>
      </c>
      <c r="AB292">
        <v>0</v>
      </c>
      <c r="AC292">
        <v>0</v>
      </c>
      <c r="AD292">
        <v>0</v>
      </c>
      <c r="AE292">
        <v>0</v>
      </c>
      <c r="AF292" t="s">
        <v>68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s">
        <v>58</v>
      </c>
      <c r="AM292" t="s">
        <v>58</v>
      </c>
      <c r="AN292" t="s">
        <v>71</v>
      </c>
      <c r="AO292">
        <v>14</v>
      </c>
      <c r="AP292">
        <v>16</v>
      </c>
      <c r="AQ292">
        <v>15</v>
      </c>
      <c r="AR292">
        <v>11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s">
        <v>61</v>
      </c>
      <c r="BA292" t="s">
        <v>57</v>
      </c>
      <c r="BB292" t="s">
        <v>55</v>
      </c>
      <c r="BC292" t="s">
        <v>58</v>
      </c>
      <c r="BD292" t="s">
        <v>58</v>
      </c>
    </row>
    <row r="293" spans="1:56" x14ac:dyDescent="0.25">
      <c r="A293" t="str" cm="1">
        <f t="array" ref="A293">_xlfn.XLOOKUP(RIGHT(M293,8),TeamIdentity!C:C,TeamIdentity!A:A,NONE)</f>
        <v>Seahawks</v>
      </c>
      <c r="B293" t="str" cm="1">
        <f t="array" ref="B293">_xlfn.XLOOKUP(RIGHT(F293,8),TeamIdentity!C:C,TeamIdentity!A:A,NONE)</f>
        <v>49ers</v>
      </c>
      <c r="C293" t="s">
        <v>54</v>
      </c>
      <c r="D293" t="s">
        <v>54</v>
      </c>
      <c r="E293" t="s">
        <v>54</v>
      </c>
      <c r="F293" t="s">
        <v>533</v>
      </c>
      <c r="G293" t="s">
        <v>54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527</v>
      </c>
      <c r="N293">
        <v>-1</v>
      </c>
      <c r="O293">
        <v>0</v>
      </c>
      <c r="P293">
        <v>-1</v>
      </c>
      <c r="Q293">
        <v>0</v>
      </c>
      <c r="R293" t="s">
        <v>70</v>
      </c>
      <c r="S293">
        <v>0</v>
      </c>
      <c r="T293">
        <v>0</v>
      </c>
      <c r="U293">
        <v>965</v>
      </c>
      <c r="V293" t="s">
        <v>57</v>
      </c>
      <c r="W293">
        <v>0</v>
      </c>
      <c r="X293">
        <v>0</v>
      </c>
      <c r="Y293">
        <v>0</v>
      </c>
      <c r="Z293">
        <v>0</v>
      </c>
      <c r="AA293" t="s">
        <v>67</v>
      </c>
      <c r="AB293">
        <v>0</v>
      </c>
      <c r="AC293">
        <v>0</v>
      </c>
      <c r="AD293">
        <v>0</v>
      </c>
      <c r="AE293">
        <v>0</v>
      </c>
      <c r="AF293" t="s">
        <v>60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s">
        <v>58</v>
      </c>
      <c r="AM293" t="s">
        <v>58</v>
      </c>
      <c r="AN293" t="s">
        <v>71</v>
      </c>
      <c r="AO293">
        <v>14</v>
      </c>
      <c r="AP293">
        <v>16</v>
      </c>
      <c r="AQ293">
        <v>9</v>
      </c>
      <c r="AR293">
        <v>11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s">
        <v>61</v>
      </c>
      <c r="BA293" t="s">
        <v>57</v>
      </c>
      <c r="BB293" t="s">
        <v>55</v>
      </c>
      <c r="BC293" t="s">
        <v>58</v>
      </c>
      <c r="BD293" t="s">
        <v>58</v>
      </c>
    </row>
    <row r="294" spans="1:56" x14ac:dyDescent="0.25">
      <c r="A294" t="str" cm="1">
        <f t="array" ref="A294">_xlfn.XLOOKUP(RIGHT(M294,8),TeamIdentity!C:C,TeamIdentity!A:A,NONE)</f>
        <v>Patriots</v>
      </c>
      <c r="B294" t="str" cm="1">
        <f t="array" ref="B294">_xlfn.XLOOKUP(RIGHT(F294,8),TeamIdentity!C:C,TeamIdentity!A:A,NONE)</f>
        <v>Dolphins</v>
      </c>
      <c r="C294" t="s">
        <v>54</v>
      </c>
      <c r="D294" t="s">
        <v>54</v>
      </c>
      <c r="E294" t="s">
        <v>54</v>
      </c>
      <c r="F294" t="s">
        <v>516</v>
      </c>
      <c r="G294" t="s">
        <v>54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512</v>
      </c>
      <c r="N294">
        <v>-1</v>
      </c>
      <c r="O294">
        <v>0</v>
      </c>
      <c r="P294">
        <v>-1</v>
      </c>
      <c r="Q294">
        <v>0</v>
      </c>
      <c r="R294" t="s">
        <v>70</v>
      </c>
      <c r="S294">
        <v>0</v>
      </c>
      <c r="T294">
        <v>0</v>
      </c>
      <c r="U294">
        <v>780</v>
      </c>
      <c r="V294" t="s">
        <v>57</v>
      </c>
      <c r="W294">
        <v>0</v>
      </c>
      <c r="X294">
        <v>0</v>
      </c>
      <c r="Y294">
        <v>0</v>
      </c>
      <c r="Z294">
        <v>0</v>
      </c>
      <c r="AA294" t="s">
        <v>67</v>
      </c>
      <c r="AB294">
        <v>0</v>
      </c>
      <c r="AC294">
        <v>0</v>
      </c>
      <c r="AD294">
        <v>0</v>
      </c>
      <c r="AE294">
        <v>0</v>
      </c>
      <c r="AF294" t="s">
        <v>60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s">
        <v>58</v>
      </c>
      <c r="AM294" t="s">
        <v>58</v>
      </c>
      <c r="AN294" t="s">
        <v>71</v>
      </c>
      <c r="AO294">
        <v>14</v>
      </c>
      <c r="AP294">
        <v>17</v>
      </c>
      <c r="AQ294">
        <v>2</v>
      </c>
      <c r="AR294">
        <v>11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s">
        <v>61</v>
      </c>
      <c r="BA294" t="s">
        <v>57</v>
      </c>
      <c r="BB294" t="s">
        <v>55</v>
      </c>
      <c r="BC294" t="s">
        <v>58</v>
      </c>
      <c r="BD294" t="s">
        <v>58</v>
      </c>
    </row>
    <row r="295" spans="1:56" x14ac:dyDescent="0.25">
      <c r="A295" t="str" cm="1">
        <f t="array" ref="A295">_xlfn.XLOOKUP(RIGHT(M295,8),TeamIdentity!C:C,TeamIdentity!A:A,NONE)</f>
        <v>Saints</v>
      </c>
      <c r="B295" t="str" cm="1">
        <f t="array" ref="B295">_xlfn.XLOOKUP(RIGHT(F295,8),TeamIdentity!C:C,TeamIdentity!A:A,NONE)</f>
        <v>Panthers</v>
      </c>
      <c r="C295" t="s">
        <v>54</v>
      </c>
      <c r="D295" t="s">
        <v>54</v>
      </c>
      <c r="E295" t="s">
        <v>54</v>
      </c>
      <c r="F295" t="s">
        <v>511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537</v>
      </c>
      <c r="N295">
        <v>-1</v>
      </c>
      <c r="O295">
        <v>0</v>
      </c>
      <c r="P295">
        <v>-1</v>
      </c>
      <c r="Q295">
        <v>0</v>
      </c>
      <c r="R295" t="s">
        <v>70</v>
      </c>
      <c r="S295">
        <v>0</v>
      </c>
      <c r="T295">
        <v>0</v>
      </c>
      <c r="U295">
        <v>780</v>
      </c>
      <c r="V295" t="s">
        <v>57</v>
      </c>
      <c r="W295">
        <v>0</v>
      </c>
      <c r="X295">
        <v>0</v>
      </c>
      <c r="Y295">
        <v>0</v>
      </c>
      <c r="Z295">
        <v>0</v>
      </c>
      <c r="AA295" t="s">
        <v>67</v>
      </c>
      <c r="AB295">
        <v>0</v>
      </c>
      <c r="AC295">
        <v>0</v>
      </c>
      <c r="AD295">
        <v>0</v>
      </c>
      <c r="AE295">
        <v>0</v>
      </c>
      <c r="AF295" t="s">
        <v>60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s">
        <v>58</v>
      </c>
      <c r="AM295" t="s">
        <v>58</v>
      </c>
      <c r="AN295" t="s">
        <v>71</v>
      </c>
      <c r="AO295">
        <v>14</v>
      </c>
      <c r="AP295">
        <v>15</v>
      </c>
      <c r="AQ295">
        <v>7</v>
      </c>
      <c r="AR295">
        <v>11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s">
        <v>61</v>
      </c>
      <c r="BA295" t="s">
        <v>57</v>
      </c>
      <c r="BB295" t="s">
        <v>55</v>
      </c>
      <c r="BC295" t="s">
        <v>58</v>
      </c>
      <c r="BD295" t="s">
        <v>58</v>
      </c>
    </row>
    <row r="296" spans="1:56" x14ac:dyDescent="0.25">
      <c r="A296" t="str" cm="1">
        <f t="array" ref="A296">_xlfn.XLOOKUP(RIGHT(M296,8),TeamIdentity!C:C,TeamIdentity!A:A,NONE)</f>
        <v>Saints</v>
      </c>
      <c r="B296" t="str" cm="1">
        <f t="array" ref="B296">_xlfn.XLOOKUP(RIGHT(F296,8),TeamIdentity!C:C,TeamIdentity!A:A,NONE)</f>
        <v>Lions</v>
      </c>
      <c r="C296" t="s">
        <v>54</v>
      </c>
      <c r="D296" t="s">
        <v>54</v>
      </c>
      <c r="E296" t="s">
        <v>54</v>
      </c>
      <c r="F296" t="s">
        <v>513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537</v>
      </c>
      <c r="N296">
        <v>-1</v>
      </c>
      <c r="O296">
        <v>0</v>
      </c>
      <c r="P296">
        <v>-1</v>
      </c>
      <c r="Q296">
        <v>0</v>
      </c>
      <c r="R296" t="s">
        <v>70</v>
      </c>
      <c r="S296">
        <v>0</v>
      </c>
      <c r="T296">
        <v>0</v>
      </c>
      <c r="U296">
        <v>780</v>
      </c>
      <c r="V296" t="s">
        <v>57</v>
      </c>
      <c r="W296">
        <v>0</v>
      </c>
      <c r="X296">
        <v>0</v>
      </c>
      <c r="Y296">
        <v>0</v>
      </c>
      <c r="Z296">
        <v>0</v>
      </c>
      <c r="AA296" t="s">
        <v>67</v>
      </c>
      <c r="AB296">
        <v>0</v>
      </c>
      <c r="AC296">
        <v>0</v>
      </c>
      <c r="AD296">
        <v>0</v>
      </c>
      <c r="AE296">
        <v>0</v>
      </c>
      <c r="AF296" t="s">
        <v>60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s">
        <v>58</v>
      </c>
      <c r="AM296" t="s">
        <v>58</v>
      </c>
      <c r="AN296" t="s">
        <v>71</v>
      </c>
      <c r="AO296">
        <v>14</v>
      </c>
      <c r="AP296">
        <v>16</v>
      </c>
      <c r="AQ296">
        <v>2</v>
      </c>
      <c r="AR296">
        <v>11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s">
        <v>61</v>
      </c>
      <c r="BA296" t="s">
        <v>57</v>
      </c>
      <c r="BB296" t="s">
        <v>55</v>
      </c>
      <c r="BC296" t="s">
        <v>58</v>
      </c>
      <c r="BD296" t="s">
        <v>58</v>
      </c>
    </row>
    <row r="297" spans="1:56" x14ac:dyDescent="0.25">
      <c r="A297" t="str" cm="1">
        <f t="array" ref="A297">_xlfn.XLOOKUP(RIGHT(M297,8),TeamIdentity!C:C,TeamIdentity!A:A,NONE)</f>
        <v>Bengals</v>
      </c>
      <c r="B297" t="str" cm="1">
        <f t="array" ref="B297">_xlfn.XLOOKUP(RIGHT(F297,8),TeamIdentity!C:C,TeamIdentity!A:A,NONE)</f>
        <v>Ravens</v>
      </c>
      <c r="C297" t="s">
        <v>54</v>
      </c>
      <c r="D297" t="s">
        <v>54</v>
      </c>
      <c r="E297" t="s">
        <v>54</v>
      </c>
      <c r="F297" t="s">
        <v>520</v>
      </c>
      <c r="G297" t="s">
        <v>54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532</v>
      </c>
      <c r="N297">
        <v>-1</v>
      </c>
      <c r="O297">
        <v>0</v>
      </c>
      <c r="P297">
        <v>-1</v>
      </c>
      <c r="Q297">
        <v>0</v>
      </c>
      <c r="R297" t="s">
        <v>70</v>
      </c>
      <c r="S297">
        <v>0</v>
      </c>
      <c r="T297">
        <v>0</v>
      </c>
      <c r="U297">
        <v>975</v>
      </c>
      <c r="V297" t="s">
        <v>57</v>
      </c>
      <c r="W297">
        <v>0</v>
      </c>
      <c r="X297">
        <v>0</v>
      </c>
      <c r="Y297">
        <v>0</v>
      </c>
      <c r="Z297">
        <v>0</v>
      </c>
      <c r="AA297" t="s">
        <v>67</v>
      </c>
      <c r="AB297">
        <v>0</v>
      </c>
      <c r="AC297">
        <v>0</v>
      </c>
      <c r="AD297">
        <v>0</v>
      </c>
      <c r="AE297">
        <v>0</v>
      </c>
      <c r="AF297" t="s">
        <v>60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s">
        <v>58</v>
      </c>
      <c r="AM297" t="s">
        <v>58</v>
      </c>
      <c r="AN297" t="s">
        <v>71</v>
      </c>
      <c r="AO297">
        <v>14</v>
      </c>
      <c r="AP297">
        <v>15</v>
      </c>
      <c r="AQ297">
        <v>12</v>
      </c>
      <c r="AR297">
        <v>11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s">
        <v>61</v>
      </c>
      <c r="BA297" t="s">
        <v>57</v>
      </c>
      <c r="BB297" t="s">
        <v>55</v>
      </c>
      <c r="BC297" t="s">
        <v>58</v>
      </c>
      <c r="BD297" t="s">
        <v>58</v>
      </c>
    </row>
    <row r="298" spans="1:56" x14ac:dyDescent="0.25">
      <c r="A298" t="str" cm="1">
        <f t="array" ref="A298">_xlfn.XLOOKUP(RIGHT(M298,8),TeamIdentity!C:C,TeamIdentity!A:A,NONE)</f>
        <v>Chargers</v>
      </c>
      <c r="B298" t="str" cm="1">
        <f t="array" ref="B298">_xlfn.XLOOKUP(RIGHT(F298,8),TeamIdentity!C:C,TeamIdentity!A:A,NONE)</f>
        <v>Browns</v>
      </c>
      <c r="C298" t="s">
        <v>54</v>
      </c>
      <c r="D298" t="s">
        <v>54</v>
      </c>
      <c r="E298" t="s">
        <v>54</v>
      </c>
      <c r="F298" t="s">
        <v>530</v>
      </c>
      <c r="G298" t="s">
        <v>54</v>
      </c>
      <c r="H298" t="s">
        <v>54</v>
      </c>
      <c r="I298" t="s">
        <v>54</v>
      </c>
      <c r="J298" t="s">
        <v>54</v>
      </c>
      <c r="K298" t="s">
        <v>54</v>
      </c>
      <c r="L298" t="s">
        <v>54</v>
      </c>
      <c r="M298" t="s">
        <v>528</v>
      </c>
      <c r="N298">
        <v>-1</v>
      </c>
      <c r="O298">
        <v>0</v>
      </c>
      <c r="P298">
        <v>-1</v>
      </c>
      <c r="Q298">
        <v>0</v>
      </c>
      <c r="R298" t="s">
        <v>70</v>
      </c>
      <c r="S298">
        <v>0</v>
      </c>
      <c r="T298">
        <v>0</v>
      </c>
      <c r="U298">
        <v>975</v>
      </c>
      <c r="V298" t="s">
        <v>57</v>
      </c>
      <c r="W298">
        <v>0</v>
      </c>
      <c r="X298">
        <v>0</v>
      </c>
      <c r="Y298">
        <v>0</v>
      </c>
      <c r="Z298">
        <v>0</v>
      </c>
      <c r="AA298" t="s">
        <v>67</v>
      </c>
      <c r="AB298">
        <v>0</v>
      </c>
      <c r="AC298">
        <v>0</v>
      </c>
      <c r="AD298">
        <v>0</v>
      </c>
      <c r="AE298">
        <v>0</v>
      </c>
      <c r="AF298" t="s">
        <v>60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s">
        <v>58</v>
      </c>
      <c r="AM298" t="s">
        <v>58</v>
      </c>
      <c r="AN298" t="s">
        <v>71</v>
      </c>
      <c r="AO298">
        <v>14</v>
      </c>
      <c r="AP298">
        <v>16</v>
      </c>
      <c r="AQ298">
        <v>12</v>
      </c>
      <c r="AR298">
        <v>11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s">
        <v>61</v>
      </c>
      <c r="BA298" t="s">
        <v>57</v>
      </c>
      <c r="BB298" t="s">
        <v>55</v>
      </c>
      <c r="BC298" t="s">
        <v>58</v>
      </c>
      <c r="BD298" t="s">
        <v>58</v>
      </c>
    </row>
    <row r="299" spans="1:56" x14ac:dyDescent="0.25">
      <c r="A299" t="str" cm="1">
        <f t="array" ref="A299">_xlfn.XLOOKUP(RIGHT(M299,8),TeamIdentity!C:C,TeamIdentity!A:A,NONE)</f>
        <v>Browns</v>
      </c>
      <c r="B299" t="str" cm="1">
        <f t="array" ref="B299">_xlfn.XLOOKUP(RIGHT(F299,8),TeamIdentity!C:C,TeamIdentity!A:A,NONE)</f>
        <v>49ers</v>
      </c>
      <c r="C299" t="s">
        <v>54</v>
      </c>
      <c r="D299" t="s">
        <v>54</v>
      </c>
      <c r="E299" t="s">
        <v>54</v>
      </c>
      <c r="F299" t="s">
        <v>533</v>
      </c>
      <c r="G299" t="s">
        <v>54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530</v>
      </c>
      <c r="N299">
        <v>-1</v>
      </c>
      <c r="O299">
        <v>0</v>
      </c>
      <c r="P299">
        <v>-1</v>
      </c>
      <c r="Q299">
        <v>0</v>
      </c>
      <c r="R299" t="s">
        <v>70</v>
      </c>
      <c r="S299">
        <v>0</v>
      </c>
      <c r="T299">
        <v>0</v>
      </c>
      <c r="U299">
        <v>975</v>
      </c>
      <c r="V299" t="s">
        <v>57</v>
      </c>
      <c r="W299">
        <v>0</v>
      </c>
      <c r="X299">
        <v>0</v>
      </c>
      <c r="Y299">
        <v>0</v>
      </c>
      <c r="Z299">
        <v>0</v>
      </c>
      <c r="AA299" t="s">
        <v>67</v>
      </c>
      <c r="AB299">
        <v>0</v>
      </c>
      <c r="AC299">
        <v>0</v>
      </c>
      <c r="AD299">
        <v>0</v>
      </c>
      <c r="AE299">
        <v>0</v>
      </c>
      <c r="AF299" t="s">
        <v>60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s">
        <v>58</v>
      </c>
      <c r="AM299" t="s">
        <v>58</v>
      </c>
      <c r="AN299" t="s">
        <v>71</v>
      </c>
      <c r="AO299">
        <v>14</v>
      </c>
      <c r="AP299">
        <v>14</v>
      </c>
      <c r="AQ299">
        <v>11</v>
      </c>
      <c r="AR299">
        <v>11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s">
        <v>61</v>
      </c>
      <c r="BA299" t="s">
        <v>57</v>
      </c>
      <c r="BB299" t="s">
        <v>55</v>
      </c>
      <c r="BC299" t="s">
        <v>58</v>
      </c>
      <c r="BD299" t="s">
        <v>58</v>
      </c>
    </row>
    <row r="300" spans="1:56" x14ac:dyDescent="0.25">
      <c r="A300" t="str" cm="1">
        <f t="array" ref="A300">_xlfn.XLOOKUP(RIGHT(M300,8),TeamIdentity!C:C,TeamIdentity!A:A,NONE)</f>
        <v>49ers</v>
      </c>
      <c r="B300" t="str" cm="1">
        <f t="array" ref="B300">_xlfn.XLOOKUP(RIGHT(F300,8),TeamIdentity!C:C,TeamIdentity!A:A,NONE)</f>
        <v>Commanders</v>
      </c>
      <c r="C300" t="s">
        <v>54</v>
      </c>
      <c r="D300" t="s">
        <v>54</v>
      </c>
      <c r="E300" t="s">
        <v>54</v>
      </c>
      <c r="F300" t="s">
        <v>521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  <c r="L300" t="s">
        <v>54</v>
      </c>
      <c r="M300" t="s">
        <v>533</v>
      </c>
      <c r="N300">
        <v>-1</v>
      </c>
      <c r="O300">
        <v>0</v>
      </c>
      <c r="P300">
        <v>-1</v>
      </c>
      <c r="Q300">
        <v>0</v>
      </c>
      <c r="R300" t="s">
        <v>70</v>
      </c>
      <c r="S300">
        <v>0</v>
      </c>
      <c r="T300">
        <v>0</v>
      </c>
      <c r="U300">
        <v>965</v>
      </c>
      <c r="V300" t="s">
        <v>57</v>
      </c>
      <c r="W300">
        <v>0</v>
      </c>
      <c r="X300">
        <v>0</v>
      </c>
      <c r="Y300">
        <v>0</v>
      </c>
      <c r="Z300">
        <v>0</v>
      </c>
      <c r="AA300" t="s">
        <v>67</v>
      </c>
      <c r="AB300">
        <v>0</v>
      </c>
      <c r="AC300">
        <v>0</v>
      </c>
      <c r="AD300">
        <v>0</v>
      </c>
      <c r="AE300">
        <v>0</v>
      </c>
      <c r="AF300" t="s">
        <v>60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s">
        <v>58</v>
      </c>
      <c r="AM300" t="s">
        <v>58</v>
      </c>
      <c r="AN300" t="s">
        <v>71</v>
      </c>
      <c r="AO300">
        <v>14</v>
      </c>
      <c r="AP300">
        <v>15</v>
      </c>
      <c r="AQ300">
        <v>8</v>
      </c>
      <c r="AR300">
        <v>11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s">
        <v>61</v>
      </c>
      <c r="BA300" t="s">
        <v>57</v>
      </c>
      <c r="BB300" t="s">
        <v>55</v>
      </c>
      <c r="BC300" t="s">
        <v>58</v>
      </c>
      <c r="BD300" t="s">
        <v>58</v>
      </c>
    </row>
    <row r="301" spans="1:56" x14ac:dyDescent="0.25">
      <c r="A301" t="str" cm="1">
        <f t="array" ref="A301">_xlfn.XLOOKUP(RIGHT(M301,8),TeamIdentity!C:C,TeamIdentity!A:A,NONE)</f>
        <v>Buccaneers</v>
      </c>
      <c r="B301" t="str" cm="1">
        <f t="array" ref="B301">_xlfn.XLOOKUP(RIGHT(F301,8),TeamIdentity!C:C,TeamIdentity!A:A,NONE)</f>
        <v>Bears</v>
      </c>
      <c r="C301" t="s">
        <v>54</v>
      </c>
      <c r="D301" t="s">
        <v>54</v>
      </c>
      <c r="E301" t="s">
        <v>54</v>
      </c>
      <c r="F301" t="s">
        <v>523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  <c r="L301" t="s">
        <v>54</v>
      </c>
      <c r="M301" t="s">
        <v>531</v>
      </c>
      <c r="N301">
        <v>-1</v>
      </c>
      <c r="O301">
        <v>0</v>
      </c>
      <c r="P301">
        <v>-1</v>
      </c>
      <c r="Q301">
        <v>0</v>
      </c>
      <c r="R301" t="s">
        <v>70</v>
      </c>
      <c r="S301">
        <v>0</v>
      </c>
      <c r="T301">
        <v>0</v>
      </c>
      <c r="U301">
        <v>975</v>
      </c>
      <c r="V301" t="s">
        <v>57</v>
      </c>
      <c r="W301">
        <v>0</v>
      </c>
      <c r="X301">
        <v>0</v>
      </c>
      <c r="Y301">
        <v>0</v>
      </c>
      <c r="Z301">
        <v>0</v>
      </c>
      <c r="AA301" t="s">
        <v>67</v>
      </c>
      <c r="AB301">
        <v>0</v>
      </c>
      <c r="AC301">
        <v>0</v>
      </c>
      <c r="AD301">
        <v>0</v>
      </c>
      <c r="AE301">
        <v>0</v>
      </c>
      <c r="AF301" t="s">
        <v>60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s">
        <v>58</v>
      </c>
      <c r="AM301" t="s">
        <v>58</v>
      </c>
      <c r="AN301" t="s">
        <v>71</v>
      </c>
      <c r="AO301">
        <v>14</v>
      </c>
      <c r="AP301">
        <v>14</v>
      </c>
      <c r="AQ301">
        <v>12</v>
      </c>
      <c r="AR301">
        <v>11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s">
        <v>61</v>
      </c>
      <c r="BA301" t="s">
        <v>57</v>
      </c>
      <c r="BB301" t="s">
        <v>55</v>
      </c>
      <c r="BC301" t="s">
        <v>58</v>
      </c>
      <c r="BD301" t="s">
        <v>58</v>
      </c>
    </row>
    <row r="302" spans="1:56" x14ac:dyDescent="0.25">
      <c r="A302" t="str" cm="1">
        <f t="array" ref="A302">_xlfn.XLOOKUP(RIGHT(M302,8),TeamIdentity!C:C,TeamIdentity!A:A,NONE)</f>
        <v>Colts</v>
      </c>
      <c r="B302" t="str" cm="1">
        <f t="array" ref="B302">_xlfn.XLOOKUP(RIGHT(F302,8),TeamIdentity!C:C,TeamIdentity!A:A,NONE)</f>
        <v>Titans</v>
      </c>
      <c r="C302" t="s">
        <v>54</v>
      </c>
      <c r="D302" t="s">
        <v>54</v>
      </c>
      <c r="E302" t="s">
        <v>54</v>
      </c>
      <c r="F302" t="s">
        <v>534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  <c r="L302" t="s">
        <v>54</v>
      </c>
      <c r="M302" t="s">
        <v>540</v>
      </c>
      <c r="N302">
        <v>-1</v>
      </c>
      <c r="O302">
        <v>0</v>
      </c>
      <c r="P302">
        <v>-1</v>
      </c>
      <c r="Q302">
        <v>0</v>
      </c>
      <c r="R302" t="s">
        <v>70</v>
      </c>
      <c r="S302">
        <v>0</v>
      </c>
      <c r="T302">
        <v>0</v>
      </c>
      <c r="U302">
        <v>780</v>
      </c>
      <c r="V302" t="s">
        <v>57</v>
      </c>
      <c r="W302">
        <v>0</v>
      </c>
      <c r="X302">
        <v>0</v>
      </c>
      <c r="Y302">
        <v>0</v>
      </c>
      <c r="Z302">
        <v>0</v>
      </c>
      <c r="AA302" t="s">
        <v>67</v>
      </c>
      <c r="AB302">
        <v>0</v>
      </c>
      <c r="AC302">
        <v>0</v>
      </c>
      <c r="AD302">
        <v>0</v>
      </c>
      <c r="AE302">
        <v>0</v>
      </c>
      <c r="AF302" t="s">
        <v>60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s">
        <v>58</v>
      </c>
      <c r="AM302" t="s">
        <v>58</v>
      </c>
      <c r="AN302" t="s">
        <v>71</v>
      </c>
      <c r="AO302">
        <v>14</v>
      </c>
      <c r="AP302">
        <v>16</v>
      </c>
      <c r="AQ302">
        <v>3</v>
      </c>
      <c r="AR302">
        <v>11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s">
        <v>61</v>
      </c>
      <c r="BA302" t="s">
        <v>57</v>
      </c>
      <c r="BB302" t="s">
        <v>55</v>
      </c>
      <c r="BC302" t="s">
        <v>58</v>
      </c>
      <c r="BD302" t="s">
        <v>58</v>
      </c>
    </row>
    <row r="303" spans="1:56" x14ac:dyDescent="0.25">
      <c r="A303" t="str" cm="1">
        <f t="array" ref="A303">_xlfn.XLOOKUP(RIGHT(M303,8),TeamIdentity!C:C,TeamIdentity!A:A,NONE)</f>
        <v>Ravens</v>
      </c>
      <c r="B303" t="str" cm="1">
        <f t="array" ref="B303">_xlfn.XLOOKUP(RIGHT(F303,8),TeamIdentity!C:C,TeamIdentity!A:A,NONE)</f>
        <v>Jaguars</v>
      </c>
      <c r="C303" t="s">
        <v>54</v>
      </c>
      <c r="D303" t="s">
        <v>54</v>
      </c>
      <c r="E303" t="s">
        <v>54</v>
      </c>
      <c r="F303" t="s">
        <v>536</v>
      </c>
      <c r="G303" t="s">
        <v>54</v>
      </c>
      <c r="H303" t="s">
        <v>54</v>
      </c>
      <c r="I303" t="s">
        <v>54</v>
      </c>
      <c r="J303" t="s">
        <v>54</v>
      </c>
      <c r="K303" t="s">
        <v>54</v>
      </c>
      <c r="L303" t="s">
        <v>54</v>
      </c>
      <c r="M303" t="s">
        <v>520</v>
      </c>
      <c r="N303">
        <v>-1</v>
      </c>
      <c r="O303">
        <v>0</v>
      </c>
      <c r="P303">
        <v>-1</v>
      </c>
      <c r="Q303">
        <v>0</v>
      </c>
      <c r="R303" t="s">
        <v>70</v>
      </c>
      <c r="S303">
        <v>0</v>
      </c>
      <c r="T303">
        <v>0</v>
      </c>
      <c r="U303">
        <v>780</v>
      </c>
      <c r="V303" t="s">
        <v>57</v>
      </c>
      <c r="W303">
        <v>0</v>
      </c>
      <c r="X303">
        <v>0</v>
      </c>
      <c r="Y303">
        <v>0</v>
      </c>
      <c r="Z303">
        <v>0</v>
      </c>
      <c r="AA303" t="s">
        <v>67</v>
      </c>
      <c r="AB303">
        <v>0</v>
      </c>
      <c r="AC303">
        <v>0</v>
      </c>
      <c r="AD303">
        <v>0</v>
      </c>
      <c r="AE303">
        <v>0</v>
      </c>
      <c r="AF303" t="s">
        <v>60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s">
        <v>58</v>
      </c>
      <c r="AM303" t="s">
        <v>58</v>
      </c>
      <c r="AN303" t="s">
        <v>71</v>
      </c>
      <c r="AO303">
        <v>14</v>
      </c>
      <c r="AP303">
        <v>16</v>
      </c>
      <c r="AQ303">
        <v>4</v>
      </c>
      <c r="AR303">
        <v>11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s">
        <v>61</v>
      </c>
      <c r="BA303" t="s">
        <v>57</v>
      </c>
      <c r="BB303" t="s">
        <v>55</v>
      </c>
      <c r="BC303" t="s">
        <v>58</v>
      </c>
      <c r="BD303" t="s">
        <v>58</v>
      </c>
    </row>
    <row r="304" spans="1:56" x14ac:dyDescent="0.25">
      <c r="A304" t="str" cm="1">
        <f t="array" ref="A304">_xlfn.XLOOKUP(RIGHT(M304,8),TeamIdentity!C:C,TeamIdentity!A:A,NONE)</f>
        <v>49ers</v>
      </c>
      <c r="B304" t="str" cm="1">
        <f t="array" ref="B304">_xlfn.XLOOKUP(RIGHT(F304,8),TeamIdentity!C:C,TeamIdentity!A:A,NONE)</f>
        <v>Rams</v>
      </c>
      <c r="C304" t="s">
        <v>54</v>
      </c>
      <c r="D304" t="s">
        <v>54</v>
      </c>
      <c r="E304" t="s">
        <v>54</v>
      </c>
      <c r="F304" t="s">
        <v>542</v>
      </c>
      <c r="G304" t="s">
        <v>54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533</v>
      </c>
      <c r="N304">
        <v>-1</v>
      </c>
      <c r="O304">
        <v>0</v>
      </c>
      <c r="P304">
        <v>-1</v>
      </c>
      <c r="Q304">
        <v>0</v>
      </c>
      <c r="R304" t="s">
        <v>70</v>
      </c>
      <c r="S304">
        <v>0</v>
      </c>
      <c r="T304">
        <v>0</v>
      </c>
      <c r="U304">
        <v>965</v>
      </c>
      <c r="V304" t="s">
        <v>57</v>
      </c>
      <c r="W304">
        <v>0</v>
      </c>
      <c r="X304">
        <v>0</v>
      </c>
      <c r="Y304">
        <v>0</v>
      </c>
      <c r="Z304">
        <v>0</v>
      </c>
      <c r="AA304" t="s">
        <v>67</v>
      </c>
      <c r="AB304">
        <v>0</v>
      </c>
      <c r="AC304">
        <v>0</v>
      </c>
      <c r="AD304">
        <v>0</v>
      </c>
      <c r="AE304">
        <v>0</v>
      </c>
      <c r="AF304" t="s">
        <v>60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s">
        <v>58</v>
      </c>
      <c r="AM304" t="s">
        <v>58</v>
      </c>
      <c r="AN304" t="s">
        <v>71</v>
      </c>
      <c r="AO304">
        <v>14</v>
      </c>
      <c r="AP304">
        <v>17</v>
      </c>
      <c r="AQ304">
        <v>8</v>
      </c>
      <c r="AR304">
        <v>11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s">
        <v>61</v>
      </c>
      <c r="BA304" t="s">
        <v>57</v>
      </c>
      <c r="BB304" t="s">
        <v>55</v>
      </c>
      <c r="BC304" t="s">
        <v>58</v>
      </c>
      <c r="BD304" t="s">
        <v>58</v>
      </c>
    </row>
    <row r="305" spans="1:56" x14ac:dyDescent="0.25">
      <c r="A305" t="str" cm="1">
        <f t="array" ref="A305">_xlfn.XLOOKUP(RIGHT(M305,8),TeamIdentity!C:C,TeamIdentity!A:A,NONE)</f>
        <v>Raiders</v>
      </c>
      <c r="B305" t="str" cm="1">
        <f t="array" ref="B305">_xlfn.XLOOKUP(RIGHT(F305,8),TeamIdentity!C:C,TeamIdentity!A:A,NONE)</f>
        <v>Bills</v>
      </c>
      <c r="C305" t="s">
        <v>54</v>
      </c>
      <c r="D305" t="s">
        <v>54</v>
      </c>
      <c r="E305" t="s">
        <v>54</v>
      </c>
      <c r="F305" t="s">
        <v>524</v>
      </c>
      <c r="G305" t="s">
        <v>54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525</v>
      </c>
      <c r="N305">
        <v>-1</v>
      </c>
      <c r="O305">
        <v>0</v>
      </c>
      <c r="P305">
        <v>-1</v>
      </c>
      <c r="Q305">
        <v>0</v>
      </c>
      <c r="R305" t="s">
        <v>70</v>
      </c>
      <c r="S305">
        <v>0</v>
      </c>
      <c r="T305">
        <v>0</v>
      </c>
      <c r="U305">
        <v>965</v>
      </c>
      <c r="V305" t="s">
        <v>57</v>
      </c>
      <c r="W305">
        <v>0</v>
      </c>
      <c r="X305">
        <v>0</v>
      </c>
      <c r="Y305">
        <v>0</v>
      </c>
      <c r="Z305">
        <v>0</v>
      </c>
      <c r="AA305" t="s">
        <v>67</v>
      </c>
      <c r="AB305">
        <v>0</v>
      </c>
      <c r="AC305">
        <v>0</v>
      </c>
      <c r="AD305">
        <v>0</v>
      </c>
      <c r="AE305">
        <v>0</v>
      </c>
      <c r="AF305" t="s">
        <v>60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s">
        <v>58</v>
      </c>
      <c r="AM305" t="s">
        <v>58</v>
      </c>
      <c r="AN305" t="s">
        <v>71</v>
      </c>
      <c r="AO305">
        <v>14</v>
      </c>
      <c r="AP305">
        <v>16</v>
      </c>
      <c r="AQ305">
        <v>10</v>
      </c>
      <c r="AR305">
        <v>11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s">
        <v>61</v>
      </c>
      <c r="BA305" t="s">
        <v>57</v>
      </c>
      <c r="BB305" t="s">
        <v>55</v>
      </c>
      <c r="BC305" t="s">
        <v>58</v>
      </c>
      <c r="BD305" t="s">
        <v>58</v>
      </c>
    </row>
    <row r="306" spans="1:56" x14ac:dyDescent="0.25">
      <c r="A306" t="str" cm="1">
        <f t="array" ref="A306">_xlfn.XLOOKUP(RIGHT(M306,8),TeamIdentity!C:C,TeamIdentity!A:A,NONE)</f>
        <v>Dolphins</v>
      </c>
      <c r="B306" t="str" cm="1">
        <f t="array" ref="B306">_xlfn.XLOOKUP(RIGHT(F306,8),TeamIdentity!C:C,TeamIdentity!A:A,NONE)</f>
        <v>Jets</v>
      </c>
      <c r="C306" t="s">
        <v>54</v>
      </c>
      <c r="D306" t="s">
        <v>54</v>
      </c>
      <c r="E306" t="s">
        <v>54</v>
      </c>
      <c r="F306" t="s">
        <v>522</v>
      </c>
      <c r="G306" t="s">
        <v>54</v>
      </c>
      <c r="H306" t="s">
        <v>54</v>
      </c>
      <c r="I306" t="s">
        <v>54</v>
      </c>
      <c r="J306" t="s">
        <v>54</v>
      </c>
      <c r="K306" t="s">
        <v>54</v>
      </c>
      <c r="L306" t="s">
        <v>54</v>
      </c>
      <c r="M306" t="s">
        <v>516</v>
      </c>
      <c r="N306">
        <v>-1</v>
      </c>
      <c r="O306">
        <v>0</v>
      </c>
      <c r="P306">
        <v>-1</v>
      </c>
      <c r="Q306">
        <v>0</v>
      </c>
      <c r="R306" t="s">
        <v>70</v>
      </c>
      <c r="S306">
        <v>0</v>
      </c>
      <c r="T306">
        <v>0</v>
      </c>
      <c r="U306">
        <v>780</v>
      </c>
      <c r="V306" t="s">
        <v>57</v>
      </c>
      <c r="W306">
        <v>0</v>
      </c>
      <c r="X306">
        <v>0</v>
      </c>
      <c r="Y306">
        <v>0</v>
      </c>
      <c r="Z306">
        <v>0</v>
      </c>
      <c r="AA306" t="s">
        <v>67</v>
      </c>
      <c r="AB306">
        <v>0</v>
      </c>
      <c r="AC306">
        <v>0</v>
      </c>
      <c r="AD306">
        <v>0</v>
      </c>
      <c r="AE306">
        <v>0</v>
      </c>
      <c r="AF306" t="s">
        <v>60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s">
        <v>58</v>
      </c>
      <c r="AM306" t="s">
        <v>58</v>
      </c>
      <c r="AN306" t="s">
        <v>71</v>
      </c>
      <c r="AO306">
        <v>14</v>
      </c>
      <c r="AP306">
        <v>16</v>
      </c>
      <c r="AQ306">
        <v>5</v>
      </c>
      <c r="AR306">
        <v>11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s">
        <v>61</v>
      </c>
      <c r="BA306" t="s">
        <v>57</v>
      </c>
      <c r="BB306" t="s">
        <v>55</v>
      </c>
      <c r="BC306" t="s">
        <v>58</v>
      </c>
      <c r="BD306" t="s">
        <v>58</v>
      </c>
    </row>
    <row r="307" spans="1:56" x14ac:dyDescent="0.25">
      <c r="A307" t="str" cm="1">
        <f t="array" ref="A307">_xlfn.XLOOKUP(RIGHT(M307,8),TeamIdentity!C:C,TeamIdentity!A:A,NONE)</f>
        <v>Giants</v>
      </c>
      <c r="B307" t="str" cm="1">
        <f t="array" ref="B307">_xlfn.XLOOKUP(RIGHT(F307,8),TeamIdentity!C:C,TeamIdentity!A:A,NONE)</f>
        <v>Bills</v>
      </c>
      <c r="C307" t="s">
        <v>54</v>
      </c>
      <c r="D307" t="s">
        <v>54</v>
      </c>
      <c r="E307" t="s">
        <v>54</v>
      </c>
      <c r="F307" t="s">
        <v>524</v>
      </c>
      <c r="G307" t="s">
        <v>54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514</v>
      </c>
      <c r="N307">
        <v>-1</v>
      </c>
      <c r="O307">
        <v>0</v>
      </c>
      <c r="P307">
        <v>-1</v>
      </c>
      <c r="Q307">
        <v>0</v>
      </c>
      <c r="R307" t="s">
        <v>70</v>
      </c>
      <c r="S307">
        <v>0</v>
      </c>
      <c r="T307">
        <v>0</v>
      </c>
      <c r="U307">
        <v>780</v>
      </c>
      <c r="V307" t="s">
        <v>57</v>
      </c>
      <c r="W307">
        <v>0</v>
      </c>
      <c r="X307">
        <v>0</v>
      </c>
      <c r="Y307">
        <v>0</v>
      </c>
      <c r="Z307">
        <v>0</v>
      </c>
      <c r="AA307" t="s">
        <v>67</v>
      </c>
      <c r="AB307">
        <v>0</v>
      </c>
      <c r="AC307">
        <v>0</v>
      </c>
      <c r="AD307">
        <v>0</v>
      </c>
      <c r="AE307">
        <v>0</v>
      </c>
      <c r="AF307" t="s">
        <v>60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s">
        <v>58</v>
      </c>
      <c r="AM307" t="s">
        <v>58</v>
      </c>
      <c r="AN307" t="s">
        <v>71</v>
      </c>
      <c r="AO307">
        <v>14</v>
      </c>
      <c r="AP307">
        <v>17</v>
      </c>
      <c r="AQ307">
        <v>3</v>
      </c>
      <c r="AR307">
        <v>11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s">
        <v>61</v>
      </c>
      <c r="BA307" t="s">
        <v>57</v>
      </c>
      <c r="BB307" t="s">
        <v>55</v>
      </c>
      <c r="BC307" t="s">
        <v>58</v>
      </c>
      <c r="BD307" t="s">
        <v>58</v>
      </c>
    </row>
    <row r="308" spans="1:56" x14ac:dyDescent="0.25">
      <c r="A308" t="str" cm="1">
        <f t="array" ref="A308">_xlfn.XLOOKUP(RIGHT(M308,8),TeamIdentity!C:C,TeamIdentity!A:A,NONE)</f>
        <v>Cowboys</v>
      </c>
      <c r="B308" t="str" cm="1">
        <f t="array" ref="B308">_xlfn.XLOOKUP(RIGHT(F308,8),TeamIdentity!C:C,TeamIdentity!A:A,NONE)</f>
        <v>Jets</v>
      </c>
      <c r="C308" t="s">
        <v>54</v>
      </c>
      <c r="D308" t="s">
        <v>54</v>
      </c>
      <c r="E308" t="s">
        <v>54</v>
      </c>
      <c r="F308" t="s">
        <v>522</v>
      </c>
      <c r="G308" t="s">
        <v>54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541</v>
      </c>
      <c r="N308">
        <v>-1</v>
      </c>
      <c r="O308">
        <v>0</v>
      </c>
      <c r="P308">
        <v>-1</v>
      </c>
      <c r="Q308">
        <v>0</v>
      </c>
      <c r="R308" t="s">
        <v>70</v>
      </c>
      <c r="S308">
        <v>0</v>
      </c>
      <c r="T308">
        <v>0</v>
      </c>
      <c r="U308">
        <v>780</v>
      </c>
      <c r="V308" t="s">
        <v>57</v>
      </c>
      <c r="W308">
        <v>0</v>
      </c>
      <c r="X308">
        <v>0</v>
      </c>
      <c r="Y308">
        <v>0</v>
      </c>
      <c r="Z308">
        <v>0</v>
      </c>
      <c r="AA308" t="s">
        <v>67</v>
      </c>
      <c r="AB308">
        <v>0</v>
      </c>
      <c r="AC308">
        <v>0</v>
      </c>
      <c r="AD308">
        <v>0</v>
      </c>
      <c r="AE308">
        <v>0</v>
      </c>
      <c r="AF308" t="s">
        <v>60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s">
        <v>58</v>
      </c>
      <c r="AM308" t="s">
        <v>58</v>
      </c>
      <c r="AN308" t="s">
        <v>71</v>
      </c>
      <c r="AO308">
        <v>14</v>
      </c>
      <c r="AP308">
        <v>17</v>
      </c>
      <c r="AQ308">
        <v>4</v>
      </c>
      <c r="AR308">
        <v>11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s">
        <v>61</v>
      </c>
      <c r="BA308" t="s">
        <v>57</v>
      </c>
      <c r="BB308" t="s">
        <v>55</v>
      </c>
      <c r="BC308" t="s">
        <v>58</v>
      </c>
      <c r="BD308" t="s">
        <v>58</v>
      </c>
    </row>
    <row r="309" spans="1:56" x14ac:dyDescent="0.25">
      <c r="A309" t="str" cm="1">
        <f t="array" ref="A309">_xlfn.XLOOKUP(RIGHT(M309,8),TeamIdentity!C:C,TeamIdentity!A:A,NONE)</f>
        <v>Panthers</v>
      </c>
      <c r="B309" t="str" cm="1">
        <f t="array" ref="B309">_xlfn.XLOOKUP(RIGHT(F309,8),TeamIdentity!C:C,TeamIdentity!A:A,NONE)</f>
        <v>Texans</v>
      </c>
      <c r="C309" t="s">
        <v>54</v>
      </c>
      <c r="D309" t="s">
        <v>54</v>
      </c>
      <c r="E309" t="s">
        <v>54</v>
      </c>
      <c r="F309" t="s">
        <v>517</v>
      </c>
      <c r="G309" t="s">
        <v>54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511</v>
      </c>
      <c r="N309">
        <v>-1</v>
      </c>
      <c r="O309">
        <v>0</v>
      </c>
      <c r="P309">
        <v>-1</v>
      </c>
      <c r="Q309">
        <v>0</v>
      </c>
      <c r="R309" t="s">
        <v>70</v>
      </c>
      <c r="S309">
        <v>0</v>
      </c>
      <c r="T309">
        <v>0</v>
      </c>
      <c r="U309">
        <v>780</v>
      </c>
      <c r="V309" t="s">
        <v>57</v>
      </c>
      <c r="W309">
        <v>0</v>
      </c>
      <c r="X309">
        <v>0</v>
      </c>
      <c r="Y309">
        <v>0</v>
      </c>
      <c r="Z309">
        <v>0</v>
      </c>
      <c r="AA309" t="s">
        <v>67</v>
      </c>
      <c r="AB309">
        <v>0</v>
      </c>
      <c r="AC309">
        <v>0</v>
      </c>
      <c r="AD309">
        <v>0</v>
      </c>
      <c r="AE309">
        <v>0</v>
      </c>
      <c r="AF309" t="s">
        <v>60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s">
        <v>58</v>
      </c>
      <c r="AM309" t="s">
        <v>58</v>
      </c>
      <c r="AN309" t="s">
        <v>71</v>
      </c>
      <c r="AO309">
        <v>14</v>
      </c>
      <c r="AP309">
        <v>16</v>
      </c>
      <c r="AQ309">
        <v>6</v>
      </c>
      <c r="AR309">
        <v>11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s">
        <v>61</v>
      </c>
      <c r="BA309" t="s">
        <v>57</v>
      </c>
      <c r="BB309" t="s">
        <v>55</v>
      </c>
      <c r="BC309" t="s">
        <v>58</v>
      </c>
      <c r="BD309" t="s">
        <v>58</v>
      </c>
    </row>
    <row r="310" spans="1:56" x14ac:dyDescent="0.25">
      <c r="A310" t="str" cm="1">
        <f t="array" ref="A310">_xlfn.XLOOKUP(RIGHT(M310,8),TeamIdentity!C:C,TeamIdentity!A:A,NONE)</f>
        <v>Texans</v>
      </c>
      <c r="B310" t="str" cm="1">
        <f t="array" ref="B310">_xlfn.XLOOKUP(RIGHT(F310,8),TeamIdentity!C:C,TeamIdentity!A:A,NONE)</f>
        <v>Steelers</v>
      </c>
      <c r="C310" t="s">
        <v>54</v>
      </c>
      <c r="D310" t="s">
        <v>54</v>
      </c>
      <c r="E310" t="s">
        <v>54</v>
      </c>
      <c r="F310" t="s">
        <v>518</v>
      </c>
      <c r="G310" t="s">
        <v>54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517</v>
      </c>
      <c r="N310">
        <v>-1</v>
      </c>
      <c r="O310">
        <v>0</v>
      </c>
      <c r="P310">
        <v>-1</v>
      </c>
      <c r="Q310">
        <v>0</v>
      </c>
      <c r="R310" t="s">
        <v>70</v>
      </c>
      <c r="S310">
        <v>0</v>
      </c>
      <c r="T310">
        <v>0</v>
      </c>
      <c r="U310">
        <v>780</v>
      </c>
      <c r="V310" t="s">
        <v>57</v>
      </c>
      <c r="W310">
        <v>0</v>
      </c>
      <c r="X310">
        <v>0</v>
      </c>
      <c r="Y310">
        <v>0</v>
      </c>
      <c r="Z310">
        <v>0</v>
      </c>
      <c r="AA310" t="s">
        <v>67</v>
      </c>
      <c r="AB310">
        <v>0</v>
      </c>
      <c r="AC310">
        <v>0</v>
      </c>
      <c r="AD310">
        <v>0</v>
      </c>
      <c r="AE310">
        <v>0</v>
      </c>
      <c r="AF310" t="s">
        <v>60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s">
        <v>58</v>
      </c>
      <c r="AM310" t="s">
        <v>58</v>
      </c>
      <c r="AN310" t="s">
        <v>71</v>
      </c>
      <c r="AO310">
        <v>14</v>
      </c>
      <c r="AP310">
        <v>17</v>
      </c>
      <c r="AQ310">
        <v>5</v>
      </c>
      <c r="AR310">
        <v>11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s">
        <v>61</v>
      </c>
      <c r="BA310" t="s">
        <v>57</v>
      </c>
      <c r="BB310" t="s">
        <v>55</v>
      </c>
      <c r="BC310" t="s">
        <v>58</v>
      </c>
      <c r="BD310" t="s">
        <v>58</v>
      </c>
    </row>
    <row r="311" spans="1:56" x14ac:dyDescent="0.25">
      <c r="A311" t="str" cm="1">
        <f t="array" ref="A311">_xlfn.XLOOKUP(RIGHT(M311,8),TeamIdentity!C:C,TeamIdentity!A:A,NONE)</f>
        <v>Broncos</v>
      </c>
      <c r="B311" t="str" cm="1">
        <f t="array" ref="B311">_xlfn.XLOOKUP(RIGHT(F311,8),TeamIdentity!C:C,TeamIdentity!A:A,NONE)</f>
        <v>Chiefs</v>
      </c>
      <c r="C311" t="s">
        <v>54</v>
      </c>
      <c r="D311" t="s">
        <v>54</v>
      </c>
      <c r="E311" t="s">
        <v>54</v>
      </c>
      <c r="F311" t="s">
        <v>535</v>
      </c>
      <c r="G311" t="s">
        <v>54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539</v>
      </c>
      <c r="N311">
        <v>-1</v>
      </c>
      <c r="O311">
        <v>0</v>
      </c>
      <c r="P311">
        <v>-1</v>
      </c>
      <c r="Q311">
        <v>0</v>
      </c>
      <c r="R311" t="s">
        <v>70</v>
      </c>
      <c r="S311">
        <v>0</v>
      </c>
      <c r="T311">
        <v>0</v>
      </c>
      <c r="U311">
        <v>965</v>
      </c>
      <c r="V311" t="s">
        <v>57</v>
      </c>
      <c r="W311">
        <v>0</v>
      </c>
      <c r="X311">
        <v>0</v>
      </c>
      <c r="Y311">
        <v>0</v>
      </c>
      <c r="Z311">
        <v>0</v>
      </c>
      <c r="AA311" t="s">
        <v>67</v>
      </c>
      <c r="AB311">
        <v>0</v>
      </c>
      <c r="AC311">
        <v>0</v>
      </c>
      <c r="AD311">
        <v>0</v>
      </c>
      <c r="AE311">
        <v>0</v>
      </c>
      <c r="AF311" t="s">
        <v>60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s">
        <v>58</v>
      </c>
      <c r="AM311" t="s">
        <v>58</v>
      </c>
      <c r="AN311" t="s">
        <v>71</v>
      </c>
      <c r="AO311">
        <v>14</v>
      </c>
      <c r="AP311">
        <v>16</v>
      </c>
      <c r="AQ311">
        <v>11</v>
      </c>
      <c r="AR311">
        <v>11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s">
        <v>61</v>
      </c>
      <c r="BA311" t="s">
        <v>57</v>
      </c>
      <c r="BB311" t="s">
        <v>55</v>
      </c>
      <c r="BC311" t="s">
        <v>58</v>
      </c>
      <c r="BD311" t="s">
        <v>58</v>
      </c>
    </row>
    <row r="312" spans="1:56" x14ac:dyDescent="0.25">
      <c r="A312" t="str" cm="1">
        <f t="array" ref="A312">_xlfn.XLOOKUP(RIGHT(M312,8),TeamIdentity!C:C,TeamIdentity!A:A,NONE)</f>
        <v>Steelers</v>
      </c>
      <c r="B312" t="str" cm="1">
        <f t="array" ref="B312">_xlfn.XLOOKUP(RIGHT(F312,8),TeamIdentity!C:C,TeamIdentity!A:A,NONE)</f>
        <v>Bengals</v>
      </c>
      <c r="C312" t="s">
        <v>54</v>
      </c>
      <c r="D312" t="s">
        <v>54</v>
      </c>
      <c r="E312" t="s">
        <v>54</v>
      </c>
      <c r="F312" t="s">
        <v>532</v>
      </c>
      <c r="G312" t="s">
        <v>54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518</v>
      </c>
      <c r="N312">
        <v>-1</v>
      </c>
      <c r="O312">
        <v>0</v>
      </c>
      <c r="P312">
        <v>-1</v>
      </c>
      <c r="Q312">
        <v>0</v>
      </c>
      <c r="R312" t="s">
        <v>70</v>
      </c>
      <c r="S312">
        <v>0</v>
      </c>
      <c r="T312">
        <v>0</v>
      </c>
      <c r="U312">
        <v>780</v>
      </c>
      <c r="V312" t="s">
        <v>57</v>
      </c>
      <c r="W312">
        <v>0</v>
      </c>
      <c r="X312">
        <v>0</v>
      </c>
      <c r="Y312">
        <v>0</v>
      </c>
      <c r="Z312">
        <v>0</v>
      </c>
      <c r="AA312" t="s">
        <v>67</v>
      </c>
      <c r="AB312">
        <v>0</v>
      </c>
      <c r="AC312">
        <v>0</v>
      </c>
      <c r="AD312">
        <v>0</v>
      </c>
      <c r="AE312">
        <v>0</v>
      </c>
      <c r="AF312" t="s">
        <v>60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s">
        <v>58</v>
      </c>
      <c r="AM312" t="s">
        <v>58</v>
      </c>
      <c r="AN312" t="s">
        <v>71</v>
      </c>
      <c r="AO312">
        <v>14</v>
      </c>
      <c r="AP312">
        <v>16</v>
      </c>
      <c r="AQ312">
        <v>7</v>
      </c>
      <c r="AR312">
        <v>11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s">
        <v>61</v>
      </c>
      <c r="BA312" t="s">
        <v>57</v>
      </c>
      <c r="BB312" t="s">
        <v>55</v>
      </c>
      <c r="BC312" t="s">
        <v>58</v>
      </c>
      <c r="BD312" t="s">
        <v>58</v>
      </c>
    </row>
    <row r="313" spans="1:56" x14ac:dyDescent="0.25">
      <c r="A313" t="str" cm="1">
        <f t="array" ref="A313">_xlfn.XLOOKUP(RIGHT(M313,8),TeamIdentity!C:C,TeamIdentity!A:A,NONE)</f>
        <v>49ers</v>
      </c>
      <c r="B313" t="str" cm="1">
        <f t="array" ref="B313">_xlfn.XLOOKUP(RIGHT(F313,8),TeamIdentity!C:C,TeamIdentity!A:A,NONE)</f>
        <v>49ers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>
        <v>-1</v>
      </c>
      <c r="O313">
        <v>0</v>
      </c>
      <c r="P313">
        <v>-1</v>
      </c>
      <c r="Q313">
        <v>0</v>
      </c>
      <c r="R313" t="s">
        <v>70</v>
      </c>
      <c r="S313">
        <v>0</v>
      </c>
      <c r="T313">
        <v>0</v>
      </c>
      <c r="U313">
        <v>1110</v>
      </c>
      <c r="V313" t="s">
        <v>57</v>
      </c>
      <c r="W313">
        <v>0</v>
      </c>
      <c r="X313">
        <v>0</v>
      </c>
      <c r="Y313">
        <v>0</v>
      </c>
      <c r="Z313">
        <v>0</v>
      </c>
      <c r="AA313" t="s">
        <v>67</v>
      </c>
      <c r="AB313">
        <v>0</v>
      </c>
      <c r="AC313">
        <v>0</v>
      </c>
      <c r="AD313">
        <v>0</v>
      </c>
      <c r="AE313">
        <v>0</v>
      </c>
      <c r="AF313" t="s">
        <v>60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s">
        <v>58</v>
      </c>
      <c r="AM313" t="s">
        <v>58</v>
      </c>
      <c r="AN313" t="s">
        <v>72</v>
      </c>
      <c r="AO313">
        <v>14</v>
      </c>
      <c r="AP313">
        <v>22</v>
      </c>
      <c r="AQ313">
        <v>0</v>
      </c>
      <c r="AR313">
        <v>11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s">
        <v>61</v>
      </c>
      <c r="BA313" t="s">
        <v>57</v>
      </c>
      <c r="BB313" t="s">
        <v>55</v>
      </c>
      <c r="BC313" t="s">
        <v>58</v>
      </c>
      <c r="BD313" t="s">
        <v>58</v>
      </c>
    </row>
    <row r="314" spans="1:56" x14ac:dyDescent="0.25">
      <c r="A314" t="str" cm="1">
        <f t="array" ref="A314">_xlfn.XLOOKUP(RIGHT(M314,8),TeamIdentity!C:C,TeamIdentity!A:A,NONE)</f>
        <v>Broncos</v>
      </c>
      <c r="B314" t="str" cm="1">
        <f t="array" ref="B314">_xlfn.XLOOKUP(RIGHT(F314,8),TeamIdentity!C:C,TeamIdentity!A:A,NONE)</f>
        <v>Bears</v>
      </c>
      <c r="C314" t="s">
        <v>54</v>
      </c>
      <c r="D314" t="s">
        <v>54</v>
      </c>
      <c r="E314" t="s">
        <v>54</v>
      </c>
      <c r="F314" t="s">
        <v>523</v>
      </c>
      <c r="G314" t="s">
        <v>54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539</v>
      </c>
      <c r="N314">
        <v>-1</v>
      </c>
      <c r="O314">
        <v>0</v>
      </c>
      <c r="P314">
        <v>-1</v>
      </c>
      <c r="Q314">
        <v>0</v>
      </c>
      <c r="R314" t="s">
        <v>70</v>
      </c>
      <c r="S314">
        <v>0</v>
      </c>
      <c r="T314">
        <v>0</v>
      </c>
      <c r="U314">
        <v>1220</v>
      </c>
      <c r="V314" t="s">
        <v>57</v>
      </c>
      <c r="W314">
        <v>0</v>
      </c>
      <c r="X314">
        <v>0</v>
      </c>
      <c r="Y314">
        <v>0</v>
      </c>
      <c r="Z314">
        <v>0</v>
      </c>
      <c r="AA314" t="s">
        <v>60</v>
      </c>
      <c r="AB314">
        <v>0</v>
      </c>
      <c r="AC314">
        <v>0</v>
      </c>
      <c r="AD314">
        <v>0</v>
      </c>
      <c r="AE314">
        <v>0</v>
      </c>
      <c r="AF314" t="s">
        <v>60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s">
        <v>58</v>
      </c>
      <c r="AM314" t="s">
        <v>58</v>
      </c>
      <c r="AN314" t="s">
        <v>71</v>
      </c>
      <c r="AO314">
        <v>14</v>
      </c>
      <c r="AP314">
        <v>17</v>
      </c>
      <c r="AQ314">
        <v>15</v>
      </c>
      <c r="AR314">
        <v>11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s">
        <v>61</v>
      </c>
      <c r="BA314" t="s">
        <v>57</v>
      </c>
      <c r="BB314" t="s">
        <v>55</v>
      </c>
      <c r="BC314" t="s">
        <v>58</v>
      </c>
      <c r="BD314" t="s">
        <v>58</v>
      </c>
    </row>
    <row r="315" spans="1:56" x14ac:dyDescent="0.25">
      <c r="A315" t="str" cm="1">
        <f t="array" ref="A315">_xlfn.XLOOKUP(RIGHT(M315,8),TeamIdentity!C:C,TeamIdentity!A:A,NONE)</f>
        <v>Browns</v>
      </c>
      <c r="B315" t="str" cm="1">
        <f t="array" ref="B315">_xlfn.XLOOKUP(RIGHT(F315,8),TeamIdentity!C:C,TeamIdentity!A:A,NONE)</f>
        <v>Ravens</v>
      </c>
      <c r="C315" t="s">
        <v>54</v>
      </c>
      <c r="D315" t="s">
        <v>54</v>
      </c>
      <c r="E315" t="s">
        <v>54</v>
      </c>
      <c r="F315" t="s">
        <v>520</v>
      </c>
      <c r="G315" t="s">
        <v>54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530</v>
      </c>
      <c r="N315">
        <v>-1</v>
      </c>
      <c r="O315">
        <v>0</v>
      </c>
      <c r="P315">
        <v>-1</v>
      </c>
      <c r="Q315">
        <v>0</v>
      </c>
      <c r="R315" t="s">
        <v>70</v>
      </c>
      <c r="S315">
        <v>0</v>
      </c>
      <c r="T315">
        <v>0</v>
      </c>
      <c r="U315">
        <v>780</v>
      </c>
      <c r="V315" t="s">
        <v>57</v>
      </c>
      <c r="W315">
        <v>0</v>
      </c>
      <c r="X315">
        <v>0</v>
      </c>
      <c r="Y315">
        <v>0</v>
      </c>
      <c r="Z315">
        <v>0</v>
      </c>
      <c r="AA315" t="s">
        <v>67</v>
      </c>
      <c r="AB315">
        <v>0</v>
      </c>
      <c r="AC315">
        <v>0</v>
      </c>
      <c r="AD315">
        <v>0</v>
      </c>
      <c r="AE315">
        <v>0</v>
      </c>
      <c r="AF315" t="s">
        <v>60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s">
        <v>58</v>
      </c>
      <c r="AM315" t="s">
        <v>58</v>
      </c>
      <c r="AN315" t="s">
        <v>71</v>
      </c>
      <c r="AO315">
        <v>14</v>
      </c>
      <c r="AP315">
        <v>17</v>
      </c>
      <c r="AQ315">
        <v>6</v>
      </c>
      <c r="AR315">
        <v>11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s">
        <v>61</v>
      </c>
      <c r="BA315" t="s">
        <v>57</v>
      </c>
      <c r="BB315" t="s">
        <v>55</v>
      </c>
      <c r="BC315" t="s">
        <v>58</v>
      </c>
      <c r="BD315" t="s">
        <v>58</v>
      </c>
    </row>
    <row r="316" spans="1:56" x14ac:dyDescent="0.25">
      <c r="A316" t="str" cm="1">
        <f t="array" ref="A316">_xlfn.XLOOKUP(RIGHT(M316,8),TeamIdentity!C:C,TeamIdentity!A:A,NONE)</f>
        <v>Colts</v>
      </c>
      <c r="B316" t="str" cm="1">
        <f t="array" ref="B316">_xlfn.XLOOKUP(RIGHT(F316,8),TeamIdentity!C:C,TeamIdentity!A:A,NONE)</f>
        <v>Panthers</v>
      </c>
      <c r="C316" t="s">
        <v>54</v>
      </c>
      <c r="D316" t="s">
        <v>54</v>
      </c>
      <c r="E316" t="s">
        <v>54</v>
      </c>
      <c r="F316" t="s">
        <v>511</v>
      </c>
      <c r="G316" t="s">
        <v>54</v>
      </c>
      <c r="H316" t="s">
        <v>54</v>
      </c>
      <c r="I316" t="s">
        <v>54</v>
      </c>
      <c r="J316" t="s">
        <v>54</v>
      </c>
      <c r="K316" t="s">
        <v>54</v>
      </c>
      <c r="L316" t="s">
        <v>54</v>
      </c>
      <c r="M316" t="s">
        <v>540</v>
      </c>
      <c r="N316">
        <v>-1</v>
      </c>
      <c r="O316">
        <v>0</v>
      </c>
      <c r="P316">
        <v>-1</v>
      </c>
      <c r="Q316">
        <v>0</v>
      </c>
      <c r="R316" t="s">
        <v>70</v>
      </c>
      <c r="S316">
        <v>0</v>
      </c>
      <c r="T316">
        <v>0</v>
      </c>
      <c r="U316">
        <v>965</v>
      </c>
      <c r="V316" t="s">
        <v>57</v>
      </c>
      <c r="W316">
        <v>0</v>
      </c>
      <c r="X316">
        <v>0</v>
      </c>
      <c r="Y316">
        <v>0</v>
      </c>
      <c r="Z316">
        <v>0</v>
      </c>
      <c r="AA316" t="s">
        <v>67</v>
      </c>
      <c r="AB316">
        <v>0</v>
      </c>
      <c r="AC316">
        <v>0</v>
      </c>
      <c r="AD316">
        <v>0</v>
      </c>
      <c r="AE316">
        <v>0</v>
      </c>
      <c r="AF316" t="s">
        <v>60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s">
        <v>58</v>
      </c>
      <c r="AM316" t="s">
        <v>58</v>
      </c>
      <c r="AN316" t="s">
        <v>71</v>
      </c>
      <c r="AO316">
        <v>14</v>
      </c>
      <c r="AP316">
        <v>17</v>
      </c>
      <c r="AQ316">
        <v>9</v>
      </c>
      <c r="AR316">
        <v>11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s">
        <v>61</v>
      </c>
      <c r="BA316" t="s">
        <v>57</v>
      </c>
      <c r="BB316" t="s">
        <v>55</v>
      </c>
      <c r="BC316" t="s">
        <v>58</v>
      </c>
      <c r="BD316" t="s">
        <v>58</v>
      </c>
    </row>
    <row r="317" spans="1:56" x14ac:dyDescent="0.25">
      <c r="A317" t="str" cm="1">
        <f t="array" ref="A317">_xlfn.XLOOKUP(RIGHT(M317,8),TeamIdentity!C:C,TeamIdentity!A:A,NONE)</f>
        <v>Dolphins</v>
      </c>
      <c r="B317" t="str" cm="1">
        <f t="array" ref="B317">_xlfn.XLOOKUP(RIGHT(F317,8),TeamIdentity!C:C,TeamIdentity!A:A,NONE)</f>
        <v>Cowboys</v>
      </c>
      <c r="C317" t="s">
        <v>54</v>
      </c>
      <c r="D317" t="s">
        <v>54</v>
      </c>
      <c r="E317" t="s">
        <v>54</v>
      </c>
      <c r="F317" t="s">
        <v>541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516</v>
      </c>
      <c r="N317">
        <v>-1</v>
      </c>
      <c r="O317">
        <v>0</v>
      </c>
      <c r="P317">
        <v>-1</v>
      </c>
      <c r="Q317">
        <v>0</v>
      </c>
      <c r="R317" t="s">
        <v>70</v>
      </c>
      <c r="S317">
        <v>0</v>
      </c>
      <c r="T317">
        <v>0</v>
      </c>
      <c r="U317">
        <v>965</v>
      </c>
      <c r="V317" t="s">
        <v>57</v>
      </c>
      <c r="W317">
        <v>0</v>
      </c>
      <c r="X317">
        <v>0</v>
      </c>
      <c r="Y317">
        <v>0</v>
      </c>
      <c r="Z317">
        <v>0</v>
      </c>
      <c r="AA317" t="s">
        <v>67</v>
      </c>
      <c r="AB317">
        <v>0</v>
      </c>
      <c r="AC317">
        <v>0</v>
      </c>
      <c r="AD317">
        <v>0</v>
      </c>
      <c r="AE317">
        <v>0</v>
      </c>
      <c r="AF317" t="s">
        <v>60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s">
        <v>58</v>
      </c>
      <c r="AM317" t="s">
        <v>58</v>
      </c>
      <c r="AN317" t="s">
        <v>71</v>
      </c>
      <c r="AO317">
        <v>14</v>
      </c>
      <c r="AP317">
        <v>15</v>
      </c>
      <c r="AQ317">
        <v>9</v>
      </c>
      <c r="AR317">
        <v>11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s">
        <v>61</v>
      </c>
      <c r="BA317" t="s">
        <v>57</v>
      </c>
      <c r="BB317" t="s">
        <v>55</v>
      </c>
      <c r="BC317" t="s">
        <v>58</v>
      </c>
      <c r="BD317" t="s">
        <v>58</v>
      </c>
    </row>
    <row r="318" spans="1:56" x14ac:dyDescent="0.25">
      <c r="A318" t="str" cm="1">
        <f t="array" ref="A318">_xlfn.XLOOKUP(RIGHT(M318,8),TeamIdentity!C:C,TeamIdentity!A:A,NONE)</f>
        <v>Packers</v>
      </c>
      <c r="B318" t="str" cm="1">
        <f t="array" ref="B318">_xlfn.XLOOKUP(RIGHT(F318,8),TeamIdentity!C:C,TeamIdentity!A:A,NONE)</f>
        <v>Falcons</v>
      </c>
      <c r="C318" t="s">
        <v>54</v>
      </c>
      <c r="D318" t="s">
        <v>54</v>
      </c>
      <c r="E318" t="s">
        <v>54</v>
      </c>
      <c r="F318" t="s">
        <v>515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529</v>
      </c>
      <c r="N318">
        <v>-1</v>
      </c>
      <c r="O318">
        <v>0</v>
      </c>
      <c r="P318">
        <v>-1</v>
      </c>
      <c r="Q318">
        <v>0</v>
      </c>
      <c r="R318" t="s">
        <v>70</v>
      </c>
      <c r="S318">
        <v>0</v>
      </c>
      <c r="T318">
        <v>0</v>
      </c>
      <c r="U318">
        <v>780</v>
      </c>
      <c r="V318" t="s">
        <v>57</v>
      </c>
      <c r="W318">
        <v>0</v>
      </c>
      <c r="X318">
        <v>0</v>
      </c>
      <c r="Y318">
        <v>0</v>
      </c>
      <c r="Z318">
        <v>0</v>
      </c>
      <c r="AA318" t="s">
        <v>67</v>
      </c>
      <c r="AB318">
        <v>0</v>
      </c>
      <c r="AC318">
        <v>0</v>
      </c>
      <c r="AD318">
        <v>0</v>
      </c>
      <c r="AE318">
        <v>0</v>
      </c>
      <c r="AF318" t="s">
        <v>60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s">
        <v>58</v>
      </c>
      <c r="AM318" t="s">
        <v>58</v>
      </c>
      <c r="AN318" t="s">
        <v>71</v>
      </c>
      <c r="AO318">
        <v>14</v>
      </c>
      <c r="AP318">
        <v>17</v>
      </c>
      <c r="AQ318">
        <v>7</v>
      </c>
      <c r="AR318">
        <v>11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s">
        <v>61</v>
      </c>
      <c r="BA318" t="s">
        <v>57</v>
      </c>
      <c r="BB318" t="s">
        <v>55</v>
      </c>
      <c r="BC318" t="s">
        <v>58</v>
      </c>
      <c r="BD318" t="s">
        <v>58</v>
      </c>
    </row>
    <row r="319" spans="1:56" x14ac:dyDescent="0.25">
      <c r="A319" t="str" cm="1">
        <f t="array" ref="A319">_xlfn.XLOOKUP(RIGHT(M319,8),TeamIdentity!C:C,TeamIdentity!A:A,NONE)</f>
        <v>Raiders</v>
      </c>
      <c r="B319" t="str" cm="1">
        <f t="array" ref="B319">_xlfn.XLOOKUP(RIGHT(F319,8),TeamIdentity!C:C,TeamIdentity!A:A,NONE)</f>
        <v>Lions</v>
      </c>
      <c r="C319" t="s">
        <v>54</v>
      </c>
      <c r="D319" t="s">
        <v>54</v>
      </c>
      <c r="E319" t="s">
        <v>54</v>
      </c>
      <c r="F319" t="s">
        <v>513</v>
      </c>
      <c r="G319" t="s">
        <v>54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525</v>
      </c>
      <c r="N319">
        <v>-1</v>
      </c>
      <c r="O319">
        <v>0</v>
      </c>
      <c r="P319">
        <v>-1</v>
      </c>
      <c r="Q319">
        <v>0</v>
      </c>
      <c r="R319" t="s">
        <v>70</v>
      </c>
      <c r="S319">
        <v>0</v>
      </c>
      <c r="T319">
        <v>0</v>
      </c>
      <c r="U319">
        <v>975</v>
      </c>
      <c r="V319" t="s">
        <v>57</v>
      </c>
      <c r="W319">
        <v>0</v>
      </c>
      <c r="X319">
        <v>0</v>
      </c>
      <c r="Y319">
        <v>0</v>
      </c>
      <c r="Z319">
        <v>0</v>
      </c>
      <c r="AA319" t="s">
        <v>67</v>
      </c>
      <c r="AB319">
        <v>0</v>
      </c>
      <c r="AC319">
        <v>0</v>
      </c>
      <c r="AD319">
        <v>0</v>
      </c>
      <c r="AE319">
        <v>0</v>
      </c>
      <c r="AF319" t="s">
        <v>60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s">
        <v>58</v>
      </c>
      <c r="AM319" t="s">
        <v>58</v>
      </c>
      <c r="AN319" t="s">
        <v>71</v>
      </c>
      <c r="AO319">
        <v>14</v>
      </c>
      <c r="AP319">
        <v>17</v>
      </c>
      <c r="AQ319">
        <v>12</v>
      </c>
      <c r="AR319">
        <v>11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s">
        <v>61</v>
      </c>
      <c r="BA319" t="s">
        <v>57</v>
      </c>
      <c r="BB319" t="s">
        <v>55</v>
      </c>
      <c r="BC319" t="s">
        <v>58</v>
      </c>
      <c r="BD319" t="s">
        <v>58</v>
      </c>
    </row>
    <row r="320" spans="1:56" x14ac:dyDescent="0.25">
      <c r="A320" t="str" cm="1">
        <f t="array" ref="A320">_xlfn.XLOOKUP(RIGHT(M320,8),TeamIdentity!C:C,TeamIdentity!A:A,NONE)</f>
        <v>Jaguars</v>
      </c>
      <c r="B320" t="str" cm="1">
        <f t="array" ref="B320">_xlfn.XLOOKUP(RIGHT(F320,8),TeamIdentity!C:C,TeamIdentity!A:A,NONE)</f>
        <v>Titans</v>
      </c>
      <c r="C320" t="s">
        <v>54</v>
      </c>
      <c r="D320" t="s">
        <v>54</v>
      </c>
      <c r="E320" t="s">
        <v>54</v>
      </c>
      <c r="F320" t="s">
        <v>534</v>
      </c>
      <c r="G320" t="s">
        <v>54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536</v>
      </c>
      <c r="N320">
        <v>-1</v>
      </c>
      <c r="O320">
        <v>0</v>
      </c>
      <c r="P320">
        <v>-1</v>
      </c>
      <c r="Q320">
        <v>0</v>
      </c>
      <c r="R320" t="s">
        <v>70</v>
      </c>
      <c r="S320">
        <v>0</v>
      </c>
      <c r="T320">
        <v>0</v>
      </c>
      <c r="U320">
        <v>975</v>
      </c>
      <c r="V320" t="s">
        <v>57</v>
      </c>
      <c r="W320">
        <v>0</v>
      </c>
      <c r="X320">
        <v>0</v>
      </c>
      <c r="Y320">
        <v>0</v>
      </c>
      <c r="Z320">
        <v>0</v>
      </c>
      <c r="AA320" t="s">
        <v>67</v>
      </c>
      <c r="AB320">
        <v>0</v>
      </c>
      <c r="AC320">
        <v>0</v>
      </c>
      <c r="AD320">
        <v>0</v>
      </c>
      <c r="AE320">
        <v>0</v>
      </c>
      <c r="AF320" t="s">
        <v>60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s">
        <v>58</v>
      </c>
      <c r="AM320" t="s">
        <v>58</v>
      </c>
      <c r="AN320" t="s">
        <v>71</v>
      </c>
      <c r="AO320">
        <v>14</v>
      </c>
      <c r="AP320">
        <v>17</v>
      </c>
      <c r="AQ320">
        <v>13</v>
      </c>
      <c r="AR320">
        <v>11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s">
        <v>61</v>
      </c>
      <c r="BA320" t="s">
        <v>57</v>
      </c>
      <c r="BB320" t="s">
        <v>55</v>
      </c>
      <c r="BC320" t="s">
        <v>58</v>
      </c>
      <c r="BD320" t="s">
        <v>58</v>
      </c>
    </row>
    <row r="321" spans="1:56" x14ac:dyDescent="0.25">
      <c r="A321" t="str" cm="1">
        <f t="array" ref="A321">_xlfn.XLOOKUP(RIGHT(M321,8),TeamIdentity!C:C,TeamIdentity!A:A,NONE)</f>
        <v>49ers</v>
      </c>
      <c r="B321" t="str" cm="1">
        <f t="array" ref="B321">_xlfn.XLOOKUP(RIGHT(F321,8),TeamIdentity!C:C,TeamIdentity!A:A,NONE)</f>
        <v>49ers</v>
      </c>
      <c r="C321" t="s">
        <v>54</v>
      </c>
      <c r="D321" t="s">
        <v>54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54</v>
      </c>
      <c r="N321">
        <v>-1</v>
      </c>
      <c r="O321">
        <v>0</v>
      </c>
      <c r="P321">
        <v>-1</v>
      </c>
      <c r="Q321">
        <v>0</v>
      </c>
      <c r="R321" t="s">
        <v>70</v>
      </c>
      <c r="S321">
        <v>0</v>
      </c>
      <c r="T321">
        <v>0</v>
      </c>
      <c r="U321">
        <v>1120</v>
      </c>
      <c r="V321" t="s">
        <v>57</v>
      </c>
      <c r="W321">
        <v>0</v>
      </c>
      <c r="X321">
        <v>0</v>
      </c>
      <c r="Y321">
        <v>0</v>
      </c>
      <c r="Z321">
        <v>0</v>
      </c>
      <c r="AA321" t="s">
        <v>67</v>
      </c>
      <c r="AB321">
        <v>0</v>
      </c>
      <c r="AC321">
        <v>0</v>
      </c>
      <c r="AD321">
        <v>0</v>
      </c>
      <c r="AE321">
        <v>0</v>
      </c>
      <c r="AF321" t="s">
        <v>60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s">
        <v>58</v>
      </c>
      <c r="AM321" t="s">
        <v>58</v>
      </c>
      <c r="AN321" t="s">
        <v>56</v>
      </c>
      <c r="AO321">
        <v>14</v>
      </c>
      <c r="AP321">
        <v>20</v>
      </c>
      <c r="AQ321">
        <v>1</v>
      </c>
      <c r="AR321">
        <v>11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s">
        <v>61</v>
      </c>
      <c r="BA321" t="s">
        <v>57</v>
      </c>
      <c r="BB321" t="s">
        <v>55</v>
      </c>
      <c r="BC321" t="s">
        <v>58</v>
      </c>
      <c r="BD321" t="s">
        <v>58</v>
      </c>
    </row>
    <row r="322" spans="1:56" x14ac:dyDescent="0.25">
      <c r="A322" t="str" cm="1">
        <f t="array" ref="A322">_xlfn.XLOOKUP(RIGHT(M322,8),TeamIdentity!C:C,TeamIdentity!A:A,NONE)</f>
        <v>49ers</v>
      </c>
      <c r="B322" t="str" cm="1">
        <f t="array" ref="B322">_xlfn.XLOOKUP(RIGHT(F322,8),TeamIdentity!C:C,TeamIdentity!A:A,NONE)</f>
        <v>49ers</v>
      </c>
      <c r="C322" t="s">
        <v>54</v>
      </c>
      <c r="D322" t="s">
        <v>54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54</v>
      </c>
      <c r="N322">
        <v>-1</v>
      </c>
      <c r="O322">
        <v>0</v>
      </c>
      <c r="P322">
        <v>-1</v>
      </c>
      <c r="Q322">
        <v>0</v>
      </c>
      <c r="R322" t="s">
        <v>70</v>
      </c>
      <c r="S322">
        <v>0</v>
      </c>
      <c r="T322">
        <v>0</v>
      </c>
      <c r="U322">
        <v>905</v>
      </c>
      <c r="V322" t="s">
        <v>57</v>
      </c>
      <c r="W322">
        <v>0</v>
      </c>
      <c r="X322">
        <v>0</v>
      </c>
      <c r="Y322">
        <v>0</v>
      </c>
      <c r="Z322">
        <v>0</v>
      </c>
      <c r="AA322" t="s">
        <v>67</v>
      </c>
      <c r="AB322">
        <v>0</v>
      </c>
      <c r="AC322">
        <v>0</v>
      </c>
      <c r="AD322">
        <v>0</v>
      </c>
      <c r="AE322">
        <v>0</v>
      </c>
      <c r="AF322" t="s">
        <v>60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s">
        <v>58</v>
      </c>
      <c r="AM322" t="s">
        <v>58</v>
      </c>
      <c r="AN322" t="s">
        <v>56</v>
      </c>
      <c r="AO322">
        <v>14</v>
      </c>
      <c r="AP322">
        <v>20</v>
      </c>
      <c r="AQ322">
        <v>0</v>
      </c>
      <c r="AR322">
        <v>11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s">
        <v>61</v>
      </c>
      <c r="BA322" t="s">
        <v>57</v>
      </c>
      <c r="BB322" t="s">
        <v>55</v>
      </c>
      <c r="BC322" t="s">
        <v>58</v>
      </c>
      <c r="BD322" t="s">
        <v>58</v>
      </c>
    </row>
    <row r="323" spans="1:56" x14ac:dyDescent="0.25">
      <c r="A323" t="str" cm="1">
        <f t="array" ref="A323">_xlfn.XLOOKUP(RIGHT(M323,8),TeamIdentity!C:C,TeamIdentity!A:A,NONE)</f>
        <v>49ers</v>
      </c>
      <c r="B323" t="str" cm="1">
        <f t="array" ref="B323">_xlfn.XLOOKUP(RIGHT(F323,8),TeamIdentity!C:C,TeamIdentity!A:A,NONE)</f>
        <v>49ers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</v>
      </c>
      <c r="N323">
        <v>-1</v>
      </c>
      <c r="O323">
        <v>0</v>
      </c>
      <c r="P323">
        <v>-1</v>
      </c>
      <c r="Q323">
        <v>0</v>
      </c>
      <c r="R323" t="s">
        <v>70</v>
      </c>
      <c r="S323">
        <v>0</v>
      </c>
      <c r="T323">
        <v>0</v>
      </c>
      <c r="U323">
        <v>1120</v>
      </c>
      <c r="V323" t="s">
        <v>57</v>
      </c>
      <c r="W323">
        <v>0</v>
      </c>
      <c r="X323">
        <v>0</v>
      </c>
      <c r="Y323">
        <v>0</v>
      </c>
      <c r="Z323">
        <v>0</v>
      </c>
      <c r="AA323" t="s">
        <v>67</v>
      </c>
      <c r="AB323">
        <v>0</v>
      </c>
      <c r="AC323">
        <v>0</v>
      </c>
      <c r="AD323">
        <v>0</v>
      </c>
      <c r="AE323">
        <v>0</v>
      </c>
      <c r="AF323" t="s">
        <v>60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s">
        <v>58</v>
      </c>
      <c r="AM323" t="s">
        <v>58</v>
      </c>
      <c r="AN323" t="s">
        <v>62</v>
      </c>
      <c r="AO323">
        <v>14</v>
      </c>
      <c r="AP323">
        <v>19</v>
      </c>
      <c r="AQ323">
        <v>1</v>
      </c>
      <c r="AR323">
        <v>11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s">
        <v>61</v>
      </c>
      <c r="BA323" t="s">
        <v>57</v>
      </c>
      <c r="BB323" t="s">
        <v>55</v>
      </c>
      <c r="BC323" t="s">
        <v>58</v>
      </c>
      <c r="BD323" t="s">
        <v>58</v>
      </c>
    </row>
    <row r="324" spans="1:56" x14ac:dyDescent="0.25">
      <c r="A324" t="str" cm="1">
        <f t="array" ref="A324">_xlfn.XLOOKUP(RIGHT(M324,8),TeamIdentity!C:C,TeamIdentity!A:A,NONE)</f>
        <v>49ers</v>
      </c>
      <c r="B324" t="str" cm="1">
        <f t="array" ref="B324">_xlfn.XLOOKUP(RIGHT(F324,8),TeamIdentity!C:C,TeamIdentity!A:A,NONE)</f>
        <v>49ers</v>
      </c>
      <c r="C324" t="s">
        <v>54</v>
      </c>
      <c r="D324" t="s">
        <v>54</v>
      </c>
      <c r="E324" t="s">
        <v>54</v>
      </c>
      <c r="F324" t="s">
        <v>54</v>
      </c>
      <c r="G324" t="s">
        <v>54</v>
      </c>
      <c r="H324" t="s">
        <v>54</v>
      </c>
      <c r="I324" t="s">
        <v>54</v>
      </c>
      <c r="J324" t="s">
        <v>54</v>
      </c>
      <c r="K324" t="s">
        <v>54</v>
      </c>
      <c r="L324" t="s">
        <v>54</v>
      </c>
      <c r="M324" t="s">
        <v>54</v>
      </c>
      <c r="N324">
        <v>-1</v>
      </c>
      <c r="O324">
        <v>0</v>
      </c>
      <c r="P324">
        <v>-1</v>
      </c>
      <c r="Q324">
        <v>0</v>
      </c>
      <c r="R324" t="s">
        <v>70</v>
      </c>
      <c r="S324">
        <v>0</v>
      </c>
      <c r="T324">
        <v>0</v>
      </c>
      <c r="U324">
        <v>1215</v>
      </c>
      <c r="V324" t="s">
        <v>57</v>
      </c>
      <c r="W324">
        <v>0</v>
      </c>
      <c r="X324">
        <v>0</v>
      </c>
      <c r="Y324">
        <v>0</v>
      </c>
      <c r="Z324">
        <v>0</v>
      </c>
      <c r="AA324" t="s">
        <v>67</v>
      </c>
      <c r="AB324">
        <v>0</v>
      </c>
      <c r="AC324">
        <v>0</v>
      </c>
      <c r="AD324">
        <v>0</v>
      </c>
      <c r="AE324">
        <v>0</v>
      </c>
      <c r="AF324" t="s">
        <v>60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s">
        <v>58</v>
      </c>
      <c r="AM324" t="s">
        <v>58</v>
      </c>
      <c r="AN324" t="s">
        <v>64</v>
      </c>
      <c r="AO324">
        <v>14</v>
      </c>
      <c r="AP324">
        <v>18</v>
      </c>
      <c r="AQ324">
        <v>2</v>
      </c>
      <c r="AR324">
        <v>11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s">
        <v>61</v>
      </c>
      <c r="BA324" t="s">
        <v>57</v>
      </c>
      <c r="BB324" t="s">
        <v>55</v>
      </c>
      <c r="BC324" t="s">
        <v>58</v>
      </c>
      <c r="BD324" t="s">
        <v>58</v>
      </c>
    </row>
    <row r="325" spans="1:56" x14ac:dyDescent="0.25">
      <c r="A325" t="str" cm="1">
        <f t="array" ref="A325">_xlfn.XLOOKUP(RIGHT(M325,8),TeamIdentity!C:C,TeamIdentity!A:A,NONE)</f>
        <v>Eagles</v>
      </c>
      <c r="B325" t="str" cm="1">
        <f t="array" ref="B325">_xlfn.XLOOKUP(RIGHT(F325,8),TeamIdentity!C:C,TeamIdentity!A:A,NONE)</f>
        <v>Cardinals</v>
      </c>
      <c r="C325" t="s">
        <v>54</v>
      </c>
      <c r="D325" t="s">
        <v>54</v>
      </c>
      <c r="E325" t="s">
        <v>54</v>
      </c>
      <c r="F325" t="s">
        <v>538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519</v>
      </c>
      <c r="N325">
        <v>-1</v>
      </c>
      <c r="O325">
        <v>0</v>
      </c>
      <c r="P325">
        <v>-1</v>
      </c>
      <c r="Q325">
        <v>0</v>
      </c>
      <c r="R325" t="s">
        <v>70</v>
      </c>
      <c r="S325">
        <v>0</v>
      </c>
      <c r="T325">
        <v>0</v>
      </c>
      <c r="U325">
        <v>975</v>
      </c>
      <c r="V325" t="s">
        <v>57</v>
      </c>
      <c r="W325">
        <v>0</v>
      </c>
      <c r="X325">
        <v>0</v>
      </c>
      <c r="Y325">
        <v>0</v>
      </c>
      <c r="Z325">
        <v>0</v>
      </c>
      <c r="AA325" t="s">
        <v>67</v>
      </c>
      <c r="AB325">
        <v>0</v>
      </c>
      <c r="AC325">
        <v>0</v>
      </c>
      <c r="AD325">
        <v>0</v>
      </c>
      <c r="AE325">
        <v>0</v>
      </c>
      <c r="AF325" t="s">
        <v>60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s">
        <v>58</v>
      </c>
      <c r="AM325" t="s">
        <v>58</v>
      </c>
      <c r="AN325" t="s">
        <v>71</v>
      </c>
      <c r="AO325">
        <v>14</v>
      </c>
      <c r="AP325">
        <v>17</v>
      </c>
      <c r="AQ325">
        <v>14</v>
      </c>
      <c r="AR325">
        <v>11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s">
        <v>61</v>
      </c>
      <c r="BA325" t="s">
        <v>57</v>
      </c>
      <c r="BB325" t="s">
        <v>55</v>
      </c>
      <c r="BC325" t="s">
        <v>58</v>
      </c>
      <c r="BD325" t="s">
        <v>58</v>
      </c>
    </row>
    <row r="326" spans="1:56" x14ac:dyDescent="0.25">
      <c r="A326" t="str" cm="1">
        <f t="array" ref="A326">_xlfn.XLOOKUP(RIGHT(M326,8),TeamIdentity!C:C,TeamIdentity!A:A,NONE)</f>
        <v>49ers</v>
      </c>
      <c r="B326" t="str" cm="1">
        <f t="array" ref="B326">_xlfn.XLOOKUP(RIGHT(F326,8),TeamIdentity!C:C,TeamIdentity!A:A,NONE)</f>
        <v>49ers</v>
      </c>
      <c r="C326" t="s">
        <v>54</v>
      </c>
      <c r="D326" t="s">
        <v>54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54</v>
      </c>
      <c r="N326">
        <v>-1</v>
      </c>
      <c r="O326">
        <v>0</v>
      </c>
      <c r="P326">
        <v>-1</v>
      </c>
      <c r="Q326">
        <v>0</v>
      </c>
      <c r="R326" t="s">
        <v>70</v>
      </c>
      <c r="S326">
        <v>0</v>
      </c>
      <c r="T326">
        <v>0</v>
      </c>
      <c r="U326">
        <v>1000</v>
      </c>
      <c r="V326" t="s">
        <v>57</v>
      </c>
      <c r="W326">
        <v>0</v>
      </c>
      <c r="X326">
        <v>0</v>
      </c>
      <c r="Y326">
        <v>0</v>
      </c>
      <c r="Z326">
        <v>0</v>
      </c>
      <c r="AA326" t="s">
        <v>67</v>
      </c>
      <c r="AB326">
        <v>0</v>
      </c>
      <c r="AC326">
        <v>0</v>
      </c>
      <c r="AD326">
        <v>0</v>
      </c>
      <c r="AE326">
        <v>0</v>
      </c>
      <c r="AF326" t="s">
        <v>60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s">
        <v>58</v>
      </c>
      <c r="AM326" t="s">
        <v>58</v>
      </c>
      <c r="AN326" t="s">
        <v>64</v>
      </c>
      <c r="AO326">
        <v>14</v>
      </c>
      <c r="AP326">
        <v>18</v>
      </c>
      <c r="AQ326">
        <v>1</v>
      </c>
      <c r="AR326">
        <v>11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s">
        <v>61</v>
      </c>
      <c r="BA326" t="s">
        <v>57</v>
      </c>
      <c r="BB326" t="s">
        <v>55</v>
      </c>
      <c r="BC326" t="s">
        <v>58</v>
      </c>
      <c r="BD326" t="s">
        <v>58</v>
      </c>
    </row>
    <row r="327" spans="1:56" x14ac:dyDescent="0.25">
      <c r="A327" t="str" cm="1">
        <f t="array" ref="A327">_xlfn.XLOOKUP(RIGHT(M327,8),TeamIdentity!C:C,TeamIdentity!A:A,NONE)</f>
        <v>49ers</v>
      </c>
      <c r="B327" t="str" cm="1">
        <f t="array" ref="B327">_xlfn.XLOOKUP(RIGHT(F327,8),TeamIdentity!C:C,TeamIdentity!A:A,NONE)</f>
        <v>49ers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  <c r="J327" t="s">
        <v>54</v>
      </c>
      <c r="K327" t="s">
        <v>54</v>
      </c>
      <c r="L327" t="s">
        <v>54</v>
      </c>
      <c r="M327" t="s">
        <v>54</v>
      </c>
      <c r="N327">
        <v>-1</v>
      </c>
      <c r="O327">
        <v>0</v>
      </c>
      <c r="P327">
        <v>-1</v>
      </c>
      <c r="Q327">
        <v>0</v>
      </c>
      <c r="R327" t="s">
        <v>70</v>
      </c>
      <c r="S327">
        <v>0</v>
      </c>
      <c r="T327">
        <v>0</v>
      </c>
      <c r="U327">
        <v>905</v>
      </c>
      <c r="V327" t="s">
        <v>57</v>
      </c>
      <c r="W327">
        <v>0</v>
      </c>
      <c r="X327">
        <v>0</v>
      </c>
      <c r="Y327">
        <v>0</v>
      </c>
      <c r="Z327">
        <v>0</v>
      </c>
      <c r="AA327" t="s">
        <v>67</v>
      </c>
      <c r="AB327">
        <v>0</v>
      </c>
      <c r="AC327">
        <v>0</v>
      </c>
      <c r="AD327">
        <v>0</v>
      </c>
      <c r="AE327">
        <v>0</v>
      </c>
      <c r="AF327" t="s">
        <v>60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s">
        <v>58</v>
      </c>
      <c r="AM327" t="s">
        <v>58</v>
      </c>
      <c r="AN327" t="s">
        <v>62</v>
      </c>
      <c r="AO327">
        <v>14</v>
      </c>
      <c r="AP327">
        <v>19</v>
      </c>
      <c r="AQ327">
        <v>0</v>
      </c>
      <c r="AR327">
        <v>11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s">
        <v>61</v>
      </c>
      <c r="BA327" t="s">
        <v>57</v>
      </c>
      <c r="BB327" t="s">
        <v>55</v>
      </c>
      <c r="BC327" t="s">
        <v>58</v>
      </c>
      <c r="BD327" t="s">
        <v>58</v>
      </c>
    </row>
    <row r="328" spans="1:56" x14ac:dyDescent="0.25">
      <c r="A328" t="str" cm="1">
        <f t="array" ref="A328">_xlfn.XLOOKUP(RIGHT(M328,8),TeamIdentity!C:C,TeamIdentity!A:A,NONE)</f>
        <v>49ers</v>
      </c>
      <c r="B328" t="str" cm="1">
        <f t="array" ref="B328">_xlfn.XLOOKUP(RIGHT(F328,8),TeamIdentity!C:C,TeamIdentity!A:A,NONE)</f>
        <v>49ers</v>
      </c>
      <c r="C328" t="s">
        <v>54</v>
      </c>
      <c r="D328" t="s">
        <v>54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54</v>
      </c>
      <c r="N328">
        <v>-1</v>
      </c>
      <c r="O328">
        <v>0</v>
      </c>
      <c r="P328">
        <v>-1</v>
      </c>
      <c r="Q328">
        <v>0</v>
      </c>
      <c r="R328" t="s">
        <v>70</v>
      </c>
      <c r="S328">
        <v>0</v>
      </c>
      <c r="T328">
        <v>0</v>
      </c>
      <c r="U328">
        <v>785</v>
      </c>
      <c r="V328" t="s">
        <v>57</v>
      </c>
      <c r="W328">
        <v>0</v>
      </c>
      <c r="X328">
        <v>0</v>
      </c>
      <c r="Y328">
        <v>0</v>
      </c>
      <c r="Z328">
        <v>0</v>
      </c>
      <c r="AA328" t="s">
        <v>67</v>
      </c>
      <c r="AB328">
        <v>0</v>
      </c>
      <c r="AC328">
        <v>0</v>
      </c>
      <c r="AD328">
        <v>0</v>
      </c>
      <c r="AE328">
        <v>0</v>
      </c>
      <c r="AF328" t="s">
        <v>60</v>
      </c>
      <c r="AG328">
        <v>0</v>
      </c>
      <c r="AH328">
        <v>0</v>
      </c>
      <c r="AI328">
        <v>0</v>
      </c>
      <c r="AJ328">
        <v>0</v>
      </c>
      <c r="AK328" t="b">
        <v>0</v>
      </c>
      <c r="AL328" t="s">
        <v>58</v>
      </c>
      <c r="AM328" t="s">
        <v>58</v>
      </c>
      <c r="AN328" t="s">
        <v>64</v>
      </c>
      <c r="AO328">
        <v>14</v>
      </c>
      <c r="AP328">
        <v>18</v>
      </c>
      <c r="AQ328">
        <v>0</v>
      </c>
      <c r="AR328">
        <v>11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s">
        <v>61</v>
      </c>
      <c r="BA328" t="s">
        <v>57</v>
      </c>
      <c r="BB328" t="s">
        <v>55</v>
      </c>
      <c r="BC328" t="s">
        <v>58</v>
      </c>
      <c r="BD328" t="s">
        <v>58</v>
      </c>
    </row>
    <row r="329" spans="1:56" x14ac:dyDescent="0.25">
      <c r="A329" t="str" cm="1">
        <f t="array" ref="A329">_xlfn.XLOOKUP(RIGHT(M329,8),TeamIdentity!C:C,TeamIdentity!A:A,NONE)</f>
        <v>49ers</v>
      </c>
      <c r="B329" t="str" cm="1">
        <f t="array" ref="B329">_xlfn.XLOOKUP(RIGHT(F329,8),TeamIdentity!C:C,TeamIdentity!A:A,NONE)</f>
        <v>49ers</v>
      </c>
      <c r="C329" t="s">
        <v>54</v>
      </c>
      <c r="D329" t="s">
        <v>54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>
        <v>-1</v>
      </c>
      <c r="O329">
        <v>0</v>
      </c>
      <c r="P329">
        <v>-1</v>
      </c>
      <c r="Q329">
        <v>0</v>
      </c>
      <c r="R329" t="s">
        <v>70</v>
      </c>
      <c r="S329">
        <v>0</v>
      </c>
      <c r="T329">
        <v>0</v>
      </c>
      <c r="U329">
        <v>1000</v>
      </c>
      <c r="V329" t="s">
        <v>57</v>
      </c>
      <c r="W329">
        <v>0</v>
      </c>
      <c r="X329">
        <v>0</v>
      </c>
      <c r="Y329">
        <v>0</v>
      </c>
      <c r="Z329">
        <v>0</v>
      </c>
      <c r="AA329" t="s">
        <v>67</v>
      </c>
      <c r="AB329">
        <v>0</v>
      </c>
      <c r="AC329">
        <v>0</v>
      </c>
      <c r="AD329">
        <v>0</v>
      </c>
      <c r="AE329">
        <v>0</v>
      </c>
      <c r="AF329" t="s">
        <v>63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s">
        <v>58</v>
      </c>
      <c r="AM329" t="s">
        <v>58</v>
      </c>
      <c r="AN329" t="s">
        <v>64</v>
      </c>
      <c r="AO329">
        <v>14</v>
      </c>
      <c r="AP329">
        <v>18</v>
      </c>
      <c r="AQ329">
        <v>4</v>
      </c>
      <c r="AR329">
        <v>11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s">
        <v>61</v>
      </c>
      <c r="BA329" t="s">
        <v>57</v>
      </c>
      <c r="BB329" t="s">
        <v>55</v>
      </c>
      <c r="BC329" t="s">
        <v>58</v>
      </c>
      <c r="BD329" t="s">
        <v>58</v>
      </c>
    </row>
    <row r="330" spans="1:56" x14ac:dyDescent="0.25">
      <c r="A330" t="str" cm="1">
        <f t="array" ref="A330">_xlfn.XLOOKUP(RIGHT(M330,8),TeamIdentity!C:C,TeamIdentity!A:A,NONE)</f>
        <v>49ers</v>
      </c>
      <c r="B330" t="str" cm="1">
        <f t="array" ref="B330">_xlfn.XLOOKUP(RIGHT(F330,8),TeamIdentity!C:C,TeamIdentity!A:A,NONE)</f>
        <v>49ers</v>
      </c>
      <c r="C330" t="s">
        <v>54</v>
      </c>
      <c r="D330" t="s">
        <v>54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54</v>
      </c>
      <c r="N330">
        <v>-1</v>
      </c>
      <c r="O330">
        <v>0</v>
      </c>
      <c r="P330">
        <v>-1</v>
      </c>
      <c r="Q330">
        <v>0</v>
      </c>
      <c r="R330" t="s">
        <v>70</v>
      </c>
      <c r="S330">
        <v>0</v>
      </c>
      <c r="T330">
        <v>0</v>
      </c>
      <c r="U330">
        <v>1215</v>
      </c>
      <c r="V330" t="s">
        <v>57</v>
      </c>
      <c r="W330">
        <v>0</v>
      </c>
      <c r="X330">
        <v>0</v>
      </c>
      <c r="Y330">
        <v>0</v>
      </c>
      <c r="Z330">
        <v>0</v>
      </c>
      <c r="AA330" t="s">
        <v>67</v>
      </c>
      <c r="AB330">
        <v>0</v>
      </c>
      <c r="AC330">
        <v>0</v>
      </c>
      <c r="AD330">
        <v>0</v>
      </c>
      <c r="AE330">
        <v>0</v>
      </c>
      <c r="AF330" t="s">
        <v>63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s">
        <v>58</v>
      </c>
      <c r="AM330" t="s">
        <v>58</v>
      </c>
      <c r="AN330" t="s">
        <v>64</v>
      </c>
      <c r="AO330">
        <v>14</v>
      </c>
      <c r="AP330">
        <v>18</v>
      </c>
      <c r="AQ330">
        <v>5</v>
      </c>
      <c r="AR330">
        <v>11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s">
        <v>61</v>
      </c>
      <c r="BA330" t="s">
        <v>57</v>
      </c>
      <c r="BB330" t="s">
        <v>55</v>
      </c>
      <c r="BC330" t="s">
        <v>58</v>
      </c>
      <c r="BD330" t="s">
        <v>58</v>
      </c>
    </row>
    <row r="331" spans="1:56" x14ac:dyDescent="0.25">
      <c r="A331" t="str" cm="1">
        <f t="array" ref="A331">_xlfn.XLOOKUP(RIGHT(M331,8),TeamIdentity!C:C,TeamIdentity!A:A,NONE)</f>
        <v>49ers</v>
      </c>
      <c r="B331" t="str" cm="1">
        <f t="array" ref="B331">_xlfn.XLOOKUP(RIGHT(F331,8),TeamIdentity!C:C,TeamIdentity!A:A,NONE)</f>
        <v>49ers</v>
      </c>
      <c r="C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</v>
      </c>
      <c r="N331">
        <v>-1</v>
      </c>
      <c r="O331">
        <v>0</v>
      </c>
      <c r="P331">
        <v>-1</v>
      </c>
      <c r="Q331">
        <v>0</v>
      </c>
      <c r="R331" t="s">
        <v>70</v>
      </c>
      <c r="S331">
        <v>0</v>
      </c>
      <c r="T331">
        <v>0</v>
      </c>
      <c r="U331">
        <v>995</v>
      </c>
      <c r="V331" t="s">
        <v>57</v>
      </c>
      <c r="W331">
        <v>0</v>
      </c>
      <c r="X331">
        <v>0</v>
      </c>
      <c r="Y331">
        <v>0</v>
      </c>
      <c r="Z331">
        <v>0</v>
      </c>
      <c r="AA331" t="s">
        <v>67</v>
      </c>
      <c r="AB331">
        <v>0</v>
      </c>
      <c r="AC331">
        <v>0</v>
      </c>
      <c r="AD331">
        <v>0</v>
      </c>
      <c r="AE331">
        <v>0</v>
      </c>
      <c r="AF331" t="s">
        <v>63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s">
        <v>58</v>
      </c>
      <c r="AM331" t="s">
        <v>58</v>
      </c>
      <c r="AN331" t="s">
        <v>62</v>
      </c>
      <c r="AO331">
        <v>14</v>
      </c>
      <c r="AP331">
        <v>19</v>
      </c>
      <c r="AQ331">
        <v>2</v>
      </c>
      <c r="AR331">
        <v>11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s">
        <v>61</v>
      </c>
      <c r="BA331" t="s">
        <v>57</v>
      </c>
      <c r="BB331" t="s">
        <v>55</v>
      </c>
      <c r="BC331" t="s">
        <v>58</v>
      </c>
      <c r="BD331" t="s">
        <v>58</v>
      </c>
    </row>
    <row r="332" spans="1:56" x14ac:dyDescent="0.25">
      <c r="A332" t="str" cm="1">
        <f t="array" ref="A332">_xlfn.XLOOKUP(RIGHT(M332,8),TeamIdentity!C:C,TeamIdentity!A:A,NONE)</f>
        <v>Vikings</v>
      </c>
      <c r="B332" t="str" cm="1">
        <f t="array" ref="B332">_xlfn.XLOOKUP(RIGHT(F332,8),TeamIdentity!C:C,TeamIdentity!A:A,NONE)</f>
        <v>Bengals</v>
      </c>
      <c r="C332" t="s">
        <v>54</v>
      </c>
      <c r="D332" t="s">
        <v>54</v>
      </c>
      <c r="E332" t="s">
        <v>54</v>
      </c>
      <c r="F332" t="s">
        <v>532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526</v>
      </c>
      <c r="N332">
        <v>-1</v>
      </c>
      <c r="O332">
        <v>0</v>
      </c>
      <c r="P332">
        <v>-1</v>
      </c>
      <c r="Q332">
        <v>0</v>
      </c>
      <c r="R332" t="s">
        <v>70</v>
      </c>
      <c r="S332">
        <v>0</v>
      </c>
      <c r="T332">
        <v>0</v>
      </c>
      <c r="U332">
        <v>965</v>
      </c>
      <c r="V332" t="s">
        <v>57</v>
      </c>
      <c r="W332">
        <v>0</v>
      </c>
      <c r="X332">
        <v>0</v>
      </c>
      <c r="Y332">
        <v>0</v>
      </c>
      <c r="Z332">
        <v>0</v>
      </c>
      <c r="AA332" t="s">
        <v>67</v>
      </c>
      <c r="AB332">
        <v>0</v>
      </c>
      <c r="AC332">
        <v>0</v>
      </c>
      <c r="AD332">
        <v>0</v>
      </c>
      <c r="AE332">
        <v>0</v>
      </c>
      <c r="AF332" t="s">
        <v>60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s">
        <v>58</v>
      </c>
      <c r="AM332" t="s">
        <v>58</v>
      </c>
      <c r="AN332" t="s">
        <v>71</v>
      </c>
      <c r="AO332">
        <v>14</v>
      </c>
      <c r="AP332">
        <v>17</v>
      </c>
      <c r="AQ332">
        <v>10</v>
      </c>
      <c r="AR332">
        <v>11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s">
        <v>61</v>
      </c>
      <c r="BA332" t="s">
        <v>57</v>
      </c>
      <c r="BB332" t="s">
        <v>55</v>
      </c>
      <c r="BC332" t="s">
        <v>58</v>
      </c>
      <c r="BD332" t="s">
        <v>58</v>
      </c>
    </row>
    <row r="333" spans="1:56" x14ac:dyDescent="0.25">
      <c r="A333" t="str" cm="1">
        <f t="array" ref="A333">_xlfn.XLOOKUP(RIGHT(M333,8),TeamIdentity!C:C,TeamIdentity!A:A,NONE)</f>
        <v>Buccaneers</v>
      </c>
      <c r="B333" t="str" cm="1">
        <f t="array" ref="B333">_xlfn.XLOOKUP(RIGHT(F333,8),TeamIdentity!C:C,TeamIdentity!A:A,NONE)</f>
        <v>Saints</v>
      </c>
      <c r="C333" t="s">
        <v>54</v>
      </c>
      <c r="D333" t="s">
        <v>54</v>
      </c>
      <c r="E333" t="s">
        <v>54</v>
      </c>
      <c r="F333" t="s">
        <v>537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531</v>
      </c>
      <c r="N333">
        <v>-1</v>
      </c>
      <c r="O333">
        <v>0</v>
      </c>
      <c r="P333">
        <v>-1</v>
      </c>
      <c r="Q333">
        <v>0</v>
      </c>
      <c r="R333" t="s">
        <v>70</v>
      </c>
      <c r="S333">
        <v>0</v>
      </c>
      <c r="T333">
        <v>0</v>
      </c>
      <c r="U333">
        <v>965</v>
      </c>
      <c r="V333" t="s">
        <v>57</v>
      </c>
      <c r="W333">
        <v>0</v>
      </c>
      <c r="X333">
        <v>0</v>
      </c>
      <c r="Y333">
        <v>0</v>
      </c>
      <c r="Z333">
        <v>0</v>
      </c>
      <c r="AA333" t="s">
        <v>67</v>
      </c>
      <c r="AB333">
        <v>0</v>
      </c>
      <c r="AC333">
        <v>0</v>
      </c>
      <c r="AD333">
        <v>0</v>
      </c>
      <c r="AE333">
        <v>0</v>
      </c>
      <c r="AF333" t="s">
        <v>60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s">
        <v>58</v>
      </c>
      <c r="AM333" t="s">
        <v>58</v>
      </c>
      <c r="AN333" t="s">
        <v>71</v>
      </c>
      <c r="AO333">
        <v>14</v>
      </c>
      <c r="AP333">
        <v>17</v>
      </c>
      <c r="AQ333">
        <v>11</v>
      </c>
      <c r="AR333">
        <v>11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s">
        <v>61</v>
      </c>
      <c r="BA333" t="s">
        <v>57</v>
      </c>
      <c r="BB333" t="s">
        <v>55</v>
      </c>
      <c r="BC333" t="s">
        <v>58</v>
      </c>
      <c r="BD333" t="s">
        <v>58</v>
      </c>
    </row>
    <row r="334" spans="1:56" x14ac:dyDescent="0.25">
      <c r="A334" t="str" cm="1">
        <f t="array" ref="A334">_xlfn.XLOOKUP(RIGHT(M334,8),TeamIdentity!C:C,TeamIdentity!A:A,NONE)</f>
        <v>49ers</v>
      </c>
      <c r="B334" t="str" cm="1">
        <f t="array" ref="B334">_xlfn.XLOOKUP(RIGHT(F334,8),TeamIdentity!C:C,TeamIdentity!A:A,NONE)</f>
        <v>49ers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>
        <v>-1</v>
      </c>
      <c r="O334">
        <v>0</v>
      </c>
      <c r="P334">
        <v>-1</v>
      </c>
      <c r="Q334">
        <v>0</v>
      </c>
      <c r="R334" t="s">
        <v>70</v>
      </c>
      <c r="S334">
        <v>0</v>
      </c>
      <c r="T334">
        <v>0</v>
      </c>
      <c r="U334">
        <v>785</v>
      </c>
      <c r="V334" t="s">
        <v>57</v>
      </c>
      <c r="W334">
        <v>0</v>
      </c>
      <c r="X334">
        <v>0</v>
      </c>
      <c r="Y334">
        <v>0</v>
      </c>
      <c r="Z334">
        <v>0</v>
      </c>
      <c r="AA334" t="s">
        <v>67</v>
      </c>
      <c r="AB334">
        <v>0</v>
      </c>
      <c r="AC334">
        <v>0</v>
      </c>
      <c r="AD334">
        <v>0</v>
      </c>
      <c r="AE334">
        <v>0</v>
      </c>
      <c r="AF334" t="s">
        <v>63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s">
        <v>58</v>
      </c>
      <c r="AM334" t="s">
        <v>58</v>
      </c>
      <c r="AN334" t="s">
        <v>64</v>
      </c>
      <c r="AO334">
        <v>14</v>
      </c>
      <c r="AP334">
        <v>18</v>
      </c>
      <c r="AQ334">
        <v>3</v>
      </c>
      <c r="AR334">
        <v>11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s">
        <v>61</v>
      </c>
      <c r="BA334" t="s">
        <v>57</v>
      </c>
      <c r="BB334" t="s">
        <v>55</v>
      </c>
      <c r="BC334" t="s">
        <v>58</v>
      </c>
      <c r="BD334" t="s">
        <v>58</v>
      </c>
    </row>
    <row r="335" spans="1:56" x14ac:dyDescent="0.25">
      <c r="A335" t="str" cm="1">
        <f t="array" ref="A335">_xlfn.XLOOKUP(RIGHT(M335,8),TeamIdentity!C:C,TeamIdentity!A:A,NONE)</f>
        <v>49ers</v>
      </c>
      <c r="B335" t="str" cm="1">
        <f t="array" ref="B335">_xlfn.XLOOKUP(RIGHT(F335,8),TeamIdentity!C:C,TeamIdentity!A:A,NONE)</f>
        <v>49ers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54</v>
      </c>
      <c r="N335">
        <v>-1</v>
      </c>
      <c r="O335">
        <v>0</v>
      </c>
      <c r="P335">
        <v>-1</v>
      </c>
      <c r="Q335">
        <v>0</v>
      </c>
      <c r="R335" t="s">
        <v>70</v>
      </c>
      <c r="S335">
        <v>0</v>
      </c>
      <c r="T335">
        <v>0</v>
      </c>
      <c r="U335">
        <v>1215</v>
      </c>
      <c r="V335" t="s">
        <v>57</v>
      </c>
      <c r="W335">
        <v>0</v>
      </c>
      <c r="X335">
        <v>0</v>
      </c>
      <c r="Y335">
        <v>0</v>
      </c>
      <c r="Z335">
        <v>0</v>
      </c>
      <c r="AA335" t="s">
        <v>67</v>
      </c>
      <c r="AB335">
        <v>0</v>
      </c>
      <c r="AC335">
        <v>0</v>
      </c>
      <c r="AD335">
        <v>0</v>
      </c>
      <c r="AE335">
        <v>0</v>
      </c>
      <c r="AF335" t="s">
        <v>63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s">
        <v>58</v>
      </c>
      <c r="AM335" t="s">
        <v>58</v>
      </c>
      <c r="AN335" t="s">
        <v>62</v>
      </c>
      <c r="AO335">
        <v>14</v>
      </c>
      <c r="AP335">
        <v>19</v>
      </c>
      <c r="AQ335">
        <v>3</v>
      </c>
      <c r="AR335">
        <v>11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s">
        <v>61</v>
      </c>
      <c r="BA335" t="s">
        <v>57</v>
      </c>
      <c r="BB335" t="s">
        <v>55</v>
      </c>
      <c r="BC335" t="s">
        <v>58</v>
      </c>
      <c r="BD335" t="s">
        <v>58</v>
      </c>
    </row>
    <row r="336" spans="1:56" x14ac:dyDescent="0.25">
      <c r="A336" t="str" cm="1">
        <f t="array" ref="A336">_xlfn.XLOOKUP(RIGHT(M336,8),TeamIdentity!C:C,TeamIdentity!A:A,NONE)</f>
        <v>Rams</v>
      </c>
      <c r="B336" t="str" cm="1">
        <f t="array" ref="B336">_xlfn.XLOOKUP(RIGHT(F336,8),TeamIdentity!C:C,TeamIdentity!A:A,NONE)</f>
        <v>49ers</v>
      </c>
      <c r="C336" t="s">
        <v>54</v>
      </c>
      <c r="D336" t="s">
        <v>54</v>
      </c>
      <c r="E336" t="s">
        <v>54</v>
      </c>
      <c r="F336" t="s">
        <v>543</v>
      </c>
      <c r="G336" t="s">
        <v>54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542</v>
      </c>
      <c r="N336">
        <v>-1</v>
      </c>
      <c r="O336">
        <v>0</v>
      </c>
      <c r="P336">
        <v>90289</v>
      </c>
      <c r="Q336">
        <v>0</v>
      </c>
      <c r="R336" t="s">
        <v>70</v>
      </c>
      <c r="S336">
        <v>0</v>
      </c>
      <c r="T336">
        <v>0</v>
      </c>
      <c r="U336">
        <v>975</v>
      </c>
      <c r="V336" t="s">
        <v>57</v>
      </c>
      <c r="W336">
        <v>0</v>
      </c>
      <c r="X336">
        <v>0</v>
      </c>
      <c r="Y336">
        <v>0</v>
      </c>
      <c r="Z336">
        <v>0</v>
      </c>
      <c r="AA336" t="s">
        <v>67</v>
      </c>
      <c r="AB336">
        <v>0</v>
      </c>
      <c r="AC336">
        <v>0</v>
      </c>
      <c r="AD336">
        <v>0</v>
      </c>
      <c r="AE336">
        <v>0</v>
      </c>
      <c r="AF336" t="s">
        <v>60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s">
        <v>58</v>
      </c>
      <c r="AM336" t="s">
        <v>58</v>
      </c>
      <c r="AN336" t="s">
        <v>66</v>
      </c>
      <c r="AO336">
        <v>14</v>
      </c>
      <c r="AP336">
        <v>0</v>
      </c>
      <c r="AQ336">
        <v>0</v>
      </c>
      <c r="AR336">
        <v>11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s">
        <v>61</v>
      </c>
      <c r="BA336" t="s">
        <v>57</v>
      </c>
      <c r="BB336" t="s">
        <v>55</v>
      </c>
      <c r="BC336" t="s">
        <v>58</v>
      </c>
      <c r="BD336" t="s">
        <v>58</v>
      </c>
    </row>
    <row r="337" spans="1:56" x14ac:dyDescent="0.25">
      <c r="A337" t="str" cm="1">
        <f t="array" ref="A337">_xlfn.XLOOKUP(RIGHT(M337,8),TeamIdentity!C:C,TeamIdentity!A:A,NONE)</f>
        <v>Buccaneers</v>
      </c>
      <c r="B337" t="str" cm="1">
        <f t="array" ref="B337">_xlfn.XLOOKUP(RIGHT(F337,8),TeamIdentity!C:C,TeamIdentity!A:A,NONE)</f>
        <v>49ers</v>
      </c>
      <c r="C337" t="s">
        <v>54</v>
      </c>
      <c r="D337" t="s">
        <v>54</v>
      </c>
      <c r="E337" t="s">
        <v>54</v>
      </c>
      <c r="F337" t="s">
        <v>543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531</v>
      </c>
      <c r="N337">
        <v>-1</v>
      </c>
      <c r="O337">
        <v>0</v>
      </c>
      <c r="P337">
        <v>90271</v>
      </c>
      <c r="Q337">
        <v>0</v>
      </c>
      <c r="R337" t="s">
        <v>70</v>
      </c>
      <c r="S337">
        <v>0</v>
      </c>
      <c r="T337">
        <v>0</v>
      </c>
      <c r="U337">
        <v>975</v>
      </c>
      <c r="V337" t="s">
        <v>57</v>
      </c>
      <c r="W337">
        <v>0</v>
      </c>
      <c r="X337">
        <v>0</v>
      </c>
      <c r="Y337">
        <v>0</v>
      </c>
      <c r="Z337">
        <v>0</v>
      </c>
      <c r="AA337" t="s">
        <v>67</v>
      </c>
      <c r="AB337">
        <v>0</v>
      </c>
      <c r="AC337">
        <v>0</v>
      </c>
      <c r="AD337">
        <v>0</v>
      </c>
      <c r="AE337">
        <v>0</v>
      </c>
      <c r="AF337" t="s">
        <v>60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s">
        <v>58</v>
      </c>
      <c r="AM337" t="s">
        <v>58</v>
      </c>
      <c r="AN337" t="s">
        <v>66</v>
      </c>
      <c r="AO337">
        <v>14</v>
      </c>
      <c r="AP337">
        <v>0</v>
      </c>
      <c r="AQ337">
        <v>0</v>
      </c>
      <c r="AR337">
        <v>11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1</v>
      </c>
      <c r="AY337" t="b">
        <v>0</v>
      </c>
      <c r="AZ337" t="s">
        <v>61</v>
      </c>
      <c r="BA337" t="s">
        <v>57</v>
      </c>
      <c r="BB337" t="s">
        <v>55</v>
      </c>
      <c r="BC337" t="s">
        <v>58</v>
      </c>
      <c r="BD337" t="s">
        <v>58</v>
      </c>
    </row>
    <row r="338" spans="1:56" x14ac:dyDescent="0.25">
      <c r="A338" t="str" cm="1">
        <f t="array" ref="A338">_xlfn.XLOOKUP(RIGHT(M338,8),TeamIdentity!C:C,TeamIdentity!A:A,NONE)</f>
        <v>Bears</v>
      </c>
      <c r="B338" t="str" cm="1">
        <f t="array" ref="B338">_xlfn.XLOOKUP(RIGHT(F338,8),TeamIdentity!C:C,TeamIdentity!A:A,NONE)</f>
        <v>49ers</v>
      </c>
      <c r="C338" t="s">
        <v>54</v>
      </c>
      <c r="D338" t="s">
        <v>54</v>
      </c>
      <c r="E338" t="s">
        <v>54</v>
      </c>
      <c r="F338" t="s">
        <v>543</v>
      </c>
      <c r="G338" t="s">
        <v>54</v>
      </c>
      <c r="H338" t="s">
        <v>54</v>
      </c>
      <c r="I338" t="s">
        <v>54</v>
      </c>
      <c r="J338" t="s">
        <v>54</v>
      </c>
      <c r="K338" t="s">
        <v>54</v>
      </c>
      <c r="L338" t="s">
        <v>54</v>
      </c>
      <c r="M338" t="s">
        <v>523</v>
      </c>
      <c r="N338">
        <v>-1</v>
      </c>
      <c r="O338">
        <v>0</v>
      </c>
      <c r="P338">
        <v>90266</v>
      </c>
      <c r="Q338">
        <v>0</v>
      </c>
      <c r="R338" t="s">
        <v>70</v>
      </c>
      <c r="S338">
        <v>0</v>
      </c>
      <c r="T338">
        <v>0</v>
      </c>
      <c r="U338">
        <v>975</v>
      </c>
      <c r="V338" t="s">
        <v>57</v>
      </c>
      <c r="W338">
        <v>0</v>
      </c>
      <c r="X338">
        <v>0</v>
      </c>
      <c r="Y338">
        <v>0</v>
      </c>
      <c r="Z338">
        <v>0</v>
      </c>
      <c r="AA338" t="s">
        <v>67</v>
      </c>
      <c r="AB338">
        <v>0</v>
      </c>
      <c r="AC338">
        <v>0</v>
      </c>
      <c r="AD338">
        <v>0</v>
      </c>
      <c r="AE338">
        <v>0</v>
      </c>
      <c r="AF338" t="s">
        <v>60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s">
        <v>58</v>
      </c>
      <c r="AM338" t="s">
        <v>58</v>
      </c>
      <c r="AN338" t="s">
        <v>66</v>
      </c>
      <c r="AO338">
        <v>14</v>
      </c>
      <c r="AP338">
        <v>0</v>
      </c>
      <c r="AQ338">
        <v>0</v>
      </c>
      <c r="AR338">
        <v>11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1</v>
      </c>
      <c r="AY338" t="b">
        <v>0</v>
      </c>
      <c r="AZ338" t="s">
        <v>61</v>
      </c>
      <c r="BA338" t="s">
        <v>57</v>
      </c>
      <c r="BB338" t="s">
        <v>55</v>
      </c>
      <c r="BC338" t="s">
        <v>58</v>
      </c>
      <c r="BD338" t="s">
        <v>58</v>
      </c>
    </row>
    <row r="339" spans="1:56" x14ac:dyDescent="0.25">
      <c r="A339" t="str" cm="1">
        <f t="array" ref="A339">_xlfn.XLOOKUP(RIGHT(M339,8),TeamIdentity!C:C,TeamIdentity!A:A,NONE)</f>
        <v>Chiefs</v>
      </c>
      <c r="B339" t="str" cm="1">
        <f t="array" ref="B339">_xlfn.XLOOKUP(RIGHT(F339,8),TeamIdentity!C:C,TeamIdentity!A:A,NONE)</f>
        <v>49ers</v>
      </c>
      <c r="C339" t="s">
        <v>54</v>
      </c>
      <c r="D339" t="s">
        <v>54</v>
      </c>
      <c r="E339" t="s">
        <v>54</v>
      </c>
      <c r="F339" t="s">
        <v>543</v>
      </c>
      <c r="G339" t="s">
        <v>54</v>
      </c>
      <c r="H339" t="s">
        <v>54</v>
      </c>
      <c r="I339" t="s">
        <v>54</v>
      </c>
      <c r="J339" t="s">
        <v>54</v>
      </c>
      <c r="K339" t="s">
        <v>54</v>
      </c>
      <c r="L339" t="s">
        <v>54</v>
      </c>
      <c r="M339" t="s">
        <v>535</v>
      </c>
      <c r="N339">
        <v>-1</v>
      </c>
      <c r="O339">
        <v>0</v>
      </c>
      <c r="P339">
        <v>90274</v>
      </c>
      <c r="Q339">
        <v>0</v>
      </c>
      <c r="R339" t="s">
        <v>70</v>
      </c>
      <c r="S339">
        <v>0</v>
      </c>
      <c r="T339">
        <v>0</v>
      </c>
      <c r="U339">
        <v>975</v>
      </c>
      <c r="V339" t="s">
        <v>57</v>
      </c>
      <c r="W339">
        <v>0</v>
      </c>
      <c r="X339">
        <v>0</v>
      </c>
      <c r="Y339">
        <v>0</v>
      </c>
      <c r="Z339">
        <v>0</v>
      </c>
      <c r="AA339" t="s">
        <v>67</v>
      </c>
      <c r="AB339">
        <v>0</v>
      </c>
      <c r="AC339">
        <v>0</v>
      </c>
      <c r="AD339">
        <v>0</v>
      </c>
      <c r="AE339">
        <v>0</v>
      </c>
      <c r="AF339" t="s">
        <v>60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s">
        <v>58</v>
      </c>
      <c r="AM339" t="s">
        <v>58</v>
      </c>
      <c r="AN339" t="s">
        <v>66</v>
      </c>
      <c r="AO339">
        <v>14</v>
      </c>
      <c r="AP339">
        <v>0</v>
      </c>
      <c r="AQ339">
        <v>0</v>
      </c>
      <c r="AR339">
        <v>11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1</v>
      </c>
      <c r="AY339" t="b">
        <v>0</v>
      </c>
      <c r="AZ339" t="s">
        <v>61</v>
      </c>
      <c r="BA339" t="s">
        <v>57</v>
      </c>
      <c r="BB339" t="s">
        <v>55</v>
      </c>
      <c r="BC339" t="s">
        <v>58</v>
      </c>
      <c r="BD339" t="s">
        <v>58</v>
      </c>
    </row>
    <row r="340" spans="1:56" x14ac:dyDescent="0.25">
      <c r="A340" t="str" cm="1">
        <f t="array" ref="A340">_xlfn.XLOOKUP(RIGHT(M340,8),TeamIdentity!C:C,TeamIdentity!A:A,NONE)</f>
        <v>Jaguars</v>
      </c>
      <c r="B340" t="str" cm="1">
        <f t="array" ref="B340">_xlfn.XLOOKUP(RIGHT(F340,8),TeamIdentity!C:C,TeamIdentity!A:A,NONE)</f>
        <v>49ers</v>
      </c>
      <c r="C340" t="s">
        <v>54</v>
      </c>
      <c r="D340" t="s">
        <v>54</v>
      </c>
      <c r="E340" t="s">
        <v>54</v>
      </c>
      <c r="F340" t="s">
        <v>543</v>
      </c>
      <c r="G340" t="s">
        <v>54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536</v>
      </c>
      <c r="N340">
        <v>-1</v>
      </c>
      <c r="O340">
        <v>0</v>
      </c>
      <c r="P340">
        <v>90282</v>
      </c>
      <c r="Q340">
        <v>0</v>
      </c>
      <c r="R340" t="s">
        <v>70</v>
      </c>
      <c r="S340">
        <v>0</v>
      </c>
      <c r="T340">
        <v>0</v>
      </c>
      <c r="U340">
        <v>975</v>
      </c>
      <c r="V340" t="s">
        <v>57</v>
      </c>
      <c r="W340">
        <v>0</v>
      </c>
      <c r="X340">
        <v>0</v>
      </c>
      <c r="Y340">
        <v>0</v>
      </c>
      <c r="Z340">
        <v>0</v>
      </c>
      <c r="AA340" t="s">
        <v>67</v>
      </c>
      <c r="AB340">
        <v>0</v>
      </c>
      <c r="AC340">
        <v>0</v>
      </c>
      <c r="AD340">
        <v>0</v>
      </c>
      <c r="AE340">
        <v>0</v>
      </c>
      <c r="AF340" t="s">
        <v>60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s">
        <v>58</v>
      </c>
      <c r="AM340" t="s">
        <v>58</v>
      </c>
      <c r="AN340" t="s">
        <v>66</v>
      </c>
      <c r="AO340">
        <v>14</v>
      </c>
      <c r="AP340">
        <v>0</v>
      </c>
      <c r="AQ340">
        <v>0</v>
      </c>
      <c r="AR340">
        <v>11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1</v>
      </c>
      <c r="AY340" t="b">
        <v>0</v>
      </c>
      <c r="AZ340" t="s">
        <v>61</v>
      </c>
      <c r="BA340" t="s">
        <v>57</v>
      </c>
      <c r="BB340" t="s">
        <v>55</v>
      </c>
      <c r="BC340" t="s">
        <v>58</v>
      </c>
      <c r="BD340" t="s">
        <v>58</v>
      </c>
    </row>
    <row r="341" spans="1:56" x14ac:dyDescent="0.25">
      <c r="A341" t="str" cm="1">
        <f t="array" ref="A341">_xlfn.XLOOKUP(RIGHT(M341,8),TeamIdentity!C:C,TeamIdentity!A:A,NONE)</f>
        <v>Bills</v>
      </c>
      <c r="B341" t="str" cm="1">
        <f t="array" ref="B341">_xlfn.XLOOKUP(RIGHT(F341,8),TeamIdentity!C:C,TeamIdentity!A:A,NONE)</f>
        <v>49ers</v>
      </c>
      <c r="C341" t="s">
        <v>54</v>
      </c>
      <c r="D341" t="s">
        <v>54</v>
      </c>
      <c r="E341" t="s">
        <v>54</v>
      </c>
      <c r="F341" t="s">
        <v>543</v>
      </c>
      <c r="G341" t="s">
        <v>54</v>
      </c>
      <c r="H341" t="s">
        <v>54</v>
      </c>
      <c r="I341" t="s">
        <v>54</v>
      </c>
      <c r="J341" t="s">
        <v>54</v>
      </c>
      <c r="K341" t="s">
        <v>54</v>
      </c>
      <c r="L341" t="s">
        <v>54</v>
      </c>
      <c r="M341" t="s">
        <v>524</v>
      </c>
      <c r="N341">
        <v>-1</v>
      </c>
      <c r="O341">
        <v>0</v>
      </c>
      <c r="P341">
        <v>90268</v>
      </c>
      <c r="Q341">
        <v>0</v>
      </c>
      <c r="R341" t="s">
        <v>70</v>
      </c>
      <c r="S341">
        <v>0</v>
      </c>
      <c r="T341">
        <v>0</v>
      </c>
      <c r="U341">
        <v>975</v>
      </c>
      <c r="V341" t="s">
        <v>57</v>
      </c>
      <c r="W341">
        <v>0</v>
      </c>
      <c r="X341">
        <v>0</v>
      </c>
      <c r="Y341">
        <v>0</v>
      </c>
      <c r="Z341">
        <v>0</v>
      </c>
      <c r="AA341" t="s">
        <v>67</v>
      </c>
      <c r="AB341">
        <v>0</v>
      </c>
      <c r="AC341">
        <v>0</v>
      </c>
      <c r="AD341">
        <v>0</v>
      </c>
      <c r="AE341">
        <v>0</v>
      </c>
      <c r="AF341" t="s">
        <v>60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s">
        <v>58</v>
      </c>
      <c r="AM341" t="s">
        <v>58</v>
      </c>
      <c r="AN341" t="s">
        <v>66</v>
      </c>
      <c r="AO341">
        <v>14</v>
      </c>
      <c r="AP341">
        <v>0</v>
      </c>
      <c r="AQ341">
        <v>0</v>
      </c>
      <c r="AR341">
        <v>11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1</v>
      </c>
      <c r="AY341" t="b">
        <v>0</v>
      </c>
      <c r="AZ341" t="s">
        <v>61</v>
      </c>
      <c r="BA341" t="s">
        <v>57</v>
      </c>
      <c r="BB341" t="s">
        <v>55</v>
      </c>
      <c r="BC341" t="s">
        <v>58</v>
      </c>
      <c r="BD341" t="s">
        <v>58</v>
      </c>
    </row>
    <row r="342" spans="1:56" x14ac:dyDescent="0.25">
      <c r="A342" t="str" cm="1">
        <f t="array" ref="A342">_xlfn.XLOOKUP(RIGHT(M342,8),TeamIdentity!C:C,TeamIdentity!A:A,NONE)</f>
        <v>Jets</v>
      </c>
      <c r="B342" t="str" cm="1">
        <f t="array" ref="B342">_xlfn.XLOOKUP(RIGHT(F342,8),TeamIdentity!C:C,TeamIdentity!A:A,NONE)</f>
        <v>49ers</v>
      </c>
      <c r="C342" t="s">
        <v>54</v>
      </c>
      <c r="D342" t="s">
        <v>54</v>
      </c>
      <c r="E342" t="s">
        <v>54</v>
      </c>
      <c r="F342" t="s">
        <v>543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522</v>
      </c>
      <c r="N342">
        <v>-1</v>
      </c>
      <c r="O342">
        <v>0</v>
      </c>
      <c r="P342">
        <v>90283</v>
      </c>
      <c r="Q342">
        <v>0</v>
      </c>
      <c r="R342" t="s">
        <v>70</v>
      </c>
      <c r="S342">
        <v>0</v>
      </c>
      <c r="T342">
        <v>0</v>
      </c>
      <c r="U342">
        <v>975</v>
      </c>
      <c r="V342" t="s">
        <v>57</v>
      </c>
      <c r="W342">
        <v>0</v>
      </c>
      <c r="X342">
        <v>0</v>
      </c>
      <c r="Y342">
        <v>0</v>
      </c>
      <c r="Z342">
        <v>0</v>
      </c>
      <c r="AA342" t="s">
        <v>67</v>
      </c>
      <c r="AB342">
        <v>0</v>
      </c>
      <c r="AC342">
        <v>0</v>
      </c>
      <c r="AD342">
        <v>0</v>
      </c>
      <c r="AE342">
        <v>0</v>
      </c>
      <c r="AF342" t="s">
        <v>60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s">
        <v>58</v>
      </c>
      <c r="AM342" t="s">
        <v>58</v>
      </c>
      <c r="AN342" t="s">
        <v>66</v>
      </c>
      <c r="AO342">
        <v>14</v>
      </c>
      <c r="AP342">
        <v>0</v>
      </c>
      <c r="AQ342">
        <v>0</v>
      </c>
      <c r="AR342">
        <v>11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1</v>
      </c>
      <c r="AY342" t="b">
        <v>0</v>
      </c>
      <c r="AZ342" t="s">
        <v>61</v>
      </c>
      <c r="BA342" t="s">
        <v>57</v>
      </c>
      <c r="BB342" t="s">
        <v>55</v>
      </c>
      <c r="BC342" t="s">
        <v>58</v>
      </c>
      <c r="BD342" t="s">
        <v>58</v>
      </c>
    </row>
    <row r="343" spans="1:56" x14ac:dyDescent="0.25">
      <c r="A343" t="str" cm="1">
        <f t="array" ref="A343">_xlfn.XLOOKUP(RIGHT(M343,8),TeamIdentity!C:C,TeamIdentity!A:A,NONE)</f>
        <v>Browns</v>
      </c>
      <c r="B343" t="str" cm="1">
        <f t="array" ref="B343">_xlfn.XLOOKUP(RIGHT(F343,8),TeamIdentity!C:C,TeamIdentity!A:A,NONE)</f>
        <v>49ers</v>
      </c>
      <c r="C343" t="s">
        <v>54</v>
      </c>
      <c r="D343" t="s">
        <v>54</v>
      </c>
      <c r="E343" t="s">
        <v>54</v>
      </c>
      <c r="F343" t="s">
        <v>543</v>
      </c>
      <c r="G343" t="s">
        <v>54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530</v>
      </c>
      <c r="N343">
        <v>-1</v>
      </c>
      <c r="O343">
        <v>0</v>
      </c>
      <c r="P343">
        <v>90270</v>
      </c>
      <c r="Q343">
        <v>0</v>
      </c>
      <c r="R343" t="s">
        <v>70</v>
      </c>
      <c r="S343">
        <v>0</v>
      </c>
      <c r="T343">
        <v>0</v>
      </c>
      <c r="U343">
        <v>975</v>
      </c>
      <c r="V343" t="s">
        <v>57</v>
      </c>
      <c r="W343">
        <v>0</v>
      </c>
      <c r="X343">
        <v>0</v>
      </c>
      <c r="Y343">
        <v>0</v>
      </c>
      <c r="Z343">
        <v>0</v>
      </c>
      <c r="AA343" t="s">
        <v>67</v>
      </c>
      <c r="AB343">
        <v>0</v>
      </c>
      <c r="AC343">
        <v>0</v>
      </c>
      <c r="AD343">
        <v>0</v>
      </c>
      <c r="AE343">
        <v>0</v>
      </c>
      <c r="AF343" t="s">
        <v>60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s">
        <v>58</v>
      </c>
      <c r="AM343" t="s">
        <v>58</v>
      </c>
      <c r="AN343" t="s">
        <v>66</v>
      </c>
      <c r="AO343">
        <v>14</v>
      </c>
      <c r="AP343">
        <v>0</v>
      </c>
      <c r="AQ343">
        <v>0</v>
      </c>
      <c r="AR343">
        <v>11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1</v>
      </c>
      <c r="AY343" t="b">
        <v>0</v>
      </c>
      <c r="AZ343" t="s">
        <v>61</v>
      </c>
      <c r="BA343" t="s">
        <v>57</v>
      </c>
      <c r="BB343" t="s">
        <v>55</v>
      </c>
      <c r="BC343" t="s">
        <v>58</v>
      </c>
      <c r="BD343" t="s">
        <v>58</v>
      </c>
    </row>
    <row r="344" spans="1:56" x14ac:dyDescent="0.25">
      <c r="A344" t="str" cm="1">
        <f t="array" ref="A344">_xlfn.XLOOKUP(RIGHT(M344,8),TeamIdentity!C:C,TeamIdentity!A:A,NONE)</f>
        <v>Dolphins</v>
      </c>
      <c r="B344" t="str" cm="1">
        <f t="array" ref="B344">_xlfn.XLOOKUP(RIGHT(F344,8),TeamIdentity!C:C,TeamIdentity!A:A,NONE)</f>
        <v>49ers</v>
      </c>
      <c r="C344" t="s">
        <v>54</v>
      </c>
      <c r="D344" t="s">
        <v>54</v>
      </c>
      <c r="E344" t="s">
        <v>54</v>
      </c>
      <c r="F344" t="s">
        <v>543</v>
      </c>
      <c r="G344" t="s">
        <v>54</v>
      </c>
      <c r="H344" t="s">
        <v>54</v>
      </c>
      <c r="I344" t="s">
        <v>54</v>
      </c>
      <c r="J344" t="s">
        <v>54</v>
      </c>
      <c r="K344" t="s">
        <v>54</v>
      </c>
      <c r="L344" t="s">
        <v>54</v>
      </c>
      <c r="M344" t="s">
        <v>516</v>
      </c>
      <c r="N344">
        <v>-1</v>
      </c>
      <c r="O344">
        <v>0</v>
      </c>
      <c r="P344">
        <v>90277</v>
      </c>
      <c r="Q344">
        <v>0</v>
      </c>
      <c r="R344" t="s">
        <v>70</v>
      </c>
      <c r="S344">
        <v>0</v>
      </c>
      <c r="T344">
        <v>0</v>
      </c>
      <c r="U344">
        <v>975</v>
      </c>
      <c r="V344" t="s">
        <v>57</v>
      </c>
      <c r="W344">
        <v>0</v>
      </c>
      <c r="X344">
        <v>0</v>
      </c>
      <c r="Y344">
        <v>0</v>
      </c>
      <c r="Z344">
        <v>0</v>
      </c>
      <c r="AA344" t="s">
        <v>67</v>
      </c>
      <c r="AB344">
        <v>0</v>
      </c>
      <c r="AC344">
        <v>0</v>
      </c>
      <c r="AD344">
        <v>0</v>
      </c>
      <c r="AE344">
        <v>0</v>
      </c>
      <c r="AF344" t="s">
        <v>60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s">
        <v>58</v>
      </c>
      <c r="AM344" t="s">
        <v>58</v>
      </c>
      <c r="AN344" t="s">
        <v>66</v>
      </c>
      <c r="AO344">
        <v>14</v>
      </c>
      <c r="AP344">
        <v>0</v>
      </c>
      <c r="AQ344">
        <v>0</v>
      </c>
      <c r="AR344">
        <v>11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b">
        <v>0</v>
      </c>
      <c r="AZ344" t="s">
        <v>61</v>
      </c>
      <c r="BA344" t="s">
        <v>57</v>
      </c>
      <c r="BB344" t="s">
        <v>55</v>
      </c>
      <c r="BC344" t="s">
        <v>58</v>
      </c>
      <c r="BD344" t="s">
        <v>58</v>
      </c>
    </row>
    <row r="345" spans="1:56" x14ac:dyDescent="0.25">
      <c r="A345" t="str" cm="1">
        <f t="array" ref="A345">_xlfn.XLOOKUP(RIGHT(M345,8),TeamIdentity!C:C,TeamIdentity!A:A,NONE)</f>
        <v>Cowboys</v>
      </c>
      <c r="B345" t="str" cm="1">
        <f t="array" ref="B345">_xlfn.XLOOKUP(RIGHT(F345,8),TeamIdentity!C:C,TeamIdentity!A:A,NONE)</f>
        <v>49ers</v>
      </c>
      <c r="C345" t="s">
        <v>54</v>
      </c>
      <c r="D345" t="s">
        <v>54</v>
      </c>
      <c r="E345" t="s">
        <v>54</v>
      </c>
      <c r="F345" t="s">
        <v>543</v>
      </c>
      <c r="G345" t="s">
        <v>54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541</v>
      </c>
      <c r="N345">
        <v>-1</v>
      </c>
      <c r="O345">
        <v>0</v>
      </c>
      <c r="P345">
        <v>90276</v>
      </c>
      <c r="Q345">
        <v>0</v>
      </c>
      <c r="R345" t="s">
        <v>70</v>
      </c>
      <c r="S345">
        <v>0</v>
      </c>
      <c r="T345">
        <v>0</v>
      </c>
      <c r="U345">
        <v>975</v>
      </c>
      <c r="V345" t="s">
        <v>57</v>
      </c>
      <c r="W345">
        <v>0</v>
      </c>
      <c r="X345">
        <v>0</v>
      </c>
      <c r="Y345">
        <v>0</v>
      </c>
      <c r="Z345">
        <v>0</v>
      </c>
      <c r="AA345" t="s">
        <v>67</v>
      </c>
      <c r="AB345">
        <v>0</v>
      </c>
      <c r="AC345">
        <v>0</v>
      </c>
      <c r="AD345">
        <v>0</v>
      </c>
      <c r="AE345">
        <v>0</v>
      </c>
      <c r="AF345" t="s">
        <v>60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s">
        <v>58</v>
      </c>
      <c r="AM345" t="s">
        <v>58</v>
      </c>
      <c r="AN345" t="s">
        <v>66</v>
      </c>
      <c r="AO345">
        <v>14</v>
      </c>
      <c r="AP345">
        <v>0</v>
      </c>
      <c r="AQ345">
        <v>0</v>
      </c>
      <c r="AR345">
        <v>11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1</v>
      </c>
      <c r="AY345" t="b">
        <v>0</v>
      </c>
      <c r="AZ345" t="s">
        <v>61</v>
      </c>
      <c r="BA345" t="s">
        <v>57</v>
      </c>
      <c r="BB345" t="s">
        <v>55</v>
      </c>
      <c r="BC345" t="s">
        <v>58</v>
      </c>
      <c r="BD345" t="s">
        <v>58</v>
      </c>
    </row>
    <row r="346" spans="1:56" x14ac:dyDescent="0.25">
      <c r="A346" t="str" cm="1">
        <f t="array" ref="A346">_xlfn.XLOOKUP(RIGHT(M346,8),TeamIdentity!C:C,TeamIdentity!A:A,NONE)</f>
        <v>Giants</v>
      </c>
      <c r="B346" t="str" cm="1">
        <f t="array" ref="B346">_xlfn.XLOOKUP(RIGHT(F346,8),TeamIdentity!C:C,TeamIdentity!A:A,NONE)</f>
        <v>49ers</v>
      </c>
      <c r="C346" t="s">
        <v>54</v>
      </c>
      <c r="D346" t="s">
        <v>54</v>
      </c>
      <c r="E346" t="s">
        <v>54</v>
      </c>
      <c r="F346" t="s">
        <v>543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514</v>
      </c>
      <c r="N346">
        <v>-1</v>
      </c>
      <c r="O346">
        <v>0</v>
      </c>
      <c r="P346">
        <v>90281</v>
      </c>
      <c r="Q346">
        <v>0</v>
      </c>
      <c r="R346" t="s">
        <v>70</v>
      </c>
      <c r="S346">
        <v>0</v>
      </c>
      <c r="T346">
        <v>0</v>
      </c>
      <c r="U346">
        <v>975</v>
      </c>
      <c r="V346" t="s">
        <v>57</v>
      </c>
      <c r="W346">
        <v>0</v>
      </c>
      <c r="X346">
        <v>0</v>
      </c>
      <c r="Y346">
        <v>0</v>
      </c>
      <c r="Z346">
        <v>0</v>
      </c>
      <c r="AA346" t="s">
        <v>67</v>
      </c>
      <c r="AB346">
        <v>0</v>
      </c>
      <c r="AC346">
        <v>0</v>
      </c>
      <c r="AD346">
        <v>0</v>
      </c>
      <c r="AE346">
        <v>0</v>
      </c>
      <c r="AF346" t="s">
        <v>60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s">
        <v>58</v>
      </c>
      <c r="AM346" t="s">
        <v>58</v>
      </c>
      <c r="AN346" t="s">
        <v>66</v>
      </c>
      <c r="AO346">
        <v>14</v>
      </c>
      <c r="AP346">
        <v>0</v>
      </c>
      <c r="AQ346">
        <v>0</v>
      </c>
      <c r="AR346">
        <v>11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s">
        <v>61</v>
      </c>
      <c r="BA346" t="s">
        <v>57</v>
      </c>
      <c r="BB346" t="s">
        <v>55</v>
      </c>
      <c r="BC346" t="s">
        <v>58</v>
      </c>
      <c r="BD346" t="s">
        <v>58</v>
      </c>
    </row>
    <row r="347" spans="1:56" x14ac:dyDescent="0.25">
      <c r="A347" t="str" cm="1">
        <f t="array" ref="A347">_xlfn.XLOOKUP(RIGHT(M347,8),TeamIdentity!C:C,TeamIdentity!A:A,NONE)</f>
        <v>Chargers</v>
      </c>
      <c r="B347" t="str" cm="1">
        <f t="array" ref="B347">_xlfn.XLOOKUP(RIGHT(F347,8),TeamIdentity!C:C,TeamIdentity!A:A,NONE)</f>
        <v>49ers</v>
      </c>
      <c r="C347" t="s">
        <v>54</v>
      </c>
      <c r="D347" t="s">
        <v>54</v>
      </c>
      <c r="E347" t="s">
        <v>54</v>
      </c>
      <c r="F347" t="s">
        <v>543</v>
      </c>
      <c r="G347" t="s">
        <v>54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528</v>
      </c>
      <c r="N347">
        <v>-1</v>
      </c>
      <c r="O347">
        <v>0</v>
      </c>
      <c r="P347">
        <v>90273</v>
      </c>
      <c r="Q347">
        <v>0</v>
      </c>
      <c r="R347" t="s">
        <v>70</v>
      </c>
      <c r="S347">
        <v>0</v>
      </c>
      <c r="T347">
        <v>0</v>
      </c>
      <c r="U347">
        <v>975</v>
      </c>
      <c r="V347" t="s">
        <v>57</v>
      </c>
      <c r="W347">
        <v>0</v>
      </c>
      <c r="X347">
        <v>0</v>
      </c>
      <c r="Y347">
        <v>0</v>
      </c>
      <c r="Z347">
        <v>0</v>
      </c>
      <c r="AA347" t="s">
        <v>67</v>
      </c>
      <c r="AB347">
        <v>0</v>
      </c>
      <c r="AC347">
        <v>0</v>
      </c>
      <c r="AD347">
        <v>0</v>
      </c>
      <c r="AE347">
        <v>0</v>
      </c>
      <c r="AF347" t="s">
        <v>60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s">
        <v>58</v>
      </c>
      <c r="AM347" t="s">
        <v>58</v>
      </c>
      <c r="AN347" t="s">
        <v>66</v>
      </c>
      <c r="AO347">
        <v>14</v>
      </c>
      <c r="AP347">
        <v>0</v>
      </c>
      <c r="AQ347">
        <v>0</v>
      </c>
      <c r="AR347">
        <v>11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1</v>
      </c>
      <c r="AY347" t="b">
        <v>0</v>
      </c>
      <c r="AZ347" t="s">
        <v>61</v>
      </c>
      <c r="BA347" t="s">
        <v>57</v>
      </c>
      <c r="BB347" t="s">
        <v>55</v>
      </c>
      <c r="BC347" t="s">
        <v>58</v>
      </c>
      <c r="BD347" t="s">
        <v>58</v>
      </c>
    </row>
    <row r="348" spans="1:56" x14ac:dyDescent="0.25">
      <c r="A348" t="str" cm="1">
        <f t="array" ref="A348">_xlfn.XLOOKUP(RIGHT(M348,8),TeamIdentity!C:C,TeamIdentity!A:A,NONE)</f>
        <v>Colts</v>
      </c>
      <c r="B348" t="str" cm="1">
        <f t="array" ref="B348">_xlfn.XLOOKUP(RIGHT(F348,8),TeamIdentity!C:C,TeamIdentity!A:A,NONE)</f>
        <v>49ers</v>
      </c>
      <c r="C348" t="s">
        <v>54</v>
      </c>
      <c r="D348" t="s">
        <v>54</v>
      </c>
      <c r="E348" t="s">
        <v>54</v>
      </c>
      <c r="F348" t="s">
        <v>543</v>
      </c>
      <c r="G348" t="s">
        <v>54</v>
      </c>
      <c r="H348" t="s">
        <v>54</v>
      </c>
      <c r="I348" t="s">
        <v>54</v>
      </c>
      <c r="J348" t="s">
        <v>54</v>
      </c>
      <c r="K348" t="s">
        <v>54</v>
      </c>
      <c r="L348" t="s">
        <v>54</v>
      </c>
      <c r="M348" t="s">
        <v>540</v>
      </c>
      <c r="N348">
        <v>-1</v>
      </c>
      <c r="O348">
        <v>0</v>
      </c>
      <c r="P348">
        <v>90275</v>
      </c>
      <c r="Q348">
        <v>0</v>
      </c>
      <c r="R348" t="s">
        <v>70</v>
      </c>
      <c r="S348">
        <v>0</v>
      </c>
      <c r="T348">
        <v>0</v>
      </c>
      <c r="U348">
        <v>975</v>
      </c>
      <c r="V348" t="s">
        <v>57</v>
      </c>
      <c r="W348">
        <v>0</v>
      </c>
      <c r="X348">
        <v>0</v>
      </c>
      <c r="Y348">
        <v>0</v>
      </c>
      <c r="Z348">
        <v>0</v>
      </c>
      <c r="AA348" t="s">
        <v>67</v>
      </c>
      <c r="AB348">
        <v>0</v>
      </c>
      <c r="AC348">
        <v>0</v>
      </c>
      <c r="AD348">
        <v>0</v>
      </c>
      <c r="AE348">
        <v>0</v>
      </c>
      <c r="AF348" t="s">
        <v>60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s">
        <v>58</v>
      </c>
      <c r="AM348" t="s">
        <v>58</v>
      </c>
      <c r="AN348" t="s">
        <v>66</v>
      </c>
      <c r="AO348">
        <v>14</v>
      </c>
      <c r="AP348">
        <v>0</v>
      </c>
      <c r="AQ348">
        <v>0</v>
      </c>
      <c r="AR348">
        <v>11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1</v>
      </c>
      <c r="AY348" t="b">
        <v>0</v>
      </c>
      <c r="AZ348" t="s">
        <v>61</v>
      </c>
      <c r="BA348" t="s">
        <v>57</v>
      </c>
      <c r="BB348" t="s">
        <v>55</v>
      </c>
      <c r="BC348" t="s">
        <v>58</v>
      </c>
      <c r="BD348" t="s">
        <v>58</v>
      </c>
    </row>
    <row r="349" spans="1:56" x14ac:dyDescent="0.25">
      <c r="A349" t="str" cm="1">
        <f t="array" ref="A349">_xlfn.XLOOKUP(RIGHT(M349,8),TeamIdentity!C:C,TeamIdentity!A:A,NONE)</f>
        <v>Bengals</v>
      </c>
      <c r="B349" t="str" cm="1">
        <f t="array" ref="B349">_xlfn.XLOOKUP(RIGHT(F349,8),TeamIdentity!C:C,TeamIdentity!A:A,NONE)</f>
        <v>49ers</v>
      </c>
      <c r="C349" t="s">
        <v>54</v>
      </c>
      <c r="D349" t="s">
        <v>54</v>
      </c>
      <c r="E349" t="s">
        <v>54</v>
      </c>
      <c r="F349" t="s">
        <v>543</v>
      </c>
      <c r="G349" t="s">
        <v>54</v>
      </c>
      <c r="H349" t="s">
        <v>54</v>
      </c>
      <c r="I349" t="s">
        <v>54</v>
      </c>
      <c r="J349" t="s">
        <v>54</v>
      </c>
      <c r="K349" t="s">
        <v>54</v>
      </c>
      <c r="L349" t="s">
        <v>54</v>
      </c>
      <c r="M349" t="s">
        <v>532</v>
      </c>
      <c r="N349">
        <v>-1</v>
      </c>
      <c r="O349">
        <v>0</v>
      </c>
      <c r="P349">
        <v>90267</v>
      </c>
      <c r="Q349">
        <v>0</v>
      </c>
      <c r="R349" t="s">
        <v>70</v>
      </c>
      <c r="S349">
        <v>0</v>
      </c>
      <c r="T349">
        <v>0</v>
      </c>
      <c r="U349">
        <v>975</v>
      </c>
      <c r="V349" t="s">
        <v>57</v>
      </c>
      <c r="W349">
        <v>0</v>
      </c>
      <c r="X349">
        <v>0</v>
      </c>
      <c r="Y349">
        <v>0</v>
      </c>
      <c r="Z349">
        <v>0</v>
      </c>
      <c r="AA349" t="s">
        <v>67</v>
      </c>
      <c r="AB349">
        <v>0</v>
      </c>
      <c r="AC349">
        <v>0</v>
      </c>
      <c r="AD349">
        <v>0</v>
      </c>
      <c r="AE349">
        <v>0</v>
      </c>
      <c r="AF349" t="s">
        <v>60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s">
        <v>58</v>
      </c>
      <c r="AM349" t="s">
        <v>58</v>
      </c>
      <c r="AN349" t="s">
        <v>66</v>
      </c>
      <c r="AO349">
        <v>14</v>
      </c>
      <c r="AP349">
        <v>0</v>
      </c>
      <c r="AQ349">
        <v>0</v>
      </c>
      <c r="AR349">
        <v>11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1</v>
      </c>
      <c r="AY349" t="b">
        <v>0</v>
      </c>
      <c r="AZ349" t="s">
        <v>61</v>
      </c>
      <c r="BA349" t="s">
        <v>57</v>
      </c>
      <c r="BB349" t="s">
        <v>55</v>
      </c>
      <c r="BC349" t="s">
        <v>58</v>
      </c>
      <c r="BD349" t="s">
        <v>58</v>
      </c>
    </row>
    <row r="350" spans="1:56" x14ac:dyDescent="0.25">
      <c r="A350" t="str" cm="1">
        <f t="array" ref="A350">_xlfn.XLOOKUP(RIGHT(M350,8),TeamIdentity!C:C,TeamIdentity!A:A,NONE)</f>
        <v>Panthers</v>
      </c>
      <c r="B350" t="str" cm="1">
        <f t="array" ref="B350">_xlfn.XLOOKUP(RIGHT(F350,8),TeamIdentity!C:C,TeamIdentity!A:A,NONE)</f>
        <v>49ers</v>
      </c>
      <c r="C350" t="s">
        <v>54</v>
      </c>
      <c r="D350" t="s">
        <v>54</v>
      </c>
      <c r="E350" t="s">
        <v>54</v>
      </c>
      <c r="F350" t="s">
        <v>543</v>
      </c>
      <c r="G350" t="s">
        <v>54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511</v>
      </c>
      <c r="N350">
        <v>-1</v>
      </c>
      <c r="O350">
        <v>0</v>
      </c>
      <c r="P350">
        <v>90286</v>
      </c>
      <c r="Q350">
        <v>0</v>
      </c>
      <c r="R350" t="s">
        <v>70</v>
      </c>
      <c r="S350">
        <v>0</v>
      </c>
      <c r="T350">
        <v>0</v>
      </c>
      <c r="U350">
        <v>975</v>
      </c>
      <c r="V350" t="s">
        <v>57</v>
      </c>
      <c r="W350">
        <v>0</v>
      </c>
      <c r="X350">
        <v>0</v>
      </c>
      <c r="Y350">
        <v>0</v>
      </c>
      <c r="Z350">
        <v>0</v>
      </c>
      <c r="AA350" t="s">
        <v>67</v>
      </c>
      <c r="AB350">
        <v>0</v>
      </c>
      <c r="AC350">
        <v>0</v>
      </c>
      <c r="AD350">
        <v>0</v>
      </c>
      <c r="AE350">
        <v>0</v>
      </c>
      <c r="AF350" t="s">
        <v>60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s">
        <v>58</v>
      </c>
      <c r="AM350" t="s">
        <v>58</v>
      </c>
      <c r="AN350" t="s">
        <v>66</v>
      </c>
      <c r="AO350">
        <v>14</v>
      </c>
      <c r="AP350">
        <v>0</v>
      </c>
      <c r="AQ350">
        <v>0</v>
      </c>
      <c r="AR350">
        <v>11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1</v>
      </c>
      <c r="AY350" t="b">
        <v>0</v>
      </c>
      <c r="AZ350" t="s">
        <v>61</v>
      </c>
      <c r="BA350" t="s">
        <v>57</v>
      </c>
      <c r="BB350" t="s">
        <v>55</v>
      </c>
      <c r="BC350" t="s">
        <v>58</v>
      </c>
      <c r="BD350" t="s">
        <v>58</v>
      </c>
    </row>
    <row r="351" spans="1:56" x14ac:dyDescent="0.25">
      <c r="A351" t="str" cm="1">
        <f t="array" ref="A351">_xlfn.XLOOKUP(RIGHT(M351,8),TeamIdentity!C:C,TeamIdentity!A:A,NONE)</f>
        <v>Falcons</v>
      </c>
      <c r="B351" t="str" cm="1">
        <f t="array" ref="B351">_xlfn.XLOOKUP(RIGHT(F351,8),TeamIdentity!C:C,TeamIdentity!A:A,NONE)</f>
        <v>49ers</v>
      </c>
      <c r="C351" t="s">
        <v>54</v>
      </c>
      <c r="D351" t="s">
        <v>54</v>
      </c>
      <c r="E351" t="s">
        <v>54</v>
      </c>
      <c r="F351" t="s">
        <v>543</v>
      </c>
      <c r="G351" t="s">
        <v>54</v>
      </c>
      <c r="H351" t="s">
        <v>54</v>
      </c>
      <c r="I351" t="s">
        <v>54</v>
      </c>
      <c r="J351" t="s">
        <v>54</v>
      </c>
      <c r="K351" t="s">
        <v>54</v>
      </c>
      <c r="L351" t="s">
        <v>54</v>
      </c>
      <c r="M351" t="s">
        <v>515</v>
      </c>
      <c r="N351">
        <v>-1</v>
      </c>
      <c r="O351">
        <v>0</v>
      </c>
      <c r="P351">
        <v>90279</v>
      </c>
      <c r="Q351">
        <v>0</v>
      </c>
      <c r="R351" t="s">
        <v>70</v>
      </c>
      <c r="S351">
        <v>0</v>
      </c>
      <c r="T351">
        <v>0</v>
      </c>
      <c r="U351">
        <v>975</v>
      </c>
      <c r="V351" t="s">
        <v>57</v>
      </c>
      <c r="W351">
        <v>0</v>
      </c>
      <c r="X351">
        <v>0</v>
      </c>
      <c r="Y351">
        <v>0</v>
      </c>
      <c r="Z351">
        <v>0</v>
      </c>
      <c r="AA351" t="s">
        <v>67</v>
      </c>
      <c r="AB351">
        <v>0</v>
      </c>
      <c r="AC351">
        <v>0</v>
      </c>
      <c r="AD351">
        <v>0</v>
      </c>
      <c r="AE351">
        <v>0</v>
      </c>
      <c r="AF351" t="s">
        <v>60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s">
        <v>58</v>
      </c>
      <c r="AM351" t="s">
        <v>58</v>
      </c>
      <c r="AN351" t="s">
        <v>66</v>
      </c>
      <c r="AO351">
        <v>14</v>
      </c>
      <c r="AP351">
        <v>0</v>
      </c>
      <c r="AQ351">
        <v>0</v>
      </c>
      <c r="AR351">
        <v>11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1</v>
      </c>
      <c r="AY351" t="b">
        <v>0</v>
      </c>
      <c r="AZ351" t="s">
        <v>61</v>
      </c>
      <c r="BA351" t="s">
        <v>57</v>
      </c>
      <c r="BB351" t="s">
        <v>55</v>
      </c>
      <c r="BC351" t="s">
        <v>58</v>
      </c>
      <c r="BD351" t="s">
        <v>58</v>
      </c>
    </row>
    <row r="352" spans="1:56" x14ac:dyDescent="0.25">
      <c r="A352" t="str" cm="1">
        <f t="array" ref="A352">_xlfn.XLOOKUP(RIGHT(M352,8),TeamIdentity!C:C,TeamIdentity!A:A,NONE)</f>
        <v>Vikings</v>
      </c>
      <c r="B352" t="str" cm="1">
        <f t="array" ref="B352">_xlfn.XLOOKUP(RIGHT(F352,8),TeamIdentity!C:C,TeamIdentity!A:A,NONE)</f>
        <v>49ers</v>
      </c>
      <c r="C352" t="s">
        <v>54</v>
      </c>
      <c r="D352" t="s">
        <v>54</v>
      </c>
      <c r="E352" t="s">
        <v>54</v>
      </c>
      <c r="F352" t="s">
        <v>543</v>
      </c>
      <c r="G352" t="s">
        <v>54</v>
      </c>
      <c r="H352" t="s">
        <v>54</v>
      </c>
      <c r="I352" t="s">
        <v>54</v>
      </c>
      <c r="J352" t="s">
        <v>54</v>
      </c>
      <c r="K352" t="s">
        <v>54</v>
      </c>
      <c r="L352" t="s">
        <v>54</v>
      </c>
      <c r="M352" t="s">
        <v>526</v>
      </c>
      <c r="N352">
        <v>-1</v>
      </c>
      <c r="O352">
        <v>0</v>
      </c>
      <c r="P352">
        <v>90296</v>
      </c>
      <c r="Q352">
        <v>0</v>
      </c>
      <c r="R352" t="s">
        <v>70</v>
      </c>
      <c r="S352">
        <v>0</v>
      </c>
      <c r="T352">
        <v>0</v>
      </c>
      <c r="U352">
        <v>975</v>
      </c>
      <c r="V352" t="s">
        <v>57</v>
      </c>
      <c r="W352">
        <v>0</v>
      </c>
      <c r="X352">
        <v>0</v>
      </c>
      <c r="Y352">
        <v>0</v>
      </c>
      <c r="Z352">
        <v>0</v>
      </c>
      <c r="AA352" t="s">
        <v>67</v>
      </c>
      <c r="AB352">
        <v>0</v>
      </c>
      <c r="AC352">
        <v>0</v>
      </c>
      <c r="AD352">
        <v>0</v>
      </c>
      <c r="AE352">
        <v>0</v>
      </c>
      <c r="AF352" t="s">
        <v>60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s">
        <v>58</v>
      </c>
      <c r="AM352" t="s">
        <v>58</v>
      </c>
      <c r="AN352" t="s">
        <v>66</v>
      </c>
      <c r="AO352">
        <v>14</v>
      </c>
      <c r="AP352">
        <v>0</v>
      </c>
      <c r="AQ352">
        <v>0</v>
      </c>
      <c r="AR352">
        <v>11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1</v>
      </c>
      <c r="AY352" t="b">
        <v>0</v>
      </c>
      <c r="AZ352" t="s">
        <v>61</v>
      </c>
      <c r="BA352" t="s">
        <v>57</v>
      </c>
      <c r="BB352" t="s">
        <v>55</v>
      </c>
      <c r="BC352" t="s">
        <v>58</v>
      </c>
      <c r="BD352" t="s">
        <v>58</v>
      </c>
    </row>
    <row r="353" spans="1:56" x14ac:dyDescent="0.25">
      <c r="A353" t="str" cm="1">
        <f t="array" ref="A353">_xlfn.XLOOKUP(RIGHT(M353,8),TeamIdentity!C:C,TeamIdentity!A:A,NONE)</f>
        <v>Steelers</v>
      </c>
      <c r="B353" t="str" cm="1">
        <f t="array" ref="B353">_xlfn.XLOOKUP(RIGHT(F353,8),TeamIdentity!C:C,TeamIdentity!A:A,NONE)</f>
        <v>49ers</v>
      </c>
      <c r="C353" t="s">
        <v>54</v>
      </c>
      <c r="D353" t="s">
        <v>54</v>
      </c>
      <c r="E353" t="s">
        <v>54</v>
      </c>
      <c r="F353" t="s">
        <v>543</v>
      </c>
      <c r="G353" t="s">
        <v>54</v>
      </c>
      <c r="H353" t="s">
        <v>54</v>
      </c>
      <c r="I353" t="s">
        <v>54</v>
      </c>
      <c r="J353" t="s">
        <v>54</v>
      </c>
      <c r="K353" t="s">
        <v>54</v>
      </c>
      <c r="L353" t="s">
        <v>54</v>
      </c>
      <c r="M353" t="s">
        <v>518</v>
      </c>
      <c r="N353">
        <v>-1</v>
      </c>
      <c r="O353">
        <v>0</v>
      </c>
      <c r="P353">
        <v>90294</v>
      </c>
      <c r="Q353">
        <v>0</v>
      </c>
      <c r="R353" t="s">
        <v>70</v>
      </c>
      <c r="S353">
        <v>0</v>
      </c>
      <c r="T353">
        <v>0</v>
      </c>
      <c r="U353">
        <v>975</v>
      </c>
      <c r="V353" t="s">
        <v>57</v>
      </c>
      <c r="W353">
        <v>0</v>
      </c>
      <c r="X353">
        <v>0</v>
      </c>
      <c r="Y353">
        <v>0</v>
      </c>
      <c r="Z353">
        <v>0</v>
      </c>
      <c r="AA353" t="s">
        <v>67</v>
      </c>
      <c r="AB353">
        <v>0</v>
      </c>
      <c r="AC353">
        <v>0</v>
      </c>
      <c r="AD353">
        <v>0</v>
      </c>
      <c r="AE353">
        <v>0</v>
      </c>
      <c r="AF353" t="s">
        <v>60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s">
        <v>58</v>
      </c>
      <c r="AM353" t="s">
        <v>58</v>
      </c>
      <c r="AN353" t="s">
        <v>66</v>
      </c>
      <c r="AO353">
        <v>14</v>
      </c>
      <c r="AP353">
        <v>0</v>
      </c>
      <c r="AQ353">
        <v>0</v>
      </c>
      <c r="AR353">
        <v>11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1</v>
      </c>
      <c r="AY353" t="b">
        <v>0</v>
      </c>
      <c r="AZ353" t="s">
        <v>61</v>
      </c>
      <c r="BA353" t="s">
        <v>57</v>
      </c>
      <c r="BB353" t="s">
        <v>55</v>
      </c>
      <c r="BC353" t="s">
        <v>58</v>
      </c>
      <c r="BD353" t="s">
        <v>58</v>
      </c>
    </row>
    <row r="354" spans="1:56" x14ac:dyDescent="0.25">
      <c r="A354" t="str" cm="1">
        <f t="array" ref="A354">_xlfn.XLOOKUP(RIGHT(M354,8),TeamIdentity!C:C,TeamIdentity!A:A,NONE)</f>
        <v>Broncos</v>
      </c>
      <c r="B354" t="str" cm="1">
        <f t="array" ref="B354">_xlfn.XLOOKUP(RIGHT(F354,8),TeamIdentity!C:C,TeamIdentity!A:A,NONE)</f>
        <v>49ers</v>
      </c>
      <c r="C354" t="s">
        <v>54</v>
      </c>
      <c r="D354" t="s">
        <v>54</v>
      </c>
      <c r="E354" t="s">
        <v>54</v>
      </c>
      <c r="F354" t="s">
        <v>543</v>
      </c>
      <c r="G354" t="s">
        <v>54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539</v>
      </c>
      <c r="N354">
        <v>-1</v>
      </c>
      <c r="O354">
        <v>0</v>
      </c>
      <c r="P354">
        <v>90269</v>
      </c>
      <c r="Q354">
        <v>0</v>
      </c>
      <c r="R354" t="s">
        <v>70</v>
      </c>
      <c r="S354">
        <v>0</v>
      </c>
      <c r="T354">
        <v>0</v>
      </c>
      <c r="U354">
        <v>975</v>
      </c>
      <c r="V354" t="s">
        <v>57</v>
      </c>
      <c r="W354">
        <v>0</v>
      </c>
      <c r="X354">
        <v>0</v>
      </c>
      <c r="Y354">
        <v>0</v>
      </c>
      <c r="Z354">
        <v>0</v>
      </c>
      <c r="AA354" t="s">
        <v>67</v>
      </c>
      <c r="AB354">
        <v>0</v>
      </c>
      <c r="AC354">
        <v>0</v>
      </c>
      <c r="AD354">
        <v>0</v>
      </c>
      <c r="AE354">
        <v>0</v>
      </c>
      <c r="AF354" t="s">
        <v>60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s">
        <v>58</v>
      </c>
      <c r="AM354" t="s">
        <v>58</v>
      </c>
      <c r="AN354" t="s">
        <v>66</v>
      </c>
      <c r="AO354">
        <v>14</v>
      </c>
      <c r="AP354">
        <v>0</v>
      </c>
      <c r="AQ354">
        <v>0</v>
      </c>
      <c r="AR354">
        <v>11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1</v>
      </c>
      <c r="AY354" t="b">
        <v>0</v>
      </c>
      <c r="AZ354" t="s">
        <v>61</v>
      </c>
      <c r="BA354" t="s">
        <v>57</v>
      </c>
      <c r="BB354" t="s">
        <v>55</v>
      </c>
      <c r="BC354" t="s">
        <v>58</v>
      </c>
      <c r="BD354" t="s">
        <v>58</v>
      </c>
    </row>
    <row r="355" spans="1:56" x14ac:dyDescent="0.25">
      <c r="A355" t="str" cm="1">
        <f t="array" ref="A355">_xlfn.XLOOKUP(RIGHT(M355,8),TeamIdentity!C:C,TeamIdentity!A:A,NONE)</f>
        <v>Saints</v>
      </c>
      <c r="B355" t="str" cm="1">
        <f t="array" ref="B355">_xlfn.XLOOKUP(RIGHT(F355,8),TeamIdentity!C:C,TeamIdentity!A:A,NONE)</f>
        <v>49ers</v>
      </c>
      <c r="C355" t="s">
        <v>54</v>
      </c>
      <c r="D355" t="s">
        <v>54</v>
      </c>
      <c r="E355" t="s">
        <v>54</v>
      </c>
      <c r="F355" t="s">
        <v>543</v>
      </c>
      <c r="G355" t="s">
        <v>54</v>
      </c>
      <c r="H355" t="s">
        <v>54</v>
      </c>
      <c r="I355" t="s">
        <v>54</v>
      </c>
      <c r="J355" t="s">
        <v>54</v>
      </c>
      <c r="K355" t="s">
        <v>54</v>
      </c>
      <c r="L355" t="s">
        <v>54</v>
      </c>
      <c r="M355" t="s">
        <v>537</v>
      </c>
      <c r="N355">
        <v>-1</v>
      </c>
      <c r="O355">
        <v>0</v>
      </c>
      <c r="P355">
        <v>90292</v>
      </c>
      <c r="Q355">
        <v>0</v>
      </c>
      <c r="R355" t="s">
        <v>70</v>
      </c>
      <c r="S355">
        <v>0</v>
      </c>
      <c r="T355">
        <v>0</v>
      </c>
      <c r="U355">
        <v>975</v>
      </c>
      <c r="V355" t="s">
        <v>57</v>
      </c>
      <c r="W355">
        <v>0</v>
      </c>
      <c r="X355">
        <v>0</v>
      </c>
      <c r="Y355">
        <v>0</v>
      </c>
      <c r="Z355">
        <v>0</v>
      </c>
      <c r="AA355" t="s">
        <v>67</v>
      </c>
      <c r="AB355">
        <v>0</v>
      </c>
      <c r="AC355">
        <v>0</v>
      </c>
      <c r="AD355">
        <v>0</v>
      </c>
      <c r="AE355">
        <v>0</v>
      </c>
      <c r="AF355" t="s">
        <v>60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s">
        <v>58</v>
      </c>
      <c r="AM355" t="s">
        <v>58</v>
      </c>
      <c r="AN355" t="s">
        <v>66</v>
      </c>
      <c r="AO355">
        <v>14</v>
      </c>
      <c r="AP355">
        <v>0</v>
      </c>
      <c r="AQ355">
        <v>0</v>
      </c>
      <c r="AR355">
        <v>11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1</v>
      </c>
      <c r="AY355" t="b">
        <v>0</v>
      </c>
      <c r="AZ355" t="s">
        <v>61</v>
      </c>
      <c r="BA355" t="s">
        <v>57</v>
      </c>
      <c r="BB355" t="s">
        <v>55</v>
      </c>
      <c r="BC355" t="s">
        <v>58</v>
      </c>
      <c r="BD355" t="s">
        <v>58</v>
      </c>
    </row>
    <row r="356" spans="1:56" x14ac:dyDescent="0.25">
      <c r="A356" t="str" cm="1">
        <f t="array" ref="A356">_xlfn.XLOOKUP(RIGHT(M356,8),TeamIdentity!C:C,TeamIdentity!A:A,NONE)</f>
        <v>Ravens</v>
      </c>
      <c r="B356" t="str" cm="1">
        <f t="array" ref="B356">_xlfn.XLOOKUP(RIGHT(F356,8),TeamIdentity!C:C,TeamIdentity!A:A,NONE)</f>
        <v>49ers</v>
      </c>
      <c r="C356" t="s">
        <v>54</v>
      </c>
      <c r="D356" t="s">
        <v>54</v>
      </c>
      <c r="E356" t="s">
        <v>54</v>
      </c>
      <c r="F356" t="s">
        <v>543</v>
      </c>
      <c r="G356" t="s">
        <v>54</v>
      </c>
      <c r="H356" t="s">
        <v>54</v>
      </c>
      <c r="I356" t="s">
        <v>54</v>
      </c>
      <c r="J356" t="s">
        <v>54</v>
      </c>
      <c r="K356" t="s">
        <v>54</v>
      </c>
      <c r="L356" t="s">
        <v>54</v>
      </c>
      <c r="M356" t="s">
        <v>520</v>
      </c>
      <c r="N356">
        <v>-1</v>
      </c>
      <c r="O356">
        <v>0</v>
      </c>
      <c r="P356">
        <v>90290</v>
      </c>
      <c r="Q356">
        <v>0</v>
      </c>
      <c r="R356" t="s">
        <v>70</v>
      </c>
      <c r="S356">
        <v>0</v>
      </c>
      <c r="T356">
        <v>0</v>
      </c>
      <c r="U356">
        <v>975</v>
      </c>
      <c r="V356" t="s">
        <v>57</v>
      </c>
      <c r="W356">
        <v>0</v>
      </c>
      <c r="X356">
        <v>0</v>
      </c>
      <c r="Y356">
        <v>0</v>
      </c>
      <c r="Z356">
        <v>0</v>
      </c>
      <c r="AA356" t="s">
        <v>67</v>
      </c>
      <c r="AB356">
        <v>0</v>
      </c>
      <c r="AC356">
        <v>0</v>
      </c>
      <c r="AD356">
        <v>0</v>
      </c>
      <c r="AE356">
        <v>0</v>
      </c>
      <c r="AF356" t="s">
        <v>60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s">
        <v>58</v>
      </c>
      <c r="AM356" t="s">
        <v>58</v>
      </c>
      <c r="AN356" t="s">
        <v>66</v>
      </c>
      <c r="AO356">
        <v>14</v>
      </c>
      <c r="AP356">
        <v>0</v>
      </c>
      <c r="AQ356">
        <v>0</v>
      </c>
      <c r="AR356">
        <v>11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1</v>
      </c>
      <c r="AY356" t="b">
        <v>0</v>
      </c>
      <c r="AZ356" t="s">
        <v>61</v>
      </c>
      <c r="BA356" t="s">
        <v>57</v>
      </c>
      <c r="BB356" t="s">
        <v>55</v>
      </c>
      <c r="BC356" t="s">
        <v>58</v>
      </c>
      <c r="BD356" t="s">
        <v>58</v>
      </c>
    </row>
    <row r="357" spans="1:56" x14ac:dyDescent="0.25">
      <c r="A357" t="str" cm="1">
        <f t="array" ref="A357">_xlfn.XLOOKUP(RIGHT(M357,8),TeamIdentity!C:C,TeamIdentity!A:A,NONE)</f>
        <v>Lions</v>
      </c>
      <c r="B357" t="str" cm="1">
        <f t="array" ref="B357">_xlfn.XLOOKUP(RIGHT(F357,8),TeamIdentity!C:C,TeamIdentity!A:A,NONE)</f>
        <v>49ers</v>
      </c>
      <c r="C357" t="s">
        <v>54</v>
      </c>
      <c r="D357" t="s">
        <v>54</v>
      </c>
      <c r="E357" t="s">
        <v>54</v>
      </c>
      <c r="F357" t="s">
        <v>543</v>
      </c>
      <c r="G357" t="s">
        <v>54</v>
      </c>
      <c r="H357" t="s">
        <v>54</v>
      </c>
      <c r="I357" t="s">
        <v>54</v>
      </c>
      <c r="J357" t="s">
        <v>54</v>
      </c>
      <c r="K357" t="s">
        <v>54</v>
      </c>
      <c r="L357" t="s">
        <v>54</v>
      </c>
      <c r="M357" t="s">
        <v>513</v>
      </c>
      <c r="N357">
        <v>-1</v>
      </c>
      <c r="O357">
        <v>0</v>
      </c>
      <c r="P357">
        <v>90284</v>
      </c>
      <c r="Q357">
        <v>0</v>
      </c>
      <c r="R357" t="s">
        <v>70</v>
      </c>
      <c r="S357">
        <v>0</v>
      </c>
      <c r="T357">
        <v>0</v>
      </c>
      <c r="U357">
        <v>975</v>
      </c>
      <c r="V357" t="s">
        <v>57</v>
      </c>
      <c r="W357">
        <v>0</v>
      </c>
      <c r="X357">
        <v>0</v>
      </c>
      <c r="Y357">
        <v>0</v>
      </c>
      <c r="Z357">
        <v>0</v>
      </c>
      <c r="AA357" t="s">
        <v>67</v>
      </c>
      <c r="AB357">
        <v>0</v>
      </c>
      <c r="AC357">
        <v>0</v>
      </c>
      <c r="AD357">
        <v>0</v>
      </c>
      <c r="AE357">
        <v>0</v>
      </c>
      <c r="AF357" t="s">
        <v>60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s">
        <v>58</v>
      </c>
      <c r="AM357" t="s">
        <v>58</v>
      </c>
      <c r="AN357" t="s">
        <v>66</v>
      </c>
      <c r="AO357">
        <v>14</v>
      </c>
      <c r="AP357">
        <v>0</v>
      </c>
      <c r="AQ357">
        <v>0</v>
      </c>
      <c r="AR357">
        <v>11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1</v>
      </c>
      <c r="AY357" t="b">
        <v>0</v>
      </c>
      <c r="AZ357" t="s">
        <v>61</v>
      </c>
      <c r="BA357" t="s">
        <v>57</v>
      </c>
      <c r="BB357" t="s">
        <v>55</v>
      </c>
      <c r="BC357" t="s">
        <v>58</v>
      </c>
      <c r="BD357" t="s">
        <v>58</v>
      </c>
    </row>
    <row r="358" spans="1:56" x14ac:dyDescent="0.25">
      <c r="A358" t="str" cm="1">
        <f t="array" ref="A358">_xlfn.XLOOKUP(RIGHT(M358,8),TeamIdentity!C:C,TeamIdentity!A:A,NONE)</f>
        <v>Eagles</v>
      </c>
      <c r="B358" t="str" cm="1">
        <f t="array" ref="B358">_xlfn.XLOOKUP(RIGHT(F358,8),TeamIdentity!C:C,TeamIdentity!A:A,NONE)</f>
        <v>49ers</v>
      </c>
      <c r="C358" t="s">
        <v>54</v>
      </c>
      <c r="D358" t="s">
        <v>54</v>
      </c>
      <c r="E358" t="s">
        <v>54</v>
      </c>
      <c r="F358" t="s">
        <v>543</v>
      </c>
      <c r="G358" t="s">
        <v>54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519</v>
      </c>
      <c r="N358">
        <v>-1</v>
      </c>
      <c r="O358">
        <v>0</v>
      </c>
      <c r="P358">
        <v>90278</v>
      </c>
      <c r="Q358">
        <v>0</v>
      </c>
      <c r="R358" t="s">
        <v>70</v>
      </c>
      <c r="S358">
        <v>0</v>
      </c>
      <c r="T358">
        <v>0</v>
      </c>
      <c r="U358">
        <v>975</v>
      </c>
      <c r="V358" t="s">
        <v>57</v>
      </c>
      <c r="W358">
        <v>0</v>
      </c>
      <c r="X358">
        <v>0</v>
      </c>
      <c r="Y358">
        <v>0</v>
      </c>
      <c r="Z358">
        <v>0</v>
      </c>
      <c r="AA358" t="s">
        <v>67</v>
      </c>
      <c r="AB358">
        <v>0</v>
      </c>
      <c r="AC358">
        <v>0</v>
      </c>
      <c r="AD358">
        <v>0</v>
      </c>
      <c r="AE358">
        <v>0</v>
      </c>
      <c r="AF358" t="s">
        <v>60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s">
        <v>58</v>
      </c>
      <c r="AM358" t="s">
        <v>58</v>
      </c>
      <c r="AN358" t="s">
        <v>66</v>
      </c>
      <c r="AO358">
        <v>14</v>
      </c>
      <c r="AP358">
        <v>0</v>
      </c>
      <c r="AQ358">
        <v>0</v>
      </c>
      <c r="AR358">
        <v>11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1</v>
      </c>
      <c r="AY358" t="b">
        <v>0</v>
      </c>
      <c r="AZ358" t="s">
        <v>61</v>
      </c>
      <c r="BA358" t="s">
        <v>57</v>
      </c>
      <c r="BB358" t="s">
        <v>55</v>
      </c>
      <c r="BC358" t="s">
        <v>58</v>
      </c>
      <c r="BD358" t="s">
        <v>58</v>
      </c>
    </row>
    <row r="359" spans="1:56" x14ac:dyDescent="0.25">
      <c r="A359" t="str" cm="1">
        <f t="array" ref="A359">_xlfn.XLOOKUP(RIGHT(M359,8),TeamIdentity!C:C,TeamIdentity!A:A,NONE)</f>
        <v>Raiders</v>
      </c>
      <c r="B359" t="str" cm="1">
        <f t="array" ref="B359">_xlfn.XLOOKUP(RIGHT(F359,8),TeamIdentity!C:C,TeamIdentity!A:A,NONE)</f>
        <v>49ers</v>
      </c>
      <c r="C359" t="s">
        <v>54</v>
      </c>
      <c r="D359" t="s">
        <v>54</v>
      </c>
      <c r="E359" t="s">
        <v>54</v>
      </c>
      <c r="F359" t="s">
        <v>543</v>
      </c>
      <c r="G359" t="s">
        <v>54</v>
      </c>
      <c r="H359" t="s">
        <v>54</v>
      </c>
      <c r="I359" t="s">
        <v>54</v>
      </c>
      <c r="J359" t="s">
        <v>54</v>
      </c>
      <c r="K359" t="s">
        <v>54</v>
      </c>
      <c r="L359" t="s">
        <v>54</v>
      </c>
      <c r="M359" t="s">
        <v>525</v>
      </c>
      <c r="N359">
        <v>-1</v>
      </c>
      <c r="O359">
        <v>0</v>
      </c>
      <c r="P359">
        <v>90288</v>
      </c>
      <c r="Q359">
        <v>0</v>
      </c>
      <c r="R359" t="s">
        <v>70</v>
      </c>
      <c r="S359">
        <v>0</v>
      </c>
      <c r="T359">
        <v>0</v>
      </c>
      <c r="U359">
        <v>975</v>
      </c>
      <c r="V359" t="s">
        <v>57</v>
      </c>
      <c r="W359">
        <v>0</v>
      </c>
      <c r="X359">
        <v>0</v>
      </c>
      <c r="Y359">
        <v>0</v>
      </c>
      <c r="Z359">
        <v>0</v>
      </c>
      <c r="AA359" t="s">
        <v>67</v>
      </c>
      <c r="AB359">
        <v>0</v>
      </c>
      <c r="AC359">
        <v>0</v>
      </c>
      <c r="AD359">
        <v>0</v>
      </c>
      <c r="AE359">
        <v>0</v>
      </c>
      <c r="AF359" t="s">
        <v>60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s">
        <v>58</v>
      </c>
      <c r="AM359" t="s">
        <v>58</v>
      </c>
      <c r="AN359" t="s">
        <v>66</v>
      </c>
      <c r="AO359">
        <v>14</v>
      </c>
      <c r="AP359">
        <v>0</v>
      </c>
      <c r="AQ359">
        <v>0</v>
      </c>
      <c r="AR359">
        <v>11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1</v>
      </c>
      <c r="AY359" t="b">
        <v>0</v>
      </c>
      <c r="AZ359" t="s">
        <v>61</v>
      </c>
      <c r="BA359" t="s">
        <v>57</v>
      </c>
      <c r="BB359" t="s">
        <v>55</v>
      </c>
      <c r="BC359" t="s">
        <v>58</v>
      </c>
      <c r="BD359" t="s">
        <v>58</v>
      </c>
    </row>
    <row r="360" spans="1:56" x14ac:dyDescent="0.25">
      <c r="A360" t="str" cm="1">
        <f t="array" ref="A360">_xlfn.XLOOKUP(RIGHT(M360,8),TeamIdentity!C:C,TeamIdentity!A:A,NONE)</f>
        <v>Cardinals</v>
      </c>
      <c r="B360" t="str" cm="1">
        <f t="array" ref="B360">_xlfn.XLOOKUP(RIGHT(F360,8),TeamIdentity!C:C,TeamIdentity!A:A,NONE)</f>
        <v>49ers</v>
      </c>
      <c r="C360" t="s">
        <v>54</v>
      </c>
      <c r="D360" t="s">
        <v>54</v>
      </c>
      <c r="E360" t="s">
        <v>54</v>
      </c>
      <c r="F360" t="s">
        <v>543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538</v>
      </c>
      <c r="N360">
        <v>-1</v>
      </c>
      <c r="O360">
        <v>0</v>
      </c>
      <c r="P360">
        <v>90272</v>
      </c>
      <c r="Q360">
        <v>0</v>
      </c>
      <c r="R360" t="s">
        <v>70</v>
      </c>
      <c r="S360">
        <v>0</v>
      </c>
      <c r="T360">
        <v>0</v>
      </c>
      <c r="U360">
        <v>975</v>
      </c>
      <c r="V360" t="s">
        <v>57</v>
      </c>
      <c r="W360">
        <v>0</v>
      </c>
      <c r="X360">
        <v>0</v>
      </c>
      <c r="Y360">
        <v>0</v>
      </c>
      <c r="Z360">
        <v>0</v>
      </c>
      <c r="AA360" t="s">
        <v>67</v>
      </c>
      <c r="AB360">
        <v>0</v>
      </c>
      <c r="AC360">
        <v>0</v>
      </c>
      <c r="AD360">
        <v>0</v>
      </c>
      <c r="AE360">
        <v>0</v>
      </c>
      <c r="AF360" t="s">
        <v>60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s">
        <v>58</v>
      </c>
      <c r="AM360" t="s">
        <v>58</v>
      </c>
      <c r="AN360" t="s">
        <v>66</v>
      </c>
      <c r="AO360">
        <v>14</v>
      </c>
      <c r="AP360">
        <v>0</v>
      </c>
      <c r="AQ360">
        <v>0</v>
      </c>
      <c r="AR360">
        <v>11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  <c r="AY360" t="b">
        <v>0</v>
      </c>
      <c r="AZ360" t="s">
        <v>61</v>
      </c>
      <c r="BA360" t="s">
        <v>57</v>
      </c>
      <c r="BB360" t="s">
        <v>55</v>
      </c>
      <c r="BC360" t="s">
        <v>58</v>
      </c>
      <c r="BD360" t="s">
        <v>58</v>
      </c>
    </row>
    <row r="361" spans="1:56" x14ac:dyDescent="0.25">
      <c r="A361" t="str" cm="1">
        <f t="array" ref="A361">_xlfn.XLOOKUP(RIGHT(M361,8),TeamIdentity!C:C,TeamIdentity!A:A,NONE)</f>
        <v>49ers</v>
      </c>
      <c r="B361" t="str" cm="1">
        <f t="array" ref="B361">_xlfn.XLOOKUP(RIGHT(F361,8),TeamIdentity!C:C,TeamIdentity!A:A,NONE)</f>
        <v>49ers</v>
      </c>
      <c r="C361" t="s">
        <v>54</v>
      </c>
      <c r="D361" t="s">
        <v>54</v>
      </c>
      <c r="E361" t="s">
        <v>54</v>
      </c>
      <c r="F361" t="s">
        <v>543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533</v>
      </c>
      <c r="N361">
        <v>-1</v>
      </c>
      <c r="O361">
        <v>0</v>
      </c>
      <c r="P361">
        <v>90280</v>
      </c>
      <c r="Q361">
        <v>0</v>
      </c>
      <c r="R361" t="s">
        <v>70</v>
      </c>
      <c r="S361">
        <v>0</v>
      </c>
      <c r="T361">
        <v>0</v>
      </c>
      <c r="U361">
        <v>975</v>
      </c>
      <c r="V361" t="s">
        <v>57</v>
      </c>
      <c r="W361">
        <v>0</v>
      </c>
      <c r="X361">
        <v>0</v>
      </c>
      <c r="Y361">
        <v>0</v>
      </c>
      <c r="Z361">
        <v>0</v>
      </c>
      <c r="AA361" t="s">
        <v>67</v>
      </c>
      <c r="AB361">
        <v>0</v>
      </c>
      <c r="AC361">
        <v>0</v>
      </c>
      <c r="AD361">
        <v>0</v>
      </c>
      <c r="AE361">
        <v>0</v>
      </c>
      <c r="AF361" t="s">
        <v>60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s">
        <v>58</v>
      </c>
      <c r="AM361" t="s">
        <v>58</v>
      </c>
      <c r="AN361" t="s">
        <v>66</v>
      </c>
      <c r="AO361">
        <v>14</v>
      </c>
      <c r="AP361">
        <v>0</v>
      </c>
      <c r="AQ361">
        <v>0</v>
      </c>
      <c r="AR361">
        <v>11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1</v>
      </c>
      <c r="AY361" t="b">
        <v>0</v>
      </c>
      <c r="AZ361" t="s">
        <v>61</v>
      </c>
      <c r="BA361" t="s">
        <v>57</v>
      </c>
      <c r="BB361" t="s">
        <v>55</v>
      </c>
      <c r="BC361" t="s">
        <v>58</v>
      </c>
      <c r="BD361" t="s">
        <v>58</v>
      </c>
    </row>
    <row r="362" spans="1:56" x14ac:dyDescent="0.25">
      <c r="A362" t="str" cm="1">
        <f t="array" ref="A362">_xlfn.XLOOKUP(RIGHT(M362,8),TeamIdentity!C:C,TeamIdentity!A:A,NONE)</f>
        <v>Texans</v>
      </c>
      <c r="B362" t="str" cm="1">
        <f t="array" ref="B362">_xlfn.XLOOKUP(RIGHT(F362,8),TeamIdentity!C:C,TeamIdentity!A:A,NONE)</f>
        <v>49ers</v>
      </c>
      <c r="C362" t="s">
        <v>54</v>
      </c>
      <c r="D362" t="s">
        <v>54</v>
      </c>
      <c r="E362" t="s">
        <v>54</v>
      </c>
      <c r="F362" t="s">
        <v>543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517</v>
      </c>
      <c r="N362">
        <v>-1</v>
      </c>
      <c r="O362">
        <v>0</v>
      </c>
      <c r="P362">
        <v>90297</v>
      </c>
      <c r="Q362">
        <v>0</v>
      </c>
      <c r="R362" t="s">
        <v>70</v>
      </c>
      <c r="S362">
        <v>0</v>
      </c>
      <c r="T362">
        <v>0</v>
      </c>
      <c r="U362">
        <v>975</v>
      </c>
      <c r="V362" t="s">
        <v>57</v>
      </c>
      <c r="W362">
        <v>0</v>
      </c>
      <c r="X362">
        <v>0</v>
      </c>
      <c r="Y362">
        <v>0</v>
      </c>
      <c r="Z362">
        <v>0</v>
      </c>
      <c r="AA362" t="s">
        <v>67</v>
      </c>
      <c r="AB362">
        <v>0</v>
      </c>
      <c r="AC362">
        <v>0</v>
      </c>
      <c r="AD362">
        <v>0</v>
      </c>
      <c r="AE362">
        <v>0</v>
      </c>
      <c r="AF362" t="s">
        <v>60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s">
        <v>58</v>
      </c>
      <c r="AM362" t="s">
        <v>58</v>
      </c>
      <c r="AN362" t="s">
        <v>66</v>
      </c>
      <c r="AO362">
        <v>14</v>
      </c>
      <c r="AP362">
        <v>0</v>
      </c>
      <c r="AQ362">
        <v>0</v>
      </c>
      <c r="AR362">
        <v>11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1</v>
      </c>
      <c r="AY362" t="b">
        <v>0</v>
      </c>
      <c r="AZ362" t="s">
        <v>61</v>
      </c>
      <c r="BA362" t="s">
        <v>57</v>
      </c>
      <c r="BB362" t="s">
        <v>55</v>
      </c>
      <c r="BC362" t="s">
        <v>58</v>
      </c>
      <c r="BD362" t="s">
        <v>58</v>
      </c>
    </row>
    <row r="363" spans="1:56" x14ac:dyDescent="0.25">
      <c r="A363" t="str" cm="1">
        <f t="array" ref="A363">_xlfn.XLOOKUP(RIGHT(M363,8),TeamIdentity!C:C,TeamIdentity!A:A,NONE)</f>
        <v>Packers</v>
      </c>
      <c r="B363" t="str" cm="1">
        <f t="array" ref="B363">_xlfn.XLOOKUP(RIGHT(F363,8),TeamIdentity!C:C,TeamIdentity!A:A,NONE)</f>
        <v>49ers</v>
      </c>
      <c r="C363" t="s">
        <v>54</v>
      </c>
      <c r="D363" t="s">
        <v>54</v>
      </c>
      <c r="E363" t="s">
        <v>54</v>
      </c>
      <c r="F363" t="s">
        <v>543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  <c r="L363" t="s">
        <v>54</v>
      </c>
      <c r="M363" t="s">
        <v>529</v>
      </c>
      <c r="N363">
        <v>-1</v>
      </c>
      <c r="O363">
        <v>0</v>
      </c>
      <c r="P363">
        <v>90285</v>
      </c>
      <c r="Q363">
        <v>0</v>
      </c>
      <c r="R363" t="s">
        <v>70</v>
      </c>
      <c r="S363">
        <v>0</v>
      </c>
      <c r="T363">
        <v>0</v>
      </c>
      <c r="U363">
        <v>975</v>
      </c>
      <c r="V363" t="s">
        <v>57</v>
      </c>
      <c r="W363">
        <v>0</v>
      </c>
      <c r="X363">
        <v>0</v>
      </c>
      <c r="Y363">
        <v>0</v>
      </c>
      <c r="Z363">
        <v>0</v>
      </c>
      <c r="AA363" t="s">
        <v>67</v>
      </c>
      <c r="AB363">
        <v>0</v>
      </c>
      <c r="AC363">
        <v>0</v>
      </c>
      <c r="AD363">
        <v>0</v>
      </c>
      <c r="AE363">
        <v>0</v>
      </c>
      <c r="AF363" t="s">
        <v>60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s">
        <v>58</v>
      </c>
      <c r="AM363" t="s">
        <v>58</v>
      </c>
      <c r="AN363" t="s">
        <v>66</v>
      </c>
      <c r="AO363">
        <v>14</v>
      </c>
      <c r="AP363">
        <v>0</v>
      </c>
      <c r="AQ363">
        <v>0</v>
      </c>
      <c r="AR363">
        <v>11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1</v>
      </c>
      <c r="AY363" t="b">
        <v>0</v>
      </c>
      <c r="AZ363" t="s">
        <v>61</v>
      </c>
      <c r="BA363" t="s">
        <v>57</v>
      </c>
      <c r="BB363" t="s">
        <v>55</v>
      </c>
      <c r="BC363" t="s">
        <v>58</v>
      </c>
      <c r="BD363" t="s">
        <v>58</v>
      </c>
    </row>
    <row r="364" spans="1:56" x14ac:dyDescent="0.25">
      <c r="A364" t="str" cm="1">
        <f t="array" ref="A364">_xlfn.XLOOKUP(RIGHT(M364,8),TeamIdentity!C:C,TeamIdentity!A:A,NONE)</f>
        <v>Patriots</v>
      </c>
      <c r="B364" t="str" cm="1">
        <f t="array" ref="B364">_xlfn.XLOOKUP(RIGHT(F364,8),TeamIdentity!C:C,TeamIdentity!A:A,NONE)</f>
        <v>49ers</v>
      </c>
      <c r="C364" t="s">
        <v>54</v>
      </c>
      <c r="D364" t="s">
        <v>54</v>
      </c>
      <c r="E364" t="s">
        <v>54</v>
      </c>
      <c r="F364" t="s">
        <v>543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  <c r="L364" t="s">
        <v>54</v>
      </c>
      <c r="M364" t="s">
        <v>512</v>
      </c>
      <c r="N364">
        <v>-1</v>
      </c>
      <c r="O364">
        <v>0</v>
      </c>
      <c r="P364">
        <v>90287</v>
      </c>
      <c r="Q364">
        <v>0</v>
      </c>
      <c r="R364" t="s">
        <v>70</v>
      </c>
      <c r="S364">
        <v>0</v>
      </c>
      <c r="T364">
        <v>0</v>
      </c>
      <c r="U364">
        <v>975</v>
      </c>
      <c r="V364" t="s">
        <v>57</v>
      </c>
      <c r="W364">
        <v>0</v>
      </c>
      <c r="X364">
        <v>0</v>
      </c>
      <c r="Y364">
        <v>0</v>
      </c>
      <c r="Z364">
        <v>0</v>
      </c>
      <c r="AA364" t="s">
        <v>67</v>
      </c>
      <c r="AB364">
        <v>0</v>
      </c>
      <c r="AC364">
        <v>0</v>
      </c>
      <c r="AD364">
        <v>0</v>
      </c>
      <c r="AE364">
        <v>0</v>
      </c>
      <c r="AF364" t="s">
        <v>60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s">
        <v>58</v>
      </c>
      <c r="AM364" t="s">
        <v>58</v>
      </c>
      <c r="AN364" t="s">
        <v>66</v>
      </c>
      <c r="AO364">
        <v>14</v>
      </c>
      <c r="AP364">
        <v>0</v>
      </c>
      <c r="AQ364">
        <v>0</v>
      </c>
      <c r="AR364">
        <v>11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1</v>
      </c>
      <c r="AY364" t="b">
        <v>0</v>
      </c>
      <c r="AZ364" t="s">
        <v>61</v>
      </c>
      <c r="BA364" t="s">
        <v>57</v>
      </c>
      <c r="BB364" t="s">
        <v>55</v>
      </c>
      <c r="BC364" t="s">
        <v>58</v>
      </c>
      <c r="BD364" t="s">
        <v>58</v>
      </c>
    </row>
    <row r="365" spans="1:56" x14ac:dyDescent="0.25">
      <c r="A365" t="str" cm="1">
        <f t="array" ref="A365">_xlfn.XLOOKUP(RIGHT(M365,8),TeamIdentity!C:C,TeamIdentity!A:A,NONE)</f>
        <v>Seahawks</v>
      </c>
      <c r="B365" t="str" cm="1">
        <f t="array" ref="B365">_xlfn.XLOOKUP(RIGHT(F365,8),TeamIdentity!C:C,TeamIdentity!A:A,NONE)</f>
        <v>49ers</v>
      </c>
      <c r="C365" t="s">
        <v>54</v>
      </c>
      <c r="D365" t="s">
        <v>54</v>
      </c>
      <c r="E365" t="s">
        <v>54</v>
      </c>
      <c r="F365" t="s">
        <v>543</v>
      </c>
      <c r="G365" t="s">
        <v>54</v>
      </c>
      <c r="H365" t="s">
        <v>54</v>
      </c>
      <c r="I365" t="s">
        <v>54</v>
      </c>
      <c r="J365" t="s">
        <v>54</v>
      </c>
      <c r="K365" t="s">
        <v>54</v>
      </c>
      <c r="L365" t="s">
        <v>54</v>
      </c>
      <c r="M365" t="s">
        <v>527</v>
      </c>
      <c r="N365">
        <v>-1</v>
      </c>
      <c r="O365">
        <v>0</v>
      </c>
      <c r="P365">
        <v>90293</v>
      </c>
      <c r="Q365">
        <v>0</v>
      </c>
      <c r="R365" t="s">
        <v>70</v>
      </c>
      <c r="S365">
        <v>0</v>
      </c>
      <c r="T365">
        <v>0</v>
      </c>
      <c r="U365">
        <v>975</v>
      </c>
      <c r="V365" t="s">
        <v>57</v>
      </c>
      <c r="W365">
        <v>0</v>
      </c>
      <c r="X365">
        <v>0</v>
      </c>
      <c r="Y365">
        <v>0</v>
      </c>
      <c r="Z365">
        <v>0</v>
      </c>
      <c r="AA365" t="s">
        <v>67</v>
      </c>
      <c r="AB365">
        <v>0</v>
      </c>
      <c r="AC365">
        <v>0</v>
      </c>
      <c r="AD365">
        <v>0</v>
      </c>
      <c r="AE365">
        <v>0</v>
      </c>
      <c r="AF365" t="s">
        <v>60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s">
        <v>58</v>
      </c>
      <c r="AM365" t="s">
        <v>58</v>
      </c>
      <c r="AN365" t="s">
        <v>66</v>
      </c>
      <c r="AO365">
        <v>14</v>
      </c>
      <c r="AP365">
        <v>0</v>
      </c>
      <c r="AQ365">
        <v>0</v>
      </c>
      <c r="AR365">
        <v>11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  <c r="AZ365" t="s">
        <v>61</v>
      </c>
      <c r="BA365" t="s">
        <v>57</v>
      </c>
      <c r="BB365" t="s">
        <v>55</v>
      </c>
      <c r="BC365" t="s">
        <v>58</v>
      </c>
      <c r="BD365" t="s">
        <v>58</v>
      </c>
    </row>
    <row r="366" spans="1:56" x14ac:dyDescent="0.25">
      <c r="A366" t="str" cm="1">
        <f t="array" ref="A366">_xlfn.XLOOKUP(RIGHT(M366,8),TeamIdentity!C:C,TeamIdentity!A:A,NONE)</f>
        <v>Commanders</v>
      </c>
      <c r="B366" t="str" cm="1">
        <f t="array" ref="B366">_xlfn.XLOOKUP(RIGHT(F366,8),TeamIdentity!C:C,TeamIdentity!A:A,NONE)</f>
        <v>49ers</v>
      </c>
      <c r="C366" t="s">
        <v>54</v>
      </c>
      <c r="D366" t="s">
        <v>54</v>
      </c>
      <c r="E366" t="s">
        <v>54</v>
      </c>
      <c r="F366" t="s">
        <v>543</v>
      </c>
      <c r="G366" t="s">
        <v>54</v>
      </c>
      <c r="H366" t="s">
        <v>54</v>
      </c>
      <c r="I366" t="s">
        <v>54</v>
      </c>
      <c r="J366" t="s">
        <v>54</v>
      </c>
      <c r="K366" t="s">
        <v>54</v>
      </c>
      <c r="L366" t="s">
        <v>54</v>
      </c>
      <c r="M366" t="s">
        <v>521</v>
      </c>
      <c r="N366">
        <v>-1</v>
      </c>
      <c r="O366">
        <v>0</v>
      </c>
      <c r="P366">
        <v>90291</v>
      </c>
      <c r="Q366">
        <v>0</v>
      </c>
      <c r="R366" t="s">
        <v>70</v>
      </c>
      <c r="S366">
        <v>0</v>
      </c>
      <c r="T366">
        <v>0</v>
      </c>
      <c r="U366">
        <v>975</v>
      </c>
      <c r="V366" t="s">
        <v>57</v>
      </c>
      <c r="W366">
        <v>0</v>
      </c>
      <c r="X366">
        <v>0</v>
      </c>
      <c r="Y366">
        <v>0</v>
      </c>
      <c r="Z366">
        <v>0</v>
      </c>
      <c r="AA366" t="s">
        <v>67</v>
      </c>
      <c r="AB366">
        <v>0</v>
      </c>
      <c r="AC366">
        <v>0</v>
      </c>
      <c r="AD366">
        <v>0</v>
      </c>
      <c r="AE366">
        <v>0</v>
      </c>
      <c r="AF366" t="s">
        <v>60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s">
        <v>58</v>
      </c>
      <c r="AM366" t="s">
        <v>58</v>
      </c>
      <c r="AN366" t="s">
        <v>66</v>
      </c>
      <c r="AO366">
        <v>14</v>
      </c>
      <c r="AP366">
        <v>0</v>
      </c>
      <c r="AQ366">
        <v>0</v>
      </c>
      <c r="AR366">
        <v>11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s">
        <v>61</v>
      </c>
      <c r="BA366" t="s">
        <v>57</v>
      </c>
      <c r="BB366" t="s">
        <v>55</v>
      </c>
      <c r="BC366" t="s">
        <v>58</v>
      </c>
      <c r="BD366" t="s">
        <v>58</v>
      </c>
    </row>
    <row r="367" spans="1:56" x14ac:dyDescent="0.25">
      <c r="A367" t="str" cm="1">
        <f t="array" ref="A367">_xlfn.XLOOKUP(RIGHT(M367,8),TeamIdentity!C:C,TeamIdentity!A:A,NONE)</f>
        <v>Titans</v>
      </c>
      <c r="B367" t="str" cm="1">
        <f t="array" ref="B367">_xlfn.XLOOKUP(RIGHT(F367,8),TeamIdentity!C:C,TeamIdentity!A:A,NONE)</f>
        <v>49ers</v>
      </c>
      <c r="C367" t="s">
        <v>54</v>
      </c>
      <c r="D367" t="s">
        <v>54</v>
      </c>
      <c r="E367" t="s">
        <v>54</v>
      </c>
      <c r="F367" t="s">
        <v>543</v>
      </c>
      <c r="G367" t="s">
        <v>54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534</v>
      </c>
      <c r="N367">
        <v>-1</v>
      </c>
      <c r="O367">
        <v>0</v>
      </c>
      <c r="P367">
        <v>90295</v>
      </c>
      <c r="Q367">
        <v>0</v>
      </c>
      <c r="R367" t="s">
        <v>70</v>
      </c>
      <c r="S367">
        <v>0</v>
      </c>
      <c r="T367">
        <v>0</v>
      </c>
      <c r="U367">
        <v>975</v>
      </c>
      <c r="V367" t="s">
        <v>57</v>
      </c>
      <c r="W367">
        <v>0</v>
      </c>
      <c r="X367">
        <v>0</v>
      </c>
      <c r="Y367">
        <v>0</v>
      </c>
      <c r="Z367">
        <v>0</v>
      </c>
      <c r="AA367" t="s">
        <v>67</v>
      </c>
      <c r="AB367">
        <v>0</v>
      </c>
      <c r="AC367">
        <v>0</v>
      </c>
      <c r="AD367">
        <v>0</v>
      </c>
      <c r="AE367">
        <v>0</v>
      </c>
      <c r="AF367" t="s">
        <v>60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s">
        <v>58</v>
      </c>
      <c r="AM367" t="s">
        <v>58</v>
      </c>
      <c r="AN367" t="s">
        <v>66</v>
      </c>
      <c r="AO367">
        <v>14</v>
      </c>
      <c r="AP367">
        <v>0</v>
      </c>
      <c r="AQ367">
        <v>0</v>
      </c>
      <c r="AR367">
        <v>11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1</v>
      </c>
      <c r="AY367" t="b">
        <v>0</v>
      </c>
      <c r="AZ367" t="s">
        <v>61</v>
      </c>
      <c r="BA367" t="s">
        <v>57</v>
      </c>
      <c r="BB367" t="s">
        <v>55</v>
      </c>
      <c r="BC367" t="s">
        <v>58</v>
      </c>
      <c r="BD367" t="s">
        <v>58</v>
      </c>
    </row>
    <row r="368" spans="1:56" x14ac:dyDescent="0.25">
      <c r="A368" t="str" cm="1">
        <f t="array" ref="A368">_xlfn.XLOOKUP(RIGHT(M368,8),TeamIdentity!C:C,TeamIdentity!A:A,NONE)</f>
        <v>49ers</v>
      </c>
      <c r="B368" t="str" cm="1">
        <f t="array" ref="B368">_xlfn.XLOOKUP(RIGHT(F368,8),TeamIdentity!C:C,TeamIdentity!A:A,NONE)</f>
        <v>49ers</v>
      </c>
      <c r="C368" t="s">
        <v>73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>
        <v>-2147483648</v>
      </c>
      <c r="O368">
        <v>-2147483648</v>
      </c>
      <c r="P368">
        <v>-2147483648</v>
      </c>
      <c r="Q368">
        <v>0</v>
      </c>
      <c r="R368" t="s">
        <v>59</v>
      </c>
      <c r="S368">
        <v>0</v>
      </c>
      <c r="T368">
        <v>0</v>
      </c>
      <c r="U368">
        <v>0</v>
      </c>
      <c r="V368" t="s">
        <v>57</v>
      </c>
      <c r="W368">
        <v>0</v>
      </c>
      <c r="X368">
        <v>0</v>
      </c>
      <c r="Y368">
        <v>0</v>
      </c>
      <c r="Z368">
        <v>-100</v>
      </c>
      <c r="AA368" t="s">
        <v>67</v>
      </c>
      <c r="AB368">
        <v>0</v>
      </c>
      <c r="AC368">
        <v>0</v>
      </c>
      <c r="AD368">
        <v>0</v>
      </c>
      <c r="AE368">
        <v>0</v>
      </c>
      <c r="AF368" t="s">
        <v>60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s">
        <v>55</v>
      </c>
      <c r="AM368" t="s">
        <v>76</v>
      </c>
      <c r="AN368" t="s">
        <v>66</v>
      </c>
      <c r="AO368">
        <v>0</v>
      </c>
      <c r="AP368">
        <v>0</v>
      </c>
      <c r="AQ368">
        <v>0</v>
      </c>
      <c r="AR368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s">
        <v>77</v>
      </c>
      <c r="BA368" t="s">
        <v>57</v>
      </c>
      <c r="BB368" t="s">
        <v>74</v>
      </c>
      <c r="BC368" t="s">
        <v>75</v>
      </c>
      <c r="BD368" t="s">
        <v>55</v>
      </c>
    </row>
    <row r="369" spans="1:56" x14ac:dyDescent="0.25">
      <c r="A369" t="str" cm="1">
        <f t="array" ref="A369">_xlfn.XLOOKUP(RIGHT(M369,8),TeamIdentity!C:C,TeamIdentity!A:A,NONE)</f>
        <v>49ers</v>
      </c>
      <c r="B369" t="str" cm="1">
        <f t="array" ref="B369">_xlfn.XLOOKUP(RIGHT(F369,8),TeamIdentity!C:C,TeamIdentity!A:A,NONE)</f>
        <v>49ers</v>
      </c>
      <c r="C369" t="s">
        <v>78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>
        <v>-2147483648</v>
      </c>
      <c r="O369">
        <v>-2147483648</v>
      </c>
      <c r="P369">
        <v>-2147483648</v>
      </c>
      <c r="Q369">
        <v>0</v>
      </c>
      <c r="R369" t="s">
        <v>59</v>
      </c>
      <c r="S369">
        <v>0</v>
      </c>
      <c r="T369">
        <v>0</v>
      </c>
      <c r="U369">
        <v>0</v>
      </c>
      <c r="V369" t="s">
        <v>57</v>
      </c>
      <c r="W369">
        <v>0</v>
      </c>
      <c r="X369">
        <v>0</v>
      </c>
      <c r="Y369">
        <v>0</v>
      </c>
      <c r="Z369">
        <v>-100</v>
      </c>
      <c r="AA369" t="s">
        <v>67</v>
      </c>
      <c r="AB369">
        <v>0</v>
      </c>
      <c r="AC369">
        <v>0</v>
      </c>
      <c r="AD369">
        <v>0</v>
      </c>
      <c r="AE369">
        <v>0</v>
      </c>
      <c r="AF369" t="s">
        <v>60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s">
        <v>55</v>
      </c>
      <c r="AM369" t="s">
        <v>76</v>
      </c>
      <c r="AN369" t="s">
        <v>66</v>
      </c>
      <c r="AO369">
        <v>0</v>
      </c>
      <c r="AP369">
        <v>0</v>
      </c>
      <c r="AQ369">
        <v>0</v>
      </c>
      <c r="AR369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s">
        <v>77</v>
      </c>
      <c r="BA369" t="s">
        <v>57</v>
      </c>
      <c r="BB369" t="s">
        <v>74</v>
      </c>
      <c r="BC369" t="s">
        <v>75</v>
      </c>
      <c r="BD369" t="s">
        <v>55</v>
      </c>
    </row>
    <row r="370" spans="1:56" x14ac:dyDescent="0.25">
      <c r="A370" t="str" cm="1">
        <f t="array" ref="A370">_xlfn.XLOOKUP(RIGHT(M370,8),TeamIdentity!C:C,TeamIdentity!A:A,NONE)</f>
        <v>49ers</v>
      </c>
      <c r="B370" t="str" cm="1">
        <f t="array" ref="B370">_xlfn.XLOOKUP(RIGHT(F370,8),TeamIdentity!C:C,TeamIdentity!A:A,NONE)</f>
        <v>49ers</v>
      </c>
      <c r="C370" t="s">
        <v>79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>
        <v>-2147483648</v>
      </c>
      <c r="O370">
        <v>-2147483648</v>
      </c>
      <c r="P370">
        <v>-2147483648</v>
      </c>
      <c r="Q370">
        <v>0</v>
      </c>
      <c r="R370" t="s">
        <v>59</v>
      </c>
      <c r="S370">
        <v>0</v>
      </c>
      <c r="T370">
        <v>0</v>
      </c>
      <c r="U370">
        <v>0</v>
      </c>
      <c r="V370" t="s">
        <v>57</v>
      </c>
      <c r="W370">
        <v>0</v>
      </c>
      <c r="X370">
        <v>0</v>
      </c>
      <c r="Y370">
        <v>0</v>
      </c>
      <c r="Z370">
        <v>-100</v>
      </c>
      <c r="AA370" t="s">
        <v>67</v>
      </c>
      <c r="AB370">
        <v>0</v>
      </c>
      <c r="AC370">
        <v>0</v>
      </c>
      <c r="AD370">
        <v>0</v>
      </c>
      <c r="AE370">
        <v>0</v>
      </c>
      <c r="AF370" t="s">
        <v>60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s">
        <v>55</v>
      </c>
      <c r="AM370" t="s">
        <v>76</v>
      </c>
      <c r="AN370" t="s">
        <v>66</v>
      </c>
      <c r="AO370">
        <v>0</v>
      </c>
      <c r="AP370">
        <v>0</v>
      </c>
      <c r="AQ370">
        <v>0</v>
      </c>
      <c r="AR370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s">
        <v>77</v>
      </c>
      <c r="BA370" t="s">
        <v>57</v>
      </c>
      <c r="BB370" t="s">
        <v>74</v>
      </c>
      <c r="BC370" t="s">
        <v>75</v>
      </c>
      <c r="BD370" t="s">
        <v>55</v>
      </c>
    </row>
    <row r="371" spans="1:56" x14ac:dyDescent="0.25">
      <c r="A371" t="str" cm="1">
        <f t="array" ref="A371">_xlfn.XLOOKUP(RIGHT(M371,8),TeamIdentity!C:C,TeamIdentity!A:A,NONE)</f>
        <v>49ers</v>
      </c>
      <c r="B371" t="str" cm="1">
        <f t="array" ref="B371">_xlfn.XLOOKUP(RIGHT(F371,8),TeamIdentity!C:C,TeamIdentity!A:A,NONE)</f>
        <v>49ers</v>
      </c>
      <c r="C371" t="s">
        <v>80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>
        <v>-2147483648</v>
      </c>
      <c r="O371">
        <v>-2147483648</v>
      </c>
      <c r="P371">
        <v>-2147483648</v>
      </c>
      <c r="Q371">
        <v>0</v>
      </c>
      <c r="R371" t="s">
        <v>59</v>
      </c>
      <c r="S371">
        <v>0</v>
      </c>
      <c r="T371">
        <v>0</v>
      </c>
      <c r="U371">
        <v>0</v>
      </c>
      <c r="V371" t="s">
        <v>57</v>
      </c>
      <c r="W371">
        <v>0</v>
      </c>
      <c r="X371">
        <v>0</v>
      </c>
      <c r="Y371">
        <v>0</v>
      </c>
      <c r="Z371">
        <v>-100</v>
      </c>
      <c r="AA371" t="s">
        <v>67</v>
      </c>
      <c r="AB371">
        <v>0</v>
      </c>
      <c r="AC371">
        <v>0</v>
      </c>
      <c r="AD371">
        <v>0</v>
      </c>
      <c r="AE371">
        <v>0</v>
      </c>
      <c r="AF371" t="s">
        <v>60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s">
        <v>55</v>
      </c>
      <c r="AM371" t="s">
        <v>76</v>
      </c>
      <c r="AN371" t="s">
        <v>66</v>
      </c>
      <c r="AO371">
        <v>0</v>
      </c>
      <c r="AP371">
        <v>0</v>
      </c>
      <c r="AQ371">
        <v>0</v>
      </c>
      <c r="AR371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s">
        <v>77</v>
      </c>
      <c r="BA371" t="s">
        <v>57</v>
      </c>
      <c r="BB371" t="s">
        <v>74</v>
      </c>
      <c r="BC371" t="s">
        <v>75</v>
      </c>
      <c r="BD371" t="s">
        <v>55</v>
      </c>
    </row>
    <row r="372" spans="1:56" x14ac:dyDescent="0.25">
      <c r="A372" t="str" cm="1">
        <f t="array" ref="A372">_xlfn.XLOOKUP(RIGHT(M372,8),TeamIdentity!C:C,TeamIdentity!A:A,NONE)</f>
        <v>49ers</v>
      </c>
      <c r="B372" t="str" cm="1">
        <f t="array" ref="B372">_xlfn.XLOOKUP(RIGHT(F372,8),TeamIdentity!C:C,TeamIdentity!A:A,NONE)</f>
        <v>49ers</v>
      </c>
      <c r="C372" t="s">
        <v>81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>
        <v>-2147483648</v>
      </c>
      <c r="O372">
        <v>-2147483648</v>
      </c>
      <c r="P372">
        <v>-2147483648</v>
      </c>
      <c r="Q372">
        <v>0</v>
      </c>
      <c r="R372" t="s">
        <v>59</v>
      </c>
      <c r="S372">
        <v>0</v>
      </c>
      <c r="T372">
        <v>0</v>
      </c>
      <c r="U372">
        <v>0</v>
      </c>
      <c r="V372" t="s">
        <v>57</v>
      </c>
      <c r="W372">
        <v>0</v>
      </c>
      <c r="X372">
        <v>0</v>
      </c>
      <c r="Y372">
        <v>0</v>
      </c>
      <c r="Z372">
        <v>-100</v>
      </c>
      <c r="AA372" t="s">
        <v>67</v>
      </c>
      <c r="AB372">
        <v>0</v>
      </c>
      <c r="AC372">
        <v>0</v>
      </c>
      <c r="AD372">
        <v>0</v>
      </c>
      <c r="AE372">
        <v>0</v>
      </c>
      <c r="AF372" t="s">
        <v>60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s">
        <v>55</v>
      </c>
      <c r="AM372" t="s">
        <v>76</v>
      </c>
      <c r="AN372" t="s">
        <v>66</v>
      </c>
      <c r="AO372">
        <v>0</v>
      </c>
      <c r="AP372">
        <v>0</v>
      </c>
      <c r="AQ372">
        <v>0</v>
      </c>
      <c r="AR372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s">
        <v>77</v>
      </c>
      <c r="BA372" t="s">
        <v>57</v>
      </c>
      <c r="BB372" t="s">
        <v>74</v>
      </c>
      <c r="BC372" t="s">
        <v>75</v>
      </c>
      <c r="BD372" t="s">
        <v>55</v>
      </c>
    </row>
    <row r="373" spans="1:56" x14ac:dyDescent="0.25">
      <c r="A373" t="str" cm="1">
        <f t="array" ref="A373">_xlfn.XLOOKUP(RIGHT(M373,8),TeamIdentity!C:C,TeamIdentity!A:A,NONE)</f>
        <v>49ers</v>
      </c>
      <c r="B373" t="str" cm="1">
        <f t="array" ref="B373">_xlfn.XLOOKUP(RIGHT(F373,8),TeamIdentity!C:C,TeamIdentity!A:A,NONE)</f>
        <v>49ers</v>
      </c>
      <c r="C373" t="s">
        <v>82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>
        <v>-2147483648</v>
      </c>
      <c r="O373">
        <v>-2147483648</v>
      </c>
      <c r="P373">
        <v>-2147483648</v>
      </c>
      <c r="Q373">
        <v>0</v>
      </c>
      <c r="R373" t="s">
        <v>59</v>
      </c>
      <c r="S373">
        <v>0</v>
      </c>
      <c r="T373">
        <v>0</v>
      </c>
      <c r="U373">
        <v>0</v>
      </c>
      <c r="V373" t="s">
        <v>57</v>
      </c>
      <c r="W373">
        <v>0</v>
      </c>
      <c r="X373">
        <v>0</v>
      </c>
      <c r="Y373">
        <v>0</v>
      </c>
      <c r="Z373">
        <v>-100</v>
      </c>
      <c r="AA373" t="s">
        <v>67</v>
      </c>
      <c r="AB373">
        <v>0</v>
      </c>
      <c r="AC373">
        <v>0</v>
      </c>
      <c r="AD373">
        <v>0</v>
      </c>
      <c r="AE373">
        <v>0</v>
      </c>
      <c r="AF373" t="s">
        <v>60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s">
        <v>55</v>
      </c>
      <c r="AM373" t="s">
        <v>76</v>
      </c>
      <c r="AN373" t="s">
        <v>66</v>
      </c>
      <c r="AO373">
        <v>0</v>
      </c>
      <c r="AP373">
        <v>0</v>
      </c>
      <c r="AQ373">
        <v>0</v>
      </c>
      <c r="AR373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s">
        <v>77</v>
      </c>
      <c r="BA373" t="s">
        <v>57</v>
      </c>
      <c r="BB373" t="s">
        <v>74</v>
      </c>
      <c r="BC373" t="s">
        <v>75</v>
      </c>
      <c r="BD373" t="s">
        <v>55</v>
      </c>
    </row>
    <row r="374" spans="1:56" x14ac:dyDescent="0.25">
      <c r="A374" t="str" cm="1">
        <f t="array" ref="A374">_xlfn.XLOOKUP(RIGHT(M374,8),TeamIdentity!C:C,TeamIdentity!A:A,NONE)</f>
        <v>49ers</v>
      </c>
      <c r="B374" t="str" cm="1">
        <f t="array" ref="B374">_xlfn.XLOOKUP(RIGHT(F374,8),TeamIdentity!C:C,TeamIdentity!A:A,NONE)</f>
        <v>49ers</v>
      </c>
      <c r="C374" t="s">
        <v>83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>
        <v>-2147483648</v>
      </c>
      <c r="O374">
        <v>-2147483648</v>
      </c>
      <c r="P374">
        <v>-2147483648</v>
      </c>
      <c r="Q374">
        <v>0</v>
      </c>
      <c r="R374" t="s">
        <v>59</v>
      </c>
      <c r="S374">
        <v>0</v>
      </c>
      <c r="T374">
        <v>0</v>
      </c>
      <c r="U374">
        <v>0</v>
      </c>
      <c r="V374" t="s">
        <v>57</v>
      </c>
      <c r="W374">
        <v>0</v>
      </c>
      <c r="X374">
        <v>0</v>
      </c>
      <c r="Y374">
        <v>0</v>
      </c>
      <c r="Z374">
        <v>-100</v>
      </c>
      <c r="AA374" t="s">
        <v>67</v>
      </c>
      <c r="AB374">
        <v>0</v>
      </c>
      <c r="AC374">
        <v>0</v>
      </c>
      <c r="AD374">
        <v>0</v>
      </c>
      <c r="AE374">
        <v>0</v>
      </c>
      <c r="AF374" t="s">
        <v>60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s">
        <v>55</v>
      </c>
      <c r="AM374" t="s">
        <v>76</v>
      </c>
      <c r="AN374" t="s">
        <v>66</v>
      </c>
      <c r="AO374">
        <v>0</v>
      </c>
      <c r="AP374">
        <v>0</v>
      </c>
      <c r="AQ374">
        <v>0</v>
      </c>
      <c r="AR374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s">
        <v>77</v>
      </c>
      <c r="BA374" t="s">
        <v>57</v>
      </c>
      <c r="BB374" t="s">
        <v>74</v>
      </c>
      <c r="BC374" t="s">
        <v>75</v>
      </c>
      <c r="BD374" t="s">
        <v>55</v>
      </c>
    </row>
    <row r="375" spans="1:56" x14ac:dyDescent="0.25">
      <c r="A375" t="str" cm="1">
        <f t="array" ref="A375">_xlfn.XLOOKUP(RIGHT(M375,8),TeamIdentity!C:C,TeamIdentity!A:A,NONE)</f>
        <v>49ers</v>
      </c>
      <c r="B375" t="str" cm="1">
        <f t="array" ref="B375">_xlfn.XLOOKUP(RIGHT(F375,8),TeamIdentity!C:C,TeamIdentity!A:A,NONE)</f>
        <v>49ers</v>
      </c>
      <c r="C375" t="s">
        <v>84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>
        <v>-2147483648</v>
      </c>
      <c r="O375">
        <v>-2147483648</v>
      </c>
      <c r="P375">
        <v>-2147483648</v>
      </c>
      <c r="Q375">
        <v>0</v>
      </c>
      <c r="R375" t="s">
        <v>59</v>
      </c>
      <c r="S375">
        <v>0</v>
      </c>
      <c r="T375">
        <v>0</v>
      </c>
      <c r="U375">
        <v>0</v>
      </c>
      <c r="V375" t="s">
        <v>57</v>
      </c>
      <c r="W375">
        <v>0</v>
      </c>
      <c r="X375">
        <v>0</v>
      </c>
      <c r="Y375">
        <v>0</v>
      </c>
      <c r="Z375">
        <v>-100</v>
      </c>
      <c r="AA375" t="s">
        <v>67</v>
      </c>
      <c r="AB375">
        <v>0</v>
      </c>
      <c r="AC375">
        <v>0</v>
      </c>
      <c r="AD375">
        <v>0</v>
      </c>
      <c r="AE375">
        <v>0</v>
      </c>
      <c r="AF375" t="s">
        <v>60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s">
        <v>55</v>
      </c>
      <c r="AM375" t="s">
        <v>76</v>
      </c>
      <c r="AN375" t="s">
        <v>66</v>
      </c>
      <c r="AO375">
        <v>0</v>
      </c>
      <c r="AP375">
        <v>0</v>
      </c>
      <c r="AQ375">
        <v>0</v>
      </c>
      <c r="AR375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s">
        <v>77</v>
      </c>
      <c r="BA375" t="s">
        <v>57</v>
      </c>
      <c r="BB375" t="s">
        <v>74</v>
      </c>
      <c r="BC375" t="s">
        <v>75</v>
      </c>
      <c r="BD375" t="s">
        <v>55</v>
      </c>
    </row>
    <row r="376" spans="1:56" x14ac:dyDescent="0.25">
      <c r="A376" t="str" cm="1">
        <f t="array" ref="A376">_xlfn.XLOOKUP(RIGHT(M376,8),TeamIdentity!C:C,TeamIdentity!A:A,NONE)</f>
        <v>49ers</v>
      </c>
      <c r="B376" t="str" cm="1">
        <f t="array" ref="B376">_xlfn.XLOOKUP(RIGHT(F376,8),TeamIdentity!C:C,TeamIdentity!A:A,NONE)</f>
        <v>49ers</v>
      </c>
      <c r="C376" t="s">
        <v>85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>
        <v>-2147483648</v>
      </c>
      <c r="O376">
        <v>-2147483648</v>
      </c>
      <c r="P376">
        <v>-2147483648</v>
      </c>
      <c r="Q376">
        <v>0</v>
      </c>
      <c r="R376" t="s">
        <v>59</v>
      </c>
      <c r="S376">
        <v>0</v>
      </c>
      <c r="T376">
        <v>0</v>
      </c>
      <c r="U376">
        <v>0</v>
      </c>
      <c r="V376" t="s">
        <v>57</v>
      </c>
      <c r="W376">
        <v>0</v>
      </c>
      <c r="X376">
        <v>0</v>
      </c>
      <c r="Y376">
        <v>0</v>
      </c>
      <c r="Z376">
        <v>-100</v>
      </c>
      <c r="AA376" t="s">
        <v>67</v>
      </c>
      <c r="AB376">
        <v>0</v>
      </c>
      <c r="AC376">
        <v>0</v>
      </c>
      <c r="AD376">
        <v>0</v>
      </c>
      <c r="AE376">
        <v>0</v>
      </c>
      <c r="AF376" t="s">
        <v>60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s">
        <v>55</v>
      </c>
      <c r="AM376" t="s">
        <v>76</v>
      </c>
      <c r="AN376" t="s">
        <v>66</v>
      </c>
      <c r="AO376">
        <v>0</v>
      </c>
      <c r="AP376">
        <v>0</v>
      </c>
      <c r="AQ376">
        <v>0</v>
      </c>
      <c r="AR376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s">
        <v>77</v>
      </c>
      <c r="BA376" t="s">
        <v>57</v>
      </c>
      <c r="BB376" t="s">
        <v>74</v>
      </c>
      <c r="BC376" t="s">
        <v>75</v>
      </c>
      <c r="BD376" t="s">
        <v>55</v>
      </c>
    </row>
    <row r="377" spans="1:56" x14ac:dyDescent="0.25">
      <c r="A377" t="str" cm="1">
        <f t="array" ref="A377">_xlfn.XLOOKUP(RIGHT(M377,8),TeamIdentity!C:C,TeamIdentity!A:A,NONE)</f>
        <v>49ers</v>
      </c>
      <c r="B377" t="str" cm="1">
        <f t="array" ref="B377">_xlfn.XLOOKUP(RIGHT(F377,8),TeamIdentity!C:C,TeamIdentity!A:A,NONE)</f>
        <v>49ers</v>
      </c>
      <c r="C377" t="s">
        <v>86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>
        <v>-2147483648</v>
      </c>
      <c r="O377">
        <v>-2147483648</v>
      </c>
      <c r="P377">
        <v>-2147483648</v>
      </c>
      <c r="Q377">
        <v>0</v>
      </c>
      <c r="R377" t="s">
        <v>59</v>
      </c>
      <c r="S377">
        <v>0</v>
      </c>
      <c r="T377">
        <v>0</v>
      </c>
      <c r="U377">
        <v>0</v>
      </c>
      <c r="V377" t="s">
        <v>57</v>
      </c>
      <c r="W377">
        <v>0</v>
      </c>
      <c r="X377">
        <v>0</v>
      </c>
      <c r="Y377">
        <v>0</v>
      </c>
      <c r="Z377">
        <v>-100</v>
      </c>
      <c r="AA377" t="s">
        <v>67</v>
      </c>
      <c r="AB377">
        <v>0</v>
      </c>
      <c r="AC377">
        <v>0</v>
      </c>
      <c r="AD377">
        <v>0</v>
      </c>
      <c r="AE377">
        <v>0</v>
      </c>
      <c r="AF377" t="s">
        <v>60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s">
        <v>55</v>
      </c>
      <c r="AM377" t="s">
        <v>76</v>
      </c>
      <c r="AN377" t="s">
        <v>66</v>
      </c>
      <c r="AO377">
        <v>0</v>
      </c>
      <c r="AP377">
        <v>0</v>
      </c>
      <c r="AQ377">
        <v>0</v>
      </c>
      <c r="AR377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s">
        <v>77</v>
      </c>
      <c r="BA377" t="s">
        <v>57</v>
      </c>
      <c r="BB377" t="s">
        <v>74</v>
      </c>
      <c r="BC377" t="s">
        <v>75</v>
      </c>
      <c r="BD377" t="s">
        <v>55</v>
      </c>
    </row>
    <row r="378" spans="1:56" x14ac:dyDescent="0.25">
      <c r="A378" t="str" cm="1">
        <f t="array" ref="A378">_xlfn.XLOOKUP(RIGHT(M378,8),TeamIdentity!C:C,TeamIdentity!A:A,NONE)</f>
        <v>49ers</v>
      </c>
      <c r="B378" t="str" cm="1">
        <f t="array" ref="B378">_xlfn.XLOOKUP(RIGHT(F378,8),TeamIdentity!C:C,TeamIdentity!A:A,NONE)</f>
        <v>49ers</v>
      </c>
      <c r="C378" t="s">
        <v>87</v>
      </c>
      <c r="D378" t="s">
        <v>54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>
        <v>-2147483648</v>
      </c>
      <c r="O378">
        <v>-2147483648</v>
      </c>
      <c r="P378">
        <v>-2147483648</v>
      </c>
      <c r="Q378">
        <v>0</v>
      </c>
      <c r="R378" t="s">
        <v>59</v>
      </c>
      <c r="S378">
        <v>0</v>
      </c>
      <c r="T378">
        <v>0</v>
      </c>
      <c r="U378">
        <v>0</v>
      </c>
      <c r="V378" t="s">
        <v>57</v>
      </c>
      <c r="W378">
        <v>0</v>
      </c>
      <c r="X378">
        <v>0</v>
      </c>
      <c r="Y378">
        <v>0</v>
      </c>
      <c r="Z378">
        <v>-100</v>
      </c>
      <c r="AA378" t="s">
        <v>67</v>
      </c>
      <c r="AB378">
        <v>0</v>
      </c>
      <c r="AC378">
        <v>0</v>
      </c>
      <c r="AD378">
        <v>0</v>
      </c>
      <c r="AE378">
        <v>0</v>
      </c>
      <c r="AF378" t="s">
        <v>60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s">
        <v>55</v>
      </c>
      <c r="AM378" t="s">
        <v>76</v>
      </c>
      <c r="AN378" t="s">
        <v>66</v>
      </c>
      <c r="AO378">
        <v>0</v>
      </c>
      <c r="AP378">
        <v>0</v>
      </c>
      <c r="AQ378">
        <v>0</v>
      </c>
      <c r="AR378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s">
        <v>77</v>
      </c>
      <c r="BA378" t="s">
        <v>57</v>
      </c>
      <c r="BB378" t="s">
        <v>74</v>
      </c>
      <c r="BC378" t="s">
        <v>75</v>
      </c>
      <c r="BD378" t="s">
        <v>55</v>
      </c>
    </row>
    <row r="379" spans="1:56" x14ac:dyDescent="0.25">
      <c r="A379" t="str" cm="1">
        <f t="array" ref="A379">_xlfn.XLOOKUP(RIGHT(M379,8),TeamIdentity!C:C,TeamIdentity!A:A,NONE)</f>
        <v>49ers</v>
      </c>
      <c r="B379" t="str" cm="1">
        <f t="array" ref="B379">_xlfn.XLOOKUP(RIGHT(F379,8),TeamIdentity!C:C,TeamIdentity!A:A,NONE)</f>
        <v>49ers</v>
      </c>
      <c r="C379" t="s">
        <v>88</v>
      </c>
      <c r="D379" t="s">
        <v>54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>
        <v>-2147483648</v>
      </c>
      <c r="O379">
        <v>-2147483648</v>
      </c>
      <c r="P379">
        <v>-2147483648</v>
      </c>
      <c r="Q379">
        <v>0</v>
      </c>
      <c r="R379" t="s">
        <v>59</v>
      </c>
      <c r="S379">
        <v>0</v>
      </c>
      <c r="T379">
        <v>0</v>
      </c>
      <c r="U379">
        <v>0</v>
      </c>
      <c r="V379" t="s">
        <v>57</v>
      </c>
      <c r="W379">
        <v>0</v>
      </c>
      <c r="X379">
        <v>0</v>
      </c>
      <c r="Y379">
        <v>0</v>
      </c>
      <c r="Z379">
        <v>-100</v>
      </c>
      <c r="AA379" t="s">
        <v>67</v>
      </c>
      <c r="AB379">
        <v>0</v>
      </c>
      <c r="AC379">
        <v>0</v>
      </c>
      <c r="AD379">
        <v>0</v>
      </c>
      <c r="AE379">
        <v>0</v>
      </c>
      <c r="AF379" t="s">
        <v>60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s">
        <v>55</v>
      </c>
      <c r="AM379" t="s">
        <v>76</v>
      </c>
      <c r="AN379" t="s">
        <v>66</v>
      </c>
      <c r="AO379">
        <v>0</v>
      </c>
      <c r="AP379">
        <v>0</v>
      </c>
      <c r="AQ379">
        <v>0</v>
      </c>
      <c r="AR379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s">
        <v>77</v>
      </c>
      <c r="BA379" t="s">
        <v>57</v>
      </c>
      <c r="BB379" t="s">
        <v>74</v>
      </c>
      <c r="BC379" t="s">
        <v>75</v>
      </c>
      <c r="BD379" t="s">
        <v>55</v>
      </c>
    </row>
    <row r="380" spans="1:56" x14ac:dyDescent="0.25">
      <c r="A380" t="str" cm="1">
        <f t="array" ref="A380">_xlfn.XLOOKUP(RIGHT(M380,8),TeamIdentity!C:C,TeamIdentity!A:A,NONE)</f>
        <v>49ers</v>
      </c>
      <c r="B380" t="str" cm="1">
        <f t="array" ref="B380">_xlfn.XLOOKUP(RIGHT(F380,8),TeamIdentity!C:C,TeamIdentity!A:A,NONE)</f>
        <v>49ers</v>
      </c>
      <c r="C380" t="s">
        <v>89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>
        <v>-2147483648</v>
      </c>
      <c r="O380">
        <v>-2147483648</v>
      </c>
      <c r="P380">
        <v>-2147483648</v>
      </c>
      <c r="Q380">
        <v>0</v>
      </c>
      <c r="R380" t="s">
        <v>59</v>
      </c>
      <c r="S380">
        <v>0</v>
      </c>
      <c r="T380">
        <v>0</v>
      </c>
      <c r="U380">
        <v>0</v>
      </c>
      <c r="V380" t="s">
        <v>57</v>
      </c>
      <c r="W380">
        <v>0</v>
      </c>
      <c r="X380">
        <v>0</v>
      </c>
      <c r="Y380">
        <v>0</v>
      </c>
      <c r="Z380">
        <v>-100</v>
      </c>
      <c r="AA380" t="s">
        <v>67</v>
      </c>
      <c r="AB380">
        <v>0</v>
      </c>
      <c r="AC380">
        <v>0</v>
      </c>
      <c r="AD380">
        <v>0</v>
      </c>
      <c r="AE380">
        <v>0</v>
      </c>
      <c r="AF380" t="s">
        <v>60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s">
        <v>55</v>
      </c>
      <c r="AM380" t="s">
        <v>76</v>
      </c>
      <c r="AN380" t="s">
        <v>66</v>
      </c>
      <c r="AO380">
        <v>0</v>
      </c>
      <c r="AP380">
        <v>0</v>
      </c>
      <c r="AQ380">
        <v>0</v>
      </c>
      <c r="AR380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s">
        <v>77</v>
      </c>
      <c r="BA380" t="s">
        <v>57</v>
      </c>
      <c r="BB380" t="s">
        <v>74</v>
      </c>
      <c r="BC380" t="s">
        <v>75</v>
      </c>
      <c r="BD380" t="s">
        <v>55</v>
      </c>
    </row>
    <row r="381" spans="1:56" x14ac:dyDescent="0.25">
      <c r="A381" t="str" cm="1">
        <f t="array" ref="A381">_xlfn.XLOOKUP(RIGHT(M381,8),TeamIdentity!C:C,TeamIdentity!A:A,NONE)</f>
        <v>49ers</v>
      </c>
      <c r="B381" t="str" cm="1">
        <f t="array" ref="B381">_xlfn.XLOOKUP(RIGHT(F381,8),TeamIdentity!C:C,TeamIdentity!A:A,NONE)</f>
        <v>49ers</v>
      </c>
      <c r="C381" t="s">
        <v>90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>
        <v>-2147483648</v>
      </c>
      <c r="O381">
        <v>-2147483648</v>
      </c>
      <c r="P381">
        <v>-2147483648</v>
      </c>
      <c r="Q381">
        <v>0</v>
      </c>
      <c r="R381" t="s">
        <v>59</v>
      </c>
      <c r="S381">
        <v>0</v>
      </c>
      <c r="T381">
        <v>0</v>
      </c>
      <c r="U381">
        <v>0</v>
      </c>
      <c r="V381" t="s">
        <v>57</v>
      </c>
      <c r="W381">
        <v>0</v>
      </c>
      <c r="X381">
        <v>0</v>
      </c>
      <c r="Y381">
        <v>0</v>
      </c>
      <c r="Z381">
        <v>-100</v>
      </c>
      <c r="AA381" t="s">
        <v>67</v>
      </c>
      <c r="AB381">
        <v>0</v>
      </c>
      <c r="AC381">
        <v>0</v>
      </c>
      <c r="AD381">
        <v>0</v>
      </c>
      <c r="AE381">
        <v>0</v>
      </c>
      <c r="AF381" t="s">
        <v>60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s">
        <v>55</v>
      </c>
      <c r="AM381" t="s">
        <v>76</v>
      </c>
      <c r="AN381" t="s">
        <v>66</v>
      </c>
      <c r="AO381">
        <v>0</v>
      </c>
      <c r="AP381">
        <v>0</v>
      </c>
      <c r="AQ381">
        <v>0</v>
      </c>
      <c r="AR381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s">
        <v>77</v>
      </c>
      <c r="BA381" t="s">
        <v>57</v>
      </c>
      <c r="BB381" t="s">
        <v>74</v>
      </c>
      <c r="BC381" t="s">
        <v>75</v>
      </c>
      <c r="BD381" t="s">
        <v>55</v>
      </c>
    </row>
    <row r="382" spans="1:56" x14ac:dyDescent="0.25">
      <c r="A382" t="str" cm="1">
        <f t="array" ref="A382">_xlfn.XLOOKUP(RIGHT(M382,8),TeamIdentity!C:C,TeamIdentity!A:A,NONE)</f>
        <v>49ers</v>
      </c>
      <c r="B382" t="str" cm="1">
        <f t="array" ref="B382">_xlfn.XLOOKUP(RIGHT(F382,8),TeamIdentity!C:C,TeamIdentity!A:A,NONE)</f>
        <v>49ers</v>
      </c>
      <c r="C382" t="s">
        <v>91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>
        <v>-2147483648</v>
      </c>
      <c r="O382">
        <v>-2147483648</v>
      </c>
      <c r="P382">
        <v>-2147483648</v>
      </c>
      <c r="Q382">
        <v>0</v>
      </c>
      <c r="R382" t="s">
        <v>59</v>
      </c>
      <c r="S382">
        <v>0</v>
      </c>
      <c r="T382">
        <v>0</v>
      </c>
      <c r="U382">
        <v>0</v>
      </c>
      <c r="V382" t="s">
        <v>57</v>
      </c>
      <c r="W382">
        <v>0</v>
      </c>
      <c r="X382">
        <v>0</v>
      </c>
      <c r="Y382">
        <v>0</v>
      </c>
      <c r="Z382">
        <v>-100</v>
      </c>
      <c r="AA382" t="s">
        <v>67</v>
      </c>
      <c r="AB382">
        <v>0</v>
      </c>
      <c r="AC382">
        <v>0</v>
      </c>
      <c r="AD382">
        <v>0</v>
      </c>
      <c r="AE382">
        <v>0</v>
      </c>
      <c r="AF382" t="s">
        <v>60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s">
        <v>55</v>
      </c>
      <c r="AM382" t="s">
        <v>76</v>
      </c>
      <c r="AN382" t="s">
        <v>66</v>
      </c>
      <c r="AO382">
        <v>0</v>
      </c>
      <c r="AP382">
        <v>0</v>
      </c>
      <c r="AQ382">
        <v>0</v>
      </c>
      <c r="AR382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s">
        <v>77</v>
      </c>
      <c r="BA382" t="s">
        <v>57</v>
      </c>
      <c r="BB382" t="s">
        <v>74</v>
      </c>
      <c r="BC382" t="s">
        <v>75</v>
      </c>
      <c r="BD382" t="s">
        <v>55</v>
      </c>
    </row>
    <row r="383" spans="1:56" x14ac:dyDescent="0.25">
      <c r="A383" t="str" cm="1">
        <f t="array" ref="A383">_xlfn.XLOOKUP(RIGHT(M383,8),TeamIdentity!C:C,TeamIdentity!A:A,NONE)</f>
        <v>49ers</v>
      </c>
      <c r="B383" t="str" cm="1">
        <f t="array" ref="B383">_xlfn.XLOOKUP(RIGHT(F383,8),TeamIdentity!C:C,TeamIdentity!A:A,NONE)</f>
        <v>49ers</v>
      </c>
      <c r="C383" t="s">
        <v>92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>
        <v>-2147483648</v>
      </c>
      <c r="O383">
        <v>-2147483648</v>
      </c>
      <c r="P383">
        <v>-2147483648</v>
      </c>
      <c r="Q383">
        <v>0</v>
      </c>
      <c r="R383" t="s">
        <v>59</v>
      </c>
      <c r="S383">
        <v>0</v>
      </c>
      <c r="T383">
        <v>0</v>
      </c>
      <c r="U383">
        <v>0</v>
      </c>
      <c r="V383" t="s">
        <v>57</v>
      </c>
      <c r="W383">
        <v>0</v>
      </c>
      <c r="X383">
        <v>0</v>
      </c>
      <c r="Y383">
        <v>0</v>
      </c>
      <c r="Z383">
        <v>-100</v>
      </c>
      <c r="AA383" t="s">
        <v>67</v>
      </c>
      <c r="AB383">
        <v>0</v>
      </c>
      <c r="AC383">
        <v>0</v>
      </c>
      <c r="AD383">
        <v>0</v>
      </c>
      <c r="AE383">
        <v>0</v>
      </c>
      <c r="AF383" t="s">
        <v>60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s">
        <v>55</v>
      </c>
      <c r="AM383" t="s">
        <v>76</v>
      </c>
      <c r="AN383" t="s">
        <v>66</v>
      </c>
      <c r="AO383">
        <v>0</v>
      </c>
      <c r="AP383">
        <v>0</v>
      </c>
      <c r="AQ383">
        <v>0</v>
      </c>
      <c r="AR383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s">
        <v>77</v>
      </c>
      <c r="BA383" t="s">
        <v>57</v>
      </c>
      <c r="BB383" t="s">
        <v>74</v>
      </c>
      <c r="BC383" t="s">
        <v>75</v>
      </c>
      <c r="BD383" t="s">
        <v>55</v>
      </c>
    </row>
    <row r="384" spans="1:56" x14ac:dyDescent="0.25">
      <c r="A384" t="str" cm="1">
        <f t="array" ref="A384">_xlfn.XLOOKUP(RIGHT(M384,8),TeamIdentity!C:C,TeamIdentity!A:A,NONE)</f>
        <v>49ers</v>
      </c>
      <c r="B384" t="str" cm="1">
        <f t="array" ref="B384">_xlfn.XLOOKUP(RIGHT(F384,8),TeamIdentity!C:C,TeamIdentity!A:A,NONE)</f>
        <v>49ers</v>
      </c>
      <c r="C384" t="s">
        <v>93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>
        <v>-2147483648</v>
      </c>
      <c r="O384">
        <v>-2147483648</v>
      </c>
      <c r="P384">
        <v>-2147483648</v>
      </c>
      <c r="Q384">
        <v>0</v>
      </c>
      <c r="R384" t="s">
        <v>59</v>
      </c>
      <c r="S384">
        <v>0</v>
      </c>
      <c r="T384">
        <v>0</v>
      </c>
      <c r="U384">
        <v>0</v>
      </c>
      <c r="V384" t="s">
        <v>57</v>
      </c>
      <c r="W384">
        <v>0</v>
      </c>
      <c r="X384">
        <v>0</v>
      </c>
      <c r="Y384">
        <v>0</v>
      </c>
      <c r="Z384">
        <v>-100</v>
      </c>
      <c r="AA384" t="s">
        <v>67</v>
      </c>
      <c r="AB384">
        <v>0</v>
      </c>
      <c r="AC384">
        <v>0</v>
      </c>
      <c r="AD384">
        <v>0</v>
      </c>
      <c r="AE384">
        <v>0</v>
      </c>
      <c r="AF384" t="s">
        <v>60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s">
        <v>55</v>
      </c>
      <c r="AM384" t="s">
        <v>76</v>
      </c>
      <c r="AN384" t="s">
        <v>66</v>
      </c>
      <c r="AO384">
        <v>0</v>
      </c>
      <c r="AP384">
        <v>0</v>
      </c>
      <c r="AQ384">
        <v>0</v>
      </c>
      <c r="AR384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s">
        <v>77</v>
      </c>
      <c r="BA384" t="s">
        <v>57</v>
      </c>
      <c r="BB384" t="s">
        <v>74</v>
      </c>
      <c r="BC384" t="s">
        <v>75</v>
      </c>
      <c r="BD384" t="s">
        <v>55</v>
      </c>
    </row>
    <row r="385" spans="1:56" x14ac:dyDescent="0.25">
      <c r="A385" t="str" cm="1">
        <f t="array" ref="A385">_xlfn.XLOOKUP(RIGHT(M385,8),TeamIdentity!C:C,TeamIdentity!A:A,NONE)</f>
        <v>49ers</v>
      </c>
      <c r="B385" t="str" cm="1">
        <f t="array" ref="B385">_xlfn.XLOOKUP(RIGHT(F385,8),TeamIdentity!C:C,TeamIdentity!A:A,NONE)</f>
        <v>49ers</v>
      </c>
      <c r="C385" t="s">
        <v>94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>
        <v>-2147483648</v>
      </c>
      <c r="O385">
        <v>-2147483648</v>
      </c>
      <c r="P385">
        <v>-2147483648</v>
      </c>
      <c r="Q385">
        <v>0</v>
      </c>
      <c r="R385" t="s">
        <v>59</v>
      </c>
      <c r="S385">
        <v>0</v>
      </c>
      <c r="T385">
        <v>0</v>
      </c>
      <c r="U385">
        <v>0</v>
      </c>
      <c r="V385" t="s">
        <v>57</v>
      </c>
      <c r="W385">
        <v>0</v>
      </c>
      <c r="X385">
        <v>0</v>
      </c>
      <c r="Y385">
        <v>0</v>
      </c>
      <c r="Z385">
        <v>-100</v>
      </c>
      <c r="AA385" t="s">
        <v>67</v>
      </c>
      <c r="AB385">
        <v>0</v>
      </c>
      <c r="AC385">
        <v>0</v>
      </c>
      <c r="AD385">
        <v>0</v>
      </c>
      <c r="AE385">
        <v>0</v>
      </c>
      <c r="AF385" t="s">
        <v>60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s">
        <v>55</v>
      </c>
      <c r="AM385" t="s">
        <v>76</v>
      </c>
      <c r="AN385" t="s">
        <v>66</v>
      </c>
      <c r="AO385">
        <v>0</v>
      </c>
      <c r="AP385">
        <v>0</v>
      </c>
      <c r="AQ385">
        <v>0</v>
      </c>
      <c r="AR385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s">
        <v>77</v>
      </c>
      <c r="BA385" t="s">
        <v>57</v>
      </c>
      <c r="BB385" t="s">
        <v>74</v>
      </c>
      <c r="BC385" t="s">
        <v>75</v>
      </c>
      <c r="BD385" t="s">
        <v>55</v>
      </c>
    </row>
    <row r="386" spans="1:56" x14ac:dyDescent="0.25">
      <c r="A386" t="str" cm="1">
        <f t="array" ref="A386">_xlfn.XLOOKUP(RIGHT(M386,8),TeamIdentity!C:C,TeamIdentity!A:A,NONE)</f>
        <v>49ers</v>
      </c>
      <c r="B386" t="str" cm="1">
        <f t="array" ref="B386">_xlfn.XLOOKUP(RIGHT(F386,8),TeamIdentity!C:C,TeamIdentity!A:A,NONE)</f>
        <v>49ers</v>
      </c>
      <c r="C386" t="s">
        <v>95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>
        <v>-2147483648</v>
      </c>
      <c r="O386">
        <v>-2147483648</v>
      </c>
      <c r="P386">
        <v>-2147483648</v>
      </c>
      <c r="Q386">
        <v>0</v>
      </c>
      <c r="R386" t="s">
        <v>59</v>
      </c>
      <c r="S386">
        <v>0</v>
      </c>
      <c r="T386">
        <v>0</v>
      </c>
      <c r="U386">
        <v>0</v>
      </c>
      <c r="V386" t="s">
        <v>57</v>
      </c>
      <c r="W386">
        <v>0</v>
      </c>
      <c r="X386">
        <v>0</v>
      </c>
      <c r="Y386">
        <v>0</v>
      </c>
      <c r="Z386">
        <v>-100</v>
      </c>
      <c r="AA386" t="s">
        <v>67</v>
      </c>
      <c r="AB386">
        <v>0</v>
      </c>
      <c r="AC386">
        <v>0</v>
      </c>
      <c r="AD386">
        <v>0</v>
      </c>
      <c r="AE386">
        <v>0</v>
      </c>
      <c r="AF386" t="s">
        <v>60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s">
        <v>55</v>
      </c>
      <c r="AM386" t="s">
        <v>76</v>
      </c>
      <c r="AN386" t="s">
        <v>66</v>
      </c>
      <c r="AO386">
        <v>0</v>
      </c>
      <c r="AP386">
        <v>0</v>
      </c>
      <c r="AQ386">
        <v>0</v>
      </c>
      <c r="AR386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s">
        <v>77</v>
      </c>
      <c r="BA386" t="s">
        <v>57</v>
      </c>
      <c r="BB386" t="s">
        <v>74</v>
      </c>
      <c r="BC386" t="s">
        <v>75</v>
      </c>
      <c r="BD386" t="s">
        <v>55</v>
      </c>
    </row>
    <row r="387" spans="1:56" x14ac:dyDescent="0.25">
      <c r="A387" t="str" cm="1">
        <f t="array" ref="A387">_xlfn.XLOOKUP(RIGHT(M387,8),TeamIdentity!C:C,TeamIdentity!A:A,NONE)</f>
        <v>49ers</v>
      </c>
      <c r="B387" t="str" cm="1">
        <f t="array" ref="B387">_xlfn.XLOOKUP(RIGHT(F387,8),TeamIdentity!C:C,TeamIdentity!A:A,NONE)</f>
        <v>49ers</v>
      </c>
      <c r="C387" t="s">
        <v>96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>
        <v>-2147483648</v>
      </c>
      <c r="O387">
        <v>-2147483648</v>
      </c>
      <c r="P387">
        <v>-2147483648</v>
      </c>
      <c r="Q387">
        <v>0</v>
      </c>
      <c r="R387" t="s">
        <v>59</v>
      </c>
      <c r="S387">
        <v>0</v>
      </c>
      <c r="T387">
        <v>0</v>
      </c>
      <c r="U387">
        <v>0</v>
      </c>
      <c r="V387" t="s">
        <v>57</v>
      </c>
      <c r="W387">
        <v>0</v>
      </c>
      <c r="X387">
        <v>0</v>
      </c>
      <c r="Y387">
        <v>0</v>
      </c>
      <c r="Z387">
        <v>-100</v>
      </c>
      <c r="AA387" t="s">
        <v>67</v>
      </c>
      <c r="AB387">
        <v>0</v>
      </c>
      <c r="AC387">
        <v>0</v>
      </c>
      <c r="AD387">
        <v>0</v>
      </c>
      <c r="AE387">
        <v>0</v>
      </c>
      <c r="AF387" t="s">
        <v>60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s">
        <v>55</v>
      </c>
      <c r="AM387" t="s">
        <v>76</v>
      </c>
      <c r="AN387" t="s">
        <v>66</v>
      </c>
      <c r="AO387">
        <v>0</v>
      </c>
      <c r="AP387">
        <v>0</v>
      </c>
      <c r="AQ387">
        <v>0</v>
      </c>
      <c r="AR387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s">
        <v>77</v>
      </c>
      <c r="BA387" t="s">
        <v>57</v>
      </c>
      <c r="BB387" t="s">
        <v>74</v>
      </c>
      <c r="BC387" t="s">
        <v>75</v>
      </c>
      <c r="BD387" t="s">
        <v>55</v>
      </c>
    </row>
    <row r="388" spans="1:56" x14ac:dyDescent="0.25">
      <c r="A388" t="str" cm="1">
        <f t="array" ref="A388">_xlfn.XLOOKUP(RIGHT(M388,8),TeamIdentity!C:C,TeamIdentity!A:A,NONE)</f>
        <v>49ers</v>
      </c>
      <c r="B388" t="str" cm="1">
        <f t="array" ref="B388">_xlfn.XLOOKUP(RIGHT(F388,8),TeamIdentity!C:C,TeamIdentity!A:A,NONE)</f>
        <v>49ers</v>
      </c>
      <c r="C388" t="s">
        <v>97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>
        <v>-2147483648</v>
      </c>
      <c r="O388">
        <v>-2147483648</v>
      </c>
      <c r="P388">
        <v>-2147483648</v>
      </c>
      <c r="Q388">
        <v>0</v>
      </c>
      <c r="R388" t="s">
        <v>59</v>
      </c>
      <c r="S388">
        <v>0</v>
      </c>
      <c r="T388">
        <v>0</v>
      </c>
      <c r="U388">
        <v>0</v>
      </c>
      <c r="V388" t="s">
        <v>57</v>
      </c>
      <c r="W388">
        <v>0</v>
      </c>
      <c r="X388">
        <v>0</v>
      </c>
      <c r="Y388">
        <v>0</v>
      </c>
      <c r="Z388">
        <v>-100</v>
      </c>
      <c r="AA388" t="s">
        <v>67</v>
      </c>
      <c r="AB388">
        <v>0</v>
      </c>
      <c r="AC388">
        <v>0</v>
      </c>
      <c r="AD388">
        <v>0</v>
      </c>
      <c r="AE388">
        <v>0</v>
      </c>
      <c r="AF388" t="s">
        <v>60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s">
        <v>55</v>
      </c>
      <c r="AM388" t="s">
        <v>76</v>
      </c>
      <c r="AN388" t="s">
        <v>66</v>
      </c>
      <c r="AO388">
        <v>0</v>
      </c>
      <c r="AP388">
        <v>0</v>
      </c>
      <c r="AQ388">
        <v>0</v>
      </c>
      <c r="AR388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s">
        <v>77</v>
      </c>
      <c r="BA388" t="s">
        <v>57</v>
      </c>
      <c r="BB388" t="s">
        <v>74</v>
      </c>
      <c r="BC388" t="s">
        <v>75</v>
      </c>
      <c r="BD388" t="s">
        <v>55</v>
      </c>
    </row>
    <row r="389" spans="1:56" x14ac:dyDescent="0.25">
      <c r="A389" t="str" cm="1">
        <f t="array" ref="A389">_xlfn.XLOOKUP(RIGHT(M389,8),TeamIdentity!C:C,TeamIdentity!A:A,NONE)</f>
        <v>49ers</v>
      </c>
      <c r="B389" t="str" cm="1">
        <f t="array" ref="B389">_xlfn.XLOOKUP(RIGHT(F389,8),TeamIdentity!C:C,TeamIdentity!A:A,NONE)</f>
        <v>49ers</v>
      </c>
      <c r="C389" t="s">
        <v>98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>
        <v>-2147483648</v>
      </c>
      <c r="O389">
        <v>-2147483648</v>
      </c>
      <c r="P389">
        <v>-2147483648</v>
      </c>
      <c r="Q389">
        <v>0</v>
      </c>
      <c r="R389" t="s">
        <v>59</v>
      </c>
      <c r="S389">
        <v>0</v>
      </c>
      <c r="T389">
        <v>0</v>
      </c>
      <c r="U389">
        <v>0</v>
      </c>
      <c r="V389" t="s">
        <v>57</v>
      </c>
      <c r="W389">
        <v>0</v>
      </c>
      <c r="X389">
        <v>0</v>
      </c>
      <c r="Y389">
        <v>0</v>
      </c>
      <c r="Z389">
        <v>-100</v>
      </c>
      <c r="AA389" t="s">
        <v>67</v>
      </c>
      <c r="AB389">
        <v>0</v>
      </c>
      <c r="AC389">
        <v>0</v>
      </c>
      <c r="AD389">
        <v>0</v>
      </c>
      <c r="AE389">
        <v>0</v>
      </c>
      <c r="AF389" t="s">
        <v>60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s">
        <v>55</v>
      </c>
      <c r="AM389" t="s">
        <v>76</v>
      </c>
      <c r="AN389" t="s">
        <v>66</v>
      </c>
      <c r="AO389">
        <v>0</v>
      </c>
      <c r="AP389">
        <v>0</v>
      </c>
      <c r="AQ389">
        <v>0</v>
      </c>
      <c r="AR389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s">
        <v>77</v>
      </c>
      <c r="BA389" t="s">
        <v>57</v>
      </c>
      <c r="BB389" t="s">
        <v>74</v>
      </c>
      <c r="BC389" t="s">
        <v>75</v>
      </c>
      <c r="BD389" t="s">
        <v>55</v>
      </c>
    </row>
    <row r="390" spans="1:56" x14ac:dyDescent="0.25">
      <c r="A390" t="str" cm="1">
        <f t="array" ref="A390">_xlfn.XLOOKUP(RIGHT(M390,8),TeamIdentity!C:C,TeamIdentity!A:A,NONE)</f>
        <v>49ers</v>
      </c>
      <c r="B390" t="str" cm="1">
        <f t="array" ref="B390">_xlfn.XLOOKUP(RIGHT(F390,8),TeamIdentity!C:C,TeamIdentity!A:A,NONE)</f>
        <v>49ers</v>
      </c>
      <c r="C390" t="s">
        <v>99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>
        <v>-2147483648</v>
      </c>
      <c r="O390">
        <v>-2147483648</v>
      </c>
      <c r="P390">
        <v>-2147483648</v>
      </c>
      <c r="Q390">
        <v>0</v>
      </c>
      <c r="R390" t="s">
        <v>59</v>
      </c>
      <c r="S390">
        <v>0</v>
      </c>
      <c r="T390">
        <v>0</v>
      </c>
      <c r="U390">
        <v>0</v>
      </c>
      <c r="V390" t="s">
        <v>57</v>
      </c>
      <c r="W390">
        <v>0</v>
      </c>
      <c r="X390">
        <v>0</v>
      </c>
      <c r="Y390">
        <v>0</v>
      </c>
      <c r="Z390">
        <v>-100</v>
      </c>
      <c r="AA390" t="s">
        <v>67</v>
      </c>
      <c r="AB390">
        <v>0</v>
      </c>
      <c r="AC390">
        <v>0</v>
      </c>
      <c r="AD390">
        <v>0</v>
      </c>
      <c r="AE390">
        <v>0</v>
      </c>
      <c r="AF390" t="s">
        <v>60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s">
        <v>55</v>
      </c>
      <c r="AM390" t="s">
        <v>76</v>
      </c>
      <c r="AN390" t="s">
        <v>66</v>
      </c>
      <c r="AO390">
        <v>0</v>
      </c>
      <c r="AP390">
        <v>0</v>
      </c>
      <c r="AQ390">
        <v>0</v>
      </c>
      <c r="AR390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s">
        <v>77</v>
      </c>
      <c r="BA390" t="s">
        <v>57</v>
      </c>
      <c r="BB390" t="s">
        <v>74</v>
      </c>
      <c r="BC390" t="s">
        <v>75</v>
      </c>
      <c r="BD390" t="s">
        <v>55</v>
      </c>
    </row>
    <row r="391" spans="1:56" x14ac:dyDescent="0.25">
      <c r="A391" t="str" cm="1">
        <f t="array" ref="A391">_xlfn.XLOOKUP(RIGHT(M391,8),TeamIdentity!C:C,TeamIdentity!A:A,NONE)</f>
        <v>49ers</v>
      </c>
      <c r="B391" t="str" cm="1">
        <f t="array" ref="B391">_xlfn.XLOOKUP(RIGHT(F391,8),TeamIdentity!C:C,TeamIdentity!A:A,NONE)</f>
        <v>49ers</v>
      </c>
      <c r="C391" t="s">
        <v>100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>
        <v>-2147483648</v>
      </c>
      <c r="O391">
        <v>-2147483648</v>
      </c>
      <c r="P391">
        <v>-2147483648</v>
      </c>
      <c r="Q391">
        <v>0</v>
      </c>
      <c r="R391" t="s">
        <v>59</v>
      </c>
      <c r="S391">
        <v>0</v>
      </c>
      <c r="T391">
        <v>0</v>
      </c>
      <c r="U391">
        <v>0</v>
      </c>
      <c r="V391" t="s">
        <v>57</v>
      </c>
      <c r="W391">
        <v>0</v>
      </c>
      <c r="X391">
        <v>0</v>
      </c>
      <c r="Y391">
        <v>0</v>
      </c>
      <c r="Z391">
        <v>-100</v>
      </c>
      <c r="AA391" t="s">
        <v>67</v>
      </c>
      <c r="AB391">
        <v>0</v>
      </c>
      <c r="AC391">
        <v>0</v>
      </c>
      <c r="AD391">
        <v>0</v>
      </c>
      <c r="AE391">
        <v>0</v>
      </c>
      <c r="AF391" t="s">
        <v>60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s">
        <v>55</v>
      </c>
      <c r="AM391" t="s">
        <v>76</v>
      </c>
      <c r="AN391" t="s">
        <v>66</v>
      </c>
      <c r="AO391">
        <v>0</v>
      </c>
      <c r="AP391">
        <v>0</v>
      </c>
      <c r="AQ391">
        <v>0</v>
      </c>
      <c r="AR391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s">
        <v>77</v>
      </c>
      <c r="BA391" t="s">
        <v>57</v>
      </c>
      <c r="BB391" t="s">
        <v>74</v>
      </c>
      <c r="BC391" t="s">
        <v>75</v>
      </c>
      <c r="BD391" t="s">
        <v>55</v>
      </c>
    </row>
    <row r="392" spans="1:56" x14ac:dyDescent="0.25">
      <c r="A392" t="str" cm="1">
        <f t="array" ref="A392">_xlfn.XLOOKUP(RIGHT(M392,8),TeamIdentity!C:C,TeamIdentity!A:A,NONE)</f>
        <v>49ers</v>
      </c>
      <c r="B392" t="str" cm="1">
        <f t="array" ref="B392">_xlfn.XLOOKUP(RIGHT(F392,8),TeamIdentity!C:C,TeamIdentity!A:A,NONE)</f>
        <v>49ers</v>
      </c>
      <c r="C392" t="s">
        <v>101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>
        <v>-2147483648</v>
      </c>
      <c r="O392">
        <v>-2147483648</v>
      </c>
      <c r="P392">
        <v>-2147483648</v>
      </c>
      <c r="Q392">
        <v>0</v>
      </c>
      <c r="R392" t="s">
        <v>59</v>
      </c>
      <c r="S392">
        <v>0</v>
      </c>
      <c r="T392">
        <v>0</v>
      </c>
      <c r="U392">
        <v>0</v>
      </c>
      <c r="V392" t="s">
        <v>57</v>
      </c>
      <c r="W392">
        <v>0</v>
      </c>
      <c r="X392">
        <v>0</v>
      </c>
      <c r="Y392">
        <v>0</v>
      </c>
      <c r="Z392">
        <v>-100</v>
      </c>
      <c r="AA392" t="s">
        <v>67</v>
      </c>
      <c r="AB392">
        <v>0</v>
      </c>
      <c r="AC392">
        <v>0</v>
      </c>
      <c r="AD392">
        <v>0</v>
      </c>
      <c r="AE392">
        <v>0</v>
      </c>
      <c r="AF392" t="s">
        <v>60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s">
        <v>55</v>
      </c>
      <c r="AM392" t="s">
        <v>76</v>
      </c>
      <c r="AN392" t="s">
        <v>66</v>
      </c>
      <c r="AO392">
        <v>0</v>
      </c>
      <c r="AP392">
        <v>0</v>
      </c>
      <c r="AQ392">
        <v>0</v>
      </c>
      <c r="AR392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s">
        <v>77</v>
      </c>
      <c r="BA392" t="s">
        <v>57</v>
      </c>
      <c r="BB392" t="s">
        <v>74</v>
      </c>
      <c r="BC392" t="s">
        <v>75</v>
      </c>
      <c r="BD392" t="s">
        <v>55</v>
      </c>
    </row>
    <row r="393" spans="1:56" x14ac:dyDescent="0.25">
      <c r="A393" t="str" cm="1">
        <f t="array" ref="A393">_xlfn.XLOOKUP(RIGHT(M393,8),TeamIdentity!C:C,TeamIdentity!A:A,NONE)</f>
        <v>49ers</v>
      </c>
      <c r="B393" t="str" cm="1">
        <f t="array" ref="B393">_xlfn.XLOOKUP(RIGHT(F393,8),TeamIdentity!C:C,TeamIdentity!A:A,NONE)</f>
        <v>49ers</v>
      </c>
      <c r="C393" t="s">
        <v>102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>
        <v>-2147483648</v>
      </c>
      <c r="O393">
        <v>-2147483648</v>
      </c>
      <c r="P393">
        <v>-2147483648</v>
      </c>
      <c r="Q393">
        <v>0</v>
      </c>
      <c r="R393" t="s">
        <v>59</v>
      </c>
      <c r="S393">
        <v>0</v>
      </c>
      <c r="T393">
        <v>0</v>
      </c>
      <c r="U393">
        <v>0</v>
      </c>
      <c r="V393" t="s">
        <v>57</v>
      </c>
      <c r="W393">
        <v>0</v>
      </c>
      <c r="X393">
        <v>0</v>
      </c>
      <c r="Y393">
        <v>0</v>
      </c>
      <c r="Z393">
        <v>-100</v>
      </c>
      <c r="AA393" t="s">
        <v>67</v>
      </c>
      <c r="AB393">
        <v>0</v>
      </c>
      <c r="AC393">
        <v>0</v>
      </c>
      <c r="AD393">
        <v>0</v>
      </c>
      <c r="AE393">
        <v>0</v>
      </c>
      <c r="AF393" t="s">
        <v>60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s">
        <v>55</v>
      </c>
      <c r="AM393" t="s">
        <v>76</v>
      </c>
      <c r="AN393" t="s">
        <v>66</v>
      </c>
      <c r="AO393">
        <v>0</v>
      </c>
      <c r="AP393">
        <v>0</v>
      </c>
      <c r="AQ393">
        <v>0</v>
      </c>
      <c r="AR393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s">
        <v>77</v>
      </c>
      <c r="BA393" t="s">
        <v>57</v>
      </c>
      <c r="BB393" t="s">
        <v>74</v>
      </c>
      <c r="BC393" t="s">
        <v>75</v>
      </c>
      <c r="BD393" t="s">
        <v>55</v>
      </c>
    </row>
    <row r="394" spans="1:56" x14ac:dyDescent="0.25">
      <c r="A394" t="str" cm="1">
        <f t="array" ref="A394">_xlfn.XLOOKUP(RIGHT(M394,8),TeamIdentity!C:C,TeamIdentity!A:A,NONE)</f>
        <v>49ers</v>
      </c>
      <c r="B394" t="str" cm="1">
        <f t="array" ref="B394">_xlfn.XLOOKUP(RIGHT(F394,8),TeamIdentity!C:C,TeamIdentity!A:A,NONE)</f>
        <v>49ers</v>
      </c>
      <c r="C394" t="s">
        <v>103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>
        <v>-2147483648</v>
      </c>
      <c r="O394">
        <v>-2147483648</v>
      </c>
      <c r="P394">
        <v>-2147483648</v>
      </c>
      <c r="Q394">
        <v>0</v>
      </c>
      <c r="R394" t="s">
        <v>59</v>
      </c>
      <c r="S394">
        <v>0</v>
      </c>
      <c r="T394">
        <v>0</v>
      </c>
      <c r="U394">
        <v>0</v>
      </c>
      <c r="V394" t="s">
        <v>57</v>
      </c>
      <c r="W394">
        <v>0</v>
      </c>
      <c r="X394">
        <v>0</v>
      </c>
      <c r="Y394">
        <v>0</v>
      </c>
      <c r="Z394">
        <v>-100</v>
      </c>
      <c r="AA394" t="s">
        <v>67</v>
      </c>
      <c r="AB394">
        <v>0</v>
      </c>
      <c r="AC394">
        <v>0</v>
      </c>
      <c r="AD394">
        <v>0</v>
      </c>
      <c r="AE394">
        <v>0</v>
      </c>
      <c r="AF394" t="s">
        <v>60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s">
        <v>55</v>
      </c>
      <c r="AM394" t="s">
        <v>76</v>
      </c>
      <c r="AN394" t="s">
        <v>66</v>
      </c>
      <c r="AO394">
        <v>0</v>
      </c>
      <c r="AP394">
        <v>0</v>
      </c>
      <c r="AQ394">
        <v>0</v>
      </c>
      <c r="AR394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s">
        <v>77</v>
      </c>
      <c r="BA394" t="s">
        <v>57</v>
      </c>
      <c r="BB394" t="s">
        <v>74</v>
      </c>
      <c r="BC394" t="s">
        <v>75</v>
      </c>
      <c r="BD394" t="s">
        <v>55</v>
      </c>
    </row>
    <row r="395" spans="1:56" x14ac:dyDescent="0.25">
      <c r="A395" t="str" cm="1">
        <f t="array" ref="A395">_xlfn.XLOOKUP(RIGHT(M395,8),TeamIdentity!C:C,TeamIdentity!A:A,NONE)</f>
        <v>49ers</v>
      </c>
      <c r="B395" t="str" cm="1">
        <f t="array" ref="B395">_xlfn.XLOOKUP(RIGHT(F395,8),TeamIdentity!C:C,TeamIdentity!A:A,NONE)</f>
        <v>49ers</v>
      </c>
      <c r="C395" t="s">
        <v>104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>
        <v>-2147483648</v>
      </c>
      <c r="O395">
        <v>-2147483648</v>
      </c>
      <c r="P395">
        <v>-2147483648</v>
      </c>
      <c r="Q395">
        <v>0</v>
      </c>
      <c r="R395" t="s">
        <v>59</v>
      </c>
      <c r="S395">
        <v>0</v>
      </c>
      <c r="T395">
        <v>0</v>
      </c>
      <c r="U395">
        <v>0</v>
      </c>
      <c r="V395" t="s">
        <v>57</v>
      </c>
      <c r="W395">
        <v>0</v>
      </c>
      <c r="X395">
        <v>0</v>
      </c>
      <c r="Y395">
        <v>0</v>
      </c>
      <c r="Z395">
        <v>-100</v>
      </c>
      <c r="AA395" t="s">
        <v>67</v>
      </c>
      <c r="AB395">
        <v>0</v>
      </c>
      <c r="AC395">
        <v>0</v>
      </c>
      <c r="AD395">
        <v>0</v>
      </c>
      <c r="AE395">
        <v>0</v>
      </c>
      <c r="AF395" t="s">
        <v>60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s">
        <v>55</v>
      </c>
      <c r="AM395" t="s">
        <v>76</v>
      </c>
      <c r="AN395" t="s">
        <v>66</v>
      </c>
      <c r="AO395">
        <v>0</v>
      </c>
      <c r="AP395">
        <v>0</v>
      </c>
      <c r="AQ395">
        <v>0</v>
      </c>
      <c r="AR395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s">
        <v>77</v>
      </c>
      <c r="BA395" t="s">
        <v>57</v>
      </c>
      <c r="BB395" t="s">
        <v>74</v>
      </c>
      <c r="BC395" t="s">
        <v>75</v>
      </c>
      <c r="BD395" t="s">
        <v>55</v>
      </c>
    </row>
    <row r="396" spans="1:56" x14ac:dyDescent="0.25">
      <c r="A396" t="str" cm="1">
        <f t="array" ref="A396">_xlfn.XLOOKUP(RIGHT(M396,8),TeamIdentity!C:C,TeamIdentity!A:A,NONE)</f>
        <v>49ers</v>
      </c>
      <c r="B396" t="str" cm="1">
        <f t="array" ref="B396">_xlfn.XLOOKUP(RIGHT(F396,8),TeamIdentity!C:C,TeamIdentity!A:A,NONE)</f>
        <v>49ers</v>
      </c>
      <c r="C396" t="s">
        <v>105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>
        <v>-2147483648</v>
      </c>
      <c r="O396">
        <v>-2147483648</v>
      </c>
      <c r="P396">
        <v>-2147483648</v>
      </c>
      <c r="Q396">
        <v>0</v>
      </c>
      <c r="R396" t="s">
        <v>59</v>
      </c>
      <c r="S396">
        <v>0</v>
      </c>
      <c r="T396">
        <v>0</v>
      </c>
      <c r="U396">
        <v>0</v>
      </c>
      <c r="V396" t="s">
        <v>57</v>
      </c>
      <c r="W396">
        <v>0</v>
      </c>
      <c r="X396">
        <v>0</v>
      </c>
      <c r="Y396">
        <v>0</v>
      </c>
      <c r="Z396">
        <v>-100</v>
      </c>
      <c r="AA396" t="s">
        <v>67</v>
      </c>
      <c r="AB396">
        <v>0</v>
      </c>
      <c r="AC396">
        <v>0</v>
      </c>
      <c r="AD396">
        <v>0</v>
      </c>
      <c r="AE396">
        <v>0</v>
      </c>
      <c r="AF396" t="s">
        <v>60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s">
        <v>55</v>
      </c>
      <c r="AM396" t="s">
        <v>76</v>
      </c>
      <c r="AN396" t="s">
        <v>66</v>
      </c>
      <c r="AO396">
        <v>0</v>
      </c>
      <c r="AP396">
        <v>0</v>
      </c>
      <c r="AQ396">
        <v>0</v>
      </c>
      <c r="AR396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s">
        <v>77</v>
      </c>
      <c r="BA396" t="s">
        <v>57</v>
      </c>
      <c r="BB396" t="s">
        <v>74</v>
      </c>
      <c r="BC396" t="s">
        <v>75</v>
      </c>
      <c r="BD396" t="s">
        <v>55</v>
      </c>
    </row>
    <row r="397" spans="1:56" x14ac:dyDescent="0.25">
      <c r="A397" t="str" cm="1">
        <f t="array" ref="A397">_xlfn.XLOOKUP(RIGHT(M397,8),TeamIdentity!C:C,TeamIdentity!A:A,NONE)</f>
        <v>49ers</v>
      </c>
      <c r="B397" t="str" cm="1">
        <f t="array" ref="B397">_xlfn.XLOOKUP(RIGHT(F397,8),TeamIdentity!C:C,TeamIdentity!A:A,NONE)</f>
        <v>49ers</v>
      </c>
      <c r="C397" t="s">
        <v>106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>
        <v>-2147483648</v>
      </c>
      <c r="O397">
        <v>-2147483648</v>
      </c>
      <c r="P397">
        <v>-2147483648</v>
      </c>
      <c r="Q397">
        <v>0</v>
      </c>
      <c r="R397" t="s">
        <v>59</v>
      </c>
      <c r="S397">
        <v>0</v>
      </c>
      <c r="T397">
        <v>0</v>
      </c>
      <c r="U397">
        <v>0</v>
      </c>
      <c r="V397" t="s">
        <v>57</v>
      </c>
      <c r="W397">
        <v>0</v>
      </c>
      <c r="X397">
        <v>0</v>
      </c>
      <c r="Y397">
        <v>0</v>
      </c>
      <c r="Z397">
        <v>-100</v>
      </c>
      <c r="AA397" t="s">
        <v>67</v>
      </c>
      <c r="AB397">
        <v>0</v>
      </c>
      <c r="AC397">
        <v>0</v>
      </c>
      <c r="AD397">
        <v>0</v>
      </c>
      <c r="AE397">
        <v>0</v>
      </c>
      <c r="AF397" t="s">
        <v>60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s">
        <v>55</v>
      </c>
      <c r="AM397" t="s">
        <v>76</v>
      </c>
      <c r="AN397" t="s">
        <v>66</v>
      </c>
      <c r="AO397">
        <v>0</v>
      </c>
      <c r="AP397">
        <v>0</v>
      </c>
      <c r="AQ397">
        <v>0</v>
      </c>
      <c r="AR397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s">
        <v>77</v>
      </c>
      <c r="BA397" t="s">
        <v>57</v>
      </c>
      <c r="BB397" t="s">
        <v>74</v>
      </c>
      <c r="BC397" t="s">
        <v>75</v>
      </c>
      <c r="BD397" t="s">
        <v>55</v>
      </c>
    </row>
    <row r="398" spans="1:56" x14ac:dyDescent="0.25">
      <c r="A398" t="str" cm="1">
        <f t="array" ref="A398">_xlfn.XLOOKUP(RIGHT(M398,8),TeamIdentity!C:C,TeamIdentity!A:A,NONE)</f>
        <v>49ers</v>
      </c>
      <c r="B398" t="str" cm="1">
        <f t="array" ref="B398">_xlfn.XLOOKUP(RIGHT(F398,8),TeamIdentity!C:C,TeamIdentity!A:A,NONE)</f>
        <v>49ers</v>
      </c>
      <c r="C398" t="s">
        <v>107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>
        <v>-2147483648</v>
      </c>
      <c r="O398">
        <v>-2147483648</v>
      </c>
      <c r="P398">
        <v>-2147483648</v>
      </c>
      <c r="Q398">
        <v>0</v>
      </c>
      <c r="R398" t="s">
        <v>59</v>
      </c>
      <c r="S398">
        <v>0</v>
      </c>
      <c r="T398">
        <v>0</v>
      </c>
      <c r="U398">
        <v>0</v>
      </c>
      <c r="V398" t="s">
        <v>57</v>
      </c>
      <c r="W398">
        <v>0</v>
      </c>
      <c r="X398">
        <v>0</v>
      </c>
      <c r="Y398">
        <v>0</v>
      </c>
      <c r="Z398">
        <v>-100</v>
      </c>
      <c r="AA398" t="s">
        <v>67</v>
      </c>
      <c r="AB398">
        <v>0</v>
      </c>
      <c r="AC398">
        <v>0</v>
      </c>
      <c r="AD398">
        <v>0</v>
      </c>
      <c r="AE398">
        <v>0</v>
      </c>
      <c r="AF398" t="s">
        <v>60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s">
        <v>55</v>
      </c>
      <c r="AM398" t="s">
        <v>76</v>
      </c>
      <c r="AN398" t="s">
        <v>66</v>
      </c>
      <c r="AO398">
        <v>0</v>
      </c>
      <c r="AP398">
        <v>0</v>
      </c>
      <c r="AQ398">
        <v>0</v>
      </c>
      <c r="AR398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s">
        <v>77</v>
      </c>
      <c r="BA398" t="s">
        <v>57</v>
      </c>
      <c r="BB398" t="s">
        <v>74</v>
      </c>
      <c r="BC398" t="s">
        <v>75</v>
      </c>
      <c r="BD398" t="s">
        <v>55</v>
      </c>
    </row>
    <row r="399" spans="1:56" x14ac:dyDescent="0.25">
      <c r="A399" t="str" cm="1">
        <f t="array" ref="A399">_xlfn.XLOOKUP(RIGHT(M399,8),TeamIdentity!C:C,TeamIdentity!A:A,NONE)</f>
        <v>49ers</v>
      </c>
      <c r="B399" t="str" cm="1">
        <f t="array" ref="B399">_xlfn.XLOOKUP(RIGHT(F399,8),TeamIdentity!C:C,TeamIdentity!A:A,NONE)</f>
        <v>49ers</v>
      </c>
      <c r="C399" t="s">
        <v>108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>
        <v>-2147483648</v>
      </c>
      <c r="O399">
        <v>-2147483648</v>
      </c>
      <c r="P399">
        <v>-2147483648</v>
      </c>
      <c r="Q399">
        <v>0</v>
      </c>
      <c r="R399" t="s">
        <v>59</v>
      </c>
      <c r="S399">
        <v>0</v>
      </c>
      <c r="T399">
        <v>0</v>
      </c>
      <c r="U399">
        <v>0</v>
      </c>
      <c r="V399" t="s">
        <v>57</v>
      </c>
      <c r="W399">
        <v>0</v>
      </c>
      <c r="X399">
        <v>0</v>
      </c>
      <c r="Y399">
        <v>0</v>
      </c>
      <c r="Z399">
        <v>-100</v>
      </c>
      <c r="AA399" t="s">
        <v>67</v>
      </c>
      <c r="AB399">
        <v>0</v>
      </c>
      <c r="AC399">
        <v>0</v>
      </c>
      <c r="AD399">
        <v>0</v>
      </c>
      <c r="AE399">
        <v>0</v>
      </c>
      <c r="AF399" t="s">
        <v>60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s">
        <v>55</v>
      </c>
      <c r="AM399" t="s">
        <v>76</v>
      </c>
      <c r="AN399" t="s">
        <v>66</v>
      </c>
      <c r="AO399">
        <v>0</v>
      </c>
      <c r="AP399">
        <v>0</v>
      </c>
      <c r="AQ399">
        <v>0</v>
      </c>
      <c r="AR399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s">
        <v>77</v>
      </c>
      <c r="BA399" t="s">
        <v>57</v>
      </c>
      <c r="BB399" t="s">
        <v>74</v>
      </c>
      <c r="BC399" t="s">
        <v>75</v>
      </c>
      <c r="BD399" t="s">
        <v>55</v>
      </c>
    </row>
    <row r="400" spans="1:56" x14ac:dyDescent="0.25">
      <c r="A400" t="str" cm="1">
        <f t="array" ref="A400">_xlfn.XLOOKUP(RIGHT(M400,8),TeamIdentity!C:C,TeamIdentity!A:A,NONE)</f>
        <v>49ers</v>
      </c>
      <c r="B400" t="str" cm="1">
        <f t="array" ref="B400">_xlfn.XLOOKUP(RIGHT(F400,8),TeamIdentity!C:C,TeamIdentity!A:A,NONE)</f>
        <v>49ers</v>
      </c>
      <c r="C400" t="s">
        <v>109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>
        <v>-2147483648</v>
      </c>
      <c r="O400">
        <v>-2147483648</v>
      </c>
      <c r="P400">
        <v>-2147483648</v>
      </c>
      <c r="Q400">
        <v>0</v>
      </c>
      <c r="R400" t="s">
        <v>59</v>
      </c>
      <c r="S400">
        <v>0</v>
      </c>
      <c r="T400">
        <v>0</v>
      </c>
      <c r="U400">
        <v>0</v>
      </c>
      <c r="V400" t="s">
        <v>57</v>
      </c>
      <c r="W400">
        <v>0</v>
      </c>
      <c r="X400">
        <v>0</v>
      </c>
      <c r="Y400">
        <v>0</v>
      </c>
      <c r="Z400">
        <v>-100</v>
      </c>
      <c r="AA400" t="s">
        <v>67</v>
      </c>
      <c r="AB400">
        <v>0</v>
      </c>
      <c r="AC400">
        <v>0</v>
      </c>
      <c r="AD400">
        <v>0</v>
      </c>
      <c r="AE400">
        <v>0</v>
      </c>
      <c r="AF400" t="s">
        <v>60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s">
        <v>55</v>
      </c>
      <c r="AM400" t="s">
        <v>76</v>
      </c>
      <c r="AN400" t="s">
        <v>66</v>
      </c>
      <c r="AO400">
        <v>0</v>
      </c>
      <c r="AP400">
        <v>0</v>
      </c>
      <c r="AQ400">
        <v>0</v>
      </c>
      <c r="AR400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s">
        <v>77</v>
      </c>
      <c r="BA400" t="s">
        <v>57</v>
      </c>
      <c r="BB400" t="s">
        <v>74</v>
      </c>
      <c r="BC400" t="s">
        <v>75</v>
      </c>
      <c r="BD400" t="s">
        <v>55</v>
      </c>
    </row>
    <row r="401" spans="1:56" x14ac:dyDescent="0.25">
      <c r="A401" t="str" cm="1">
        <f t="array" ref="A401">_xlfn.XLOOKUP(RIGHT(M401,8),TeamIdentity!C:C,TeamIdentity!A:A,NONE)</f>
        <v>49ers</v>
      </c>
      <c r="B401" t="str" cm="1">
        <f t="array" ref="B401">_xlfn.XLOOKUP(RIGHT(F401,8),TeamIdentity!C:C,TeamIdentity!A:A,NONE)</f>
        <v>49ers</v>
      </c>
      <c r="C401" t="s">
        <v>110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>
        <v>-2147483648</v>
      </c>
      <c r="O401">
        <v>-2147483648</v>
      </c>
      <c r="P401">
        <v>-2147483648</v>
      </c>
      <c r="Q401">
        <v>0</v>
      </c>
      <c r="R401" t="s">
        <v>59</v>
      </c>
      <c r="S401">
        <v>0</v>
      </c>
      <c r="T401">
        <v>0</v>
      </c>
      <c r="U401">
        <v>0</v>
      </c>
      <c r="V401" t="s">
        <v>57</v>
      </c>
      <c r="W401">
        <v>0</v>
      </c>
      <c r="X401">
        <v>0</v>
      </c>
      <c r="Y401">
        <v>0</v>
      </c>
      <c r="Z401">
        <v>-100</v>
      </c>
      <c r="AA401" t="s">
        <v>67</v>
      </c>
      <c r="AB401">
        <v>0</v>
      </c>
      <c r="AC401">
        <v>0</v>
      </c>
      <c r="AD401">
        <v>0</v>
      </c>
      <c r="AE401">
        <v>0</v>
      </c>
      <c r="AF401" t="s">
        <v>60</v>
      </c>
      <c r="AG401">
        <v>0</v>
      </c>
      <c r="AH401">
        <v>0</v>
      </c>
      <c r="AI401">
        <v>0</v>
      </c>
      <c r="AJ401">
        <v>0</v>
      </c>
      <c r="AK401" t="b">
        <v>0</v>
      </c>
      <c r="AL401" t="s">
        <v>55</v>
      </c>
      <c r="AM401" t="s">
        <v>76</v>
      </c>
      <c r="AN401" t="s">
        <v>66</v>
      </c>
      <c r="AO401">
        <v>0</v>
      </c>
      <c r="AP401">
        <v>0</v>
      </c>
      <c r="AQ401">
        <v>0</v>
      </c>
      <c r="AR401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s">
        <v>77</v>
      </c>
      <c r="BA401" t="s">
        <v>57</v>
      </c>
      <c r="BB401" t="s">
        <v>74</v>
      </c>
      <c r="BC401" t="s">
        <v>75</v>
      </c>
      <c r="BD401" t="s">
        <v>55</v>
      </c>
    </row>
    <row r="402" spans="1:56" x14ac:dyDescent="0.25">
      <c r="A402" t="str" cm="1">
        <f t="array" ref="A402">_xlfn.XLOOKUP(RIGHT(M402,8),TeamIdentity!C:C,TeamIdentity!A:A,NONE)</f>
        <v>49ers</v>
      </c>
      <c r="B402" t="str" cm="1">
        <f t="array" ref="B402">_xlfn.XLOOKUP(RIGHT(F402,8),TeamIdentity!C:C,TeamIdentity!A:A,NONE)</f>
        <v>49ers</v>
      </c>
      <c r="C402" t="s">
        <v>111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>
        <v>-2147483648</v>
      </c>
      <c r="O402">
        <v>-2147483648</v>
      </c>
      <c r="P402">
        <v>-2147483648</v>
      </c>
      <c r="Q402">
        <v>0</v>
      </c>
      <c r="R402" t="s">
        <v>59</v>
      </c>
      <c r="S402">
        <v>0</v>
      </c>
      <c r="T402">
        <v>0</v>
      </c>
      <c r="U402">
        <v>0</v>
      </c>
      <c r="V402" t="s">
        <v>57</v>
      </c>
      <c r="W402">
        <v>0</v>
      </c>
      <c r="X402">
        <v>0</v>
      </c>
      <c r="Y402">
        <v>0</v>
      </c>
      <c r="Z402">
        <v>-100</v>
      </c>
      <c r="AA402" t="s">
        <v>67</v>
      </c>
      <c r="AB402">
        <v>0</v>
      </c>
      <c r="AC402">
        <v>0</v>
      </c>
      <c r="AD402">
        <v>0</v>
      </c>
      <c r="AE402">
        <v>0</v>
      </c>
      <c r="AF402" t="s">
        <v>60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s">
        <v>55</v>
      </c>
      <c r="AM402" t="s">
        <v>76</v>
      </c>
      <c r="AN402" t="s">
        <v>66</v>
      </c>
      <c r="AO402">
        <v>0</v>
      </c>
      <c r="AP402">
        <v>0</v>
      </c>
      <c r="AQ402">
        <v>0</v>
      </c>
      <c r="AR402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s">
        <v>77</v>
      </c>
      <c r="BA402" t="s">
        <v>57</v>
      </c>
      <c r="BB402" t="s">
        <v>74</v>
      </c>
      <c r="BC402" t="s">
        <v>75</v>
      </c>
      <c r="BD402" t="s">
        <v>55</v>
      </c>
    </row>
    <row r="403" spans="1:56" x14ac:dyDescent="0.25">
      <c r="A403" t="str" cm="1">
        <f t="array" ref="A403">_xlfn.XLOOKUP(RIGHT(M403,8),TeamIdentity!C:C,TeamIdentity!A:A,NONE)</f>
        <v>49ers</v>
      </c>
      <c r="B403" t="str" cm="1">
        <f t="array" ref="B403">_xlfn.XLOOKUP(RIGHT(F403,8),TeamIdentity!C:C,TeamIdentity!A:A,NONE)</f>
        <v>49ers</v>
      </c>
      <c r="C403" t="s">
        <v>112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>
        <v>-2147483648</v>
      </c>
      <c r="O403">
        <v>-2147483648</v>
      </c>
      <c r="P403">
        <v>-2147483648</v>
      </c>
      <c r="Q403">
        <v>0</v>
      </c>
      <c r="R403" t="s">
        <v>59</v>
      </c>
      <c r="S403">
        <v>0</v>
      </c>
      <c r="T403">
        <v>0</v>
      </c>
      <c r="U403">
        <v>0</v>
      </c>
      <c r="V403" t="s">
        <v>57</v>
      </c>
      <c r="W403">
        <v>0</v>
      </c>
      <c r="X403">
        <v>0</v>
      </c>
      <c r="Y403">
        <v>0</v>
      </c>
      <c r="Z403">
        <v>-100</v>
      </c>
      <c r="AA403" t="s">
        <v>67</v>
      </c>
      <c r="AB403">
        <v>0</v>
      </c>
      <c r="AC403">
        <v>0</v>
      </c>
      <c r="AD403">
        <v>0</v>
      </c>
      <c r="AE403">
        <v>0</v>
      </c>
      <c r="AF403" t="s">
        <v>60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s">
        <v>55</v>
      </c>
      <c r="AM403" t="s">
        <v>76</v>
      </c>
      <c r="AN403" t="s">
        <v>66</v>
      </c>
      <c r="AO403">
        <v>0</v>
      </c>
      <c r="AP403">
        <v>0</v>
      </c>
      <c r="AQ403">
        <v>0</v>
      </c>
      <c r="AR403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s">
        <v>77</v>
      </c>
      <c r="BA403" t="s">
        <v>57</v>
      </c>
      <c r="BB403" t="s">
        <v>74</v>
      </c>
      <c r="BC403" t="s">
        <v>75</v>
      </c>
      <c r="BD403" t="s">
        <v>55</v>
      </c>
    </row>
    <row r="404" spans="1:56" x14ac:dyDescent="0.25">
      <c r="A404" t="str" cm="1">
        <f t="array" ref="A404">_xlfn.XLOOKUP(RIGHT(M404,8),TeamIdentity!C:C,TeamIdentity!A:A,NONE)</f>
        <v>49ers</v>
      </c>
      <c r="B404" t="str" cm="1">
        <f t="array" ref="B404">_xlfn.XLOOKUP(RIGHT(F404,8),TeamIdentity!C:C,TeamIdentity!A:A,NONE)</f>
        <v>49ers</v>
      </c>
      <c r="C404" t="s">
        <v>113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>
        <v>-2147483648</v>
      </c>
      <c r="O404">
        <v>-2147483648</v>
      </c>
      <c r="P404">
        <v>-2147483648</v>
      </c>
      <c r="Q404">
        <v>0</v>
      </c>
      <c r="R404" t="s">
        <v>59</v>
      </c>
      <c r="S404">
        <v>0</v>
      </c>
      <c r="T404">
        <v>0</v>
      </c>
      <c r="U404">
        <v>0</v>
      </c>
      <c r="V404" t="s">
        <v>57</v>
      </c>
      <c r="W404">
        <v>0</v>
      </c>
      <c r="X404">
        <v>0</v>
      </c>
      <c r="Y404">
        <v>0</v>
      </c>
      <c r="Z404">
        <v>-100</v>
      </c>
      <c r="AA404" t="s">
        <v>67</v>
      </c>
      <c r="AB404">
        <v>0</v>
      </c>
      <c r="AC404">
        <v>0</v>
      </c>
      <c r="AD404">
        <v>0</v>
      </c>
      <c r="AE404">
        <v>0</v>
      </c>
      <c r="AF404" t="s">
        <v>60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s">
        <v>55</v>
      </c>
      <c r="AM404" t="s">
        <v>76</v>
      </c>
      <c r="AN404" t="s">
        <v>66</v>
      </c>
      <c r="AO404">
        <v>0</v>
      </c>
      <c r="AP404">
        <v>0</v>
      </c>
      <c r="AQ404">
        <v>0</v>
      </c>
      <c r="AR404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s">
        <v>77</v>
      </c>
      <c r="BA404" t="s">
        <v>57</v>
      </c>
      <c r="BB404" t="s">
        <v>74</v>
      </c>
      <c r="BC404" t="s">
        <v>75</v>
      </c>
      <c r="BD404" t="s">
        <v>55</v>
      </c>
    </row>
    <row r="405" spans="1:56" x14ac:dyDescent="0.25">
      <c r="A405" t="str" cm="1">
        <f t="array" ref="A405">_xlfn.XLOOKUP(RIGHT(M405,8),TeamIdentity!C:C,TeamIdentity!A:A,NONE)</f>
        <v>49ers</v>
      </c>
      <c r="B405" t="str" cm="1">
        <f t="array" ref="B405">_xlfn.XLOOKUP(RIGHT(F405,8),TeamIdentity!C:C,TeamIdentity!A:A,NONE)</f>
        <v>49ers</v>
      </c>
      <c r="C405" t="s">
        <v>114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>
        <v>-2147483648</v>
      </c>
      <c r="O405">
        <v>-2147483648</v>
      </c>
      <c r="P405">
        <v>-2147483648</v>
      </c>
      <c r="Q405">
        <v>0</v>
      </c>
      <c r="R405" t="s">
        <v>59</v>
      </c>
      <c r="S405">
        <v>0</v>
      </c>
      <c r="T405">
        <v>0</v>
      </c>
      <c r="U405">
        <v>0</v>
      </c>
      <c r="V405" t="s">
        <v>57</v>
      </c>
      <c r="W405">
        <v>0</v>
      </c>
      <c r="X405">
        <v>0</v>
      </c>
      <c r="Y405">
        <v>0</v>
      </c>
      <c r="Z405">
        <v>-100</v>
      </c>
      <c r="AA405" t="s">
        <v>67</v>
      </c>
      <c r="AB405">
        <v>0</v>
      </c>
      <c r="AC405">
        <v>0</v>
      </c>
      <c r="AD405">
        <v>0</v>
      </c>
      <c r="AE405">
        <v>0</v>
      </c>
      <c r="AF405" t="s">
        <v>60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s">
        <v>55</v>
      </c>
      <c r="AM405" t="s">
        <v>76</v>
      </c>
      <c r="AN405" t="s">
        <v>66</v>
      </c>
      <c r="AO405">
        <v>0</v>
      </c>
      <c r="AP405">
        <v>0</v>
      </c>
      <c r="AQ405">
        <v>0</v>
      </c>
      <c r="AR405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s">
        <v>77</v>
      </c>
      <c r="BA405" t="s">
        <v>57</v>
      </c>
      <c r="BB405" t="s">
        <v>74</v>
      </c>
      <c r="BC405" t="s">
        <v>75</v>
      </c>
      <c r="BD405" t="s">
        <v>55</v>
      </c>
    </row>
    <row r="406" spans="1:56" x14ac:dyDescent="0.25">
      <c r="A406" t="str" cm="1">
        <f t="array" ref="A406">_xlfn.XLOOKUP(RIGHT(M406,8),TeamIdentity!C:C,TeamIdentity!A:A,NONE)</f>
        <v>49ers</v>
      </c>
      <c r="B406" t="str" cm="1">
        <f t="array" ref="B406">_xlfn.XLOOKUP(RIGHT(F406,8),TeamIdentity!C:C,TeamIdentity!A:A,NONE)</f>
        <v>49ers</v>
      </c>
      <c r="C406" t="s">
        <v>115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>
        <v>-2147483648</v>
      </c>
      <c r="O406">
        <v>-2147483648</v>
      </c>
      <c r="P406">
        <v>-2147483648</v>
      </c>
      <c r="Q406">
        <v>0</v>
      </c>
      <c r="R406" t="s">
        <v>59</v>
      </c>
      <c r="S406">
        <v>0</v>
      </c>
      <c r="T406">
        <v>0</v>
      </c>
      <c r="U406">
        <v>0</v>
      </c>
      <c r="V406" t="s">
        <v>57</v>
      </c>
      <c r="W406">
        <v>0</v>
      </c>
      <c r="X406">
        <v>0</v>
      </c>
      <c r="Y406">
        <v>0</v>
      </c>
      <c r="Z406">
        <v>-100</v>
      </c>
      <c r="AA406" t="s">
        <v>67</v>
      </c>
      <c r="AB406">
        <v>0</v>
      </c>
      <c r="AC406">
        <v>0</v>
      </c>
      <c r="AD406">
        <v>0</v>
      </c>
      <c r="AE406">
        <v>0</v>
      </c>
      <c r="AF406" t="s">
        <v>60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s">
        <v>55</v>
      </c>
      <c r="AM406" t="s">
        <v>76</v>
      </c>
      <c r="AN406" t="s">
        <v>66</v>
      </c>
      <c r="AO406">
        <v>0</v>
      </c>
      <c r="AP406">
        <v>0</v>
      </c>
      <c r="AQ406">
        <v>0</v>
      </c>
      <c r="AR406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s">
        <v>77</v>
      </c>
      <c r="BA406" t="s">
        <v>57</v>
      </c>
      <c r="BB406" t="s">
        <v>74</v>
      </c>
      <c r="BC406" t="s">
        <v>75</v>
      </c>
      <c r="BD406" t="s">
        <v>55</v>
      </c>
    </row>
    <row r="407" spans="1:56" x14ac:dyDescent="0.25">
      <c r="A407" t="str" cm="1">
        <f t="array" ref="A407">_xlfn.XLOOKUP(RIGHT(M407,8),TeamIdentity!C:C,TeamIdentity!A:A,NONE)</f>
        <v>49ers</v>
      </c>
      <c r="B407" t="str" cm="1">
        <f t="array" ref="B407">_xlfn.XLOOKUP(RIGHT(F407,8),TeamIdentity!C:C,TeamIdentity!A:A,NONE)</f>
        <v>49ers</v>
      </c>
      <c r="C407" t="s">
        <v>116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>
        <v>-2147483648</v>
      </c>
      <c r="O407">
        <v>-2147483648</v>
      </c>
      <c r="P407">
        <v>-2147483648</v>
      </c>
      <c r="Q407">
        <v>0</v>
      </c>
      <c r="R407" t="s">
        <v>59</v>
      </c>
      <c r="S407">
        <v>0</v>
      </c>
      <c r="T407">
        <v>0</v>
      </c>
      <c r="U407">
        <v>0</v>
      </c>
      <c r="V407" t="s">
        <v>57</v>
      </c>
      <c r="W407">
        <v>0</v>
      </c>
      <c r="X407">
        <v>0</v>
      </c>
      <c r="Y407">
        <v>0</v>
      </c>
      <c r="Z407">
        <v>-100</v>
      </c>
      <c r="AA407" t="s">
        <v>67</v>
      </c>
      <c r="AB407">
        <v>0</v>
      </c>
      <c r="AC407">
        <v>0</v>
      </c>
      <c r="AD407">
        <v>0</v>
      </c>
      <c r="AE407">
        <v>0</v>
      </c>
      <c r="AF407" t="s">
        <v>60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s">
        <v>55</v>
      </c>
      <c r="AM407" t="s">
        <v>76</v>
      </c>
      <c r="AN407" t="s">
        <v>66</v>
      </c>
      <c r="AO407">
        <v>0</v>
      </c>
      <c r="AP407">
        <v>0</v>
      </c>
      <c r="AQ407">
        <v>0</v>
      </c>
      <c r="AR407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s">
        <v>77</v>
      </c>
      <c r="BA407" t="s">
        <v>57</v>
      </c>
      <c r="BB407" t="s">
        <v>74</v>
      </c>
      <c r="BC407" t="s">
        <v>75</v>
      </c>
      <c r="BD407" t="s">
        <v>55</v>
      </c>
    </row>
    <row r="408" spans="1:56" x14ac:dyDescent="0.25">
      <c r="A408" t="str" cm="1">
        <f t="array" ref="A408">_xlfn.XLOOKUP(RIGHT(M408,8),TeamIdentity!C:C,TeamIdentity!A:A,NONE)</f>
        <v>49ers</v>
      </c>
      <c r="B408" t="str" cm="1">
        <f t="array" ref="B408">_xlfn.XLOOKUP(RIGHT(F408,8),TeamIdentity!C:C,TeamIdentity!A:A,NONE)</f>
        <v>49ers</v>
      </c>
      <c r="C408" t="s">
        <v>117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>
        <v>-2147483648</v>
      </c>
      <c r="O408">
        <v>-2147483648</v>
      </c>
      <c r="P408">
        <v>-2147483648</v>
      </c>
      <c r="Q408">
        <v>0</v>
      </c>
      <c r="R408" t="s">
        <v>59</v>
      </c>
      <c r="S408">
        <v>0</v>
      </c>
      <c r="T408">
        <v>0</v>
      </c>
      <c r="U408">
        <v>0</v>
      </c>
      <c r="V408" t="s">
        <v>57</v>
      </c>
      <c r="W408">
        <v>0</v>
      </c>
      <c r="X408">
        <v>0</v>
      </c>
      <c r="Y408">
        <v>0</v>
      </c>
      <c r="Z408">
        <v>-100</v>
      </c>
      <c r="AA408" t="s">
        <v>67</v>
      </c>
      <c r="AB408">
        <v>0</v>
      </c>
      <c r="AC408">
        <v>0</v>
      </c>
      <c r="AD408">
        <v>0</v>
      </c>
      <c r="AE408">
        <v>0</v>
      </c>
      <c r="AF408" t="s">
        <v>60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s">
        <v>55</v>
      </c>
      <c r="AM408" t="s">
        <v>76</v>
      </c>
      <c r="AN408" t="s">
        <v>66</v>
      </c>
      <c r="AO408">
        <v>0</v>
      </c>
      <c r="AP408">
        <v>0</v>
      </c>
      <c r="AQ408">
        <v>0</v>
      </c>
      <c r="AR408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s">
        <v>77</v>
      </c>
      <c r="BA408" t="s">
        <v>57</v>
      </c>
      <c r="BB408" t="s">
        <v>74</v>
      </c>
      <c r="BC408" t="s">
        <v>75</v>
      </c>
      <c r="BD408" t="s">
        <v>55</v>
      </c>
    </row>
    <row r="409" spans="1:56" x14ac:dyDescent="0.25">
      <c r="A409" t="str" cm="1">
        <f t="array" ref="A409">_xlfn.XLOOKUP(RIGHT(M409,8),TeamIdentity!C:C,TeamIdentity!A:A,NONE)</f>
        <v>49ers</v>
      </c>
      <c r="B409" t="str" cm="1">
        <f t="array" ref="B409">_xlfn.XLOOKUP(RIGHT(F409,8),TeamIdentity!C:C,TeamIdentity!A:A,NONE)</f>
        <v>49ers</v>
      </c>
      <c r="C409" t="s">
        <v>118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>
        <v>-2147483648</v>
      </c>
      <c r="O409">
        <v>-2147483648</v>
      </c>
      <c r="P409">
        <v>-2147483648</v>
      </c>
      <c r="Q409">
        <v>0</v>
      </c>
      <c r="R409" t="s">
        <v>59</v>
      </c>
      <c r="S409">
        <v>0</v>
      </c>
      <c r="T409">
        <v>0</v>
      </c>
      <c r="U409">
        <v>0</v>
      </c>
      <c r="V409" t="s">
        <v>57</v>
      </c>
      <c r="W409">
        <v>0</v>
      </c>
      <c r="X409">
        <v>0</v>
      </c>
      <c r="Y409">
        <v>0</v>
      </c>
      <c r="Z409">
        <v>-100</v>
      </c>
      <c r="AA409" t="s">
        <v>67</v>
      </c>
      <c r="AB409">
        <v>0</v>
      </c>
      <c r="AC409">
        <v>0</v>
      </c>
      <c r="AD409">
        <v>0</v>
      </c>
      <c r="AE409">
        <v>0</v>
      </c>
      <c r="AF409" t="s">
        <v>60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s">
        <v>55</v>
      </c>
      <c r="AM409" t="s">
        <v>76</v>
      </c>
      <c r="AN409" t="s">
        <v>66</v>
      </c>
      <c r="AO409">
        <v>0</v>
      </c>
      <c r="AP409">
        <v>0</v>
      </c>
      <c r="AQ409">
        <v>0</v>
      </c>
      <c r="AR409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s">
        <v>77</v>
      </c>
      <c r="BA409" t="s">
        <v>57</v>
      </c>
      <c r="BB409" t="s">
        <v>74</v>
      </c>
      <c r="BC409" t="s">
        <v>75</v>
      </c>
      <c r="BD409" t="s">
        <v>55</v>
      </c>
    </row>
    <row r="410" spans="1:56" x14ac:dyDescent="0.25">
      <c r="A410" t="str" cm="1">
        <f t="array" ref="A410">_xlfn.XLOOKUP(RIGHT(M410,8),TeamIdentity!C:C,TeamIdentity!A:A,NONE)</f>
        <v>49ers</v>
      </c>
      <c r="B410" t="str" cm="1">
        <f t="array" ref="B410">_xlfn.XLOOKUP(RIGHT(F410,8),TeamIdentity!C:C,TeamIdentity!A:A,NONE)</f>
        <v>49ers</v>
      </c>
      <c r="C410" t="s">
        <v>119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>
        <v>-2147483648</v>
      </c>
      <c r="O410">
        <v>-2147483648</v>
      </c>
      <c r="P410">
        <v>-2147483648</v>
      </c>
      <c r="Q410">
        <v>0</v>
      </c>
      <c r="R410" t="s">
        <v>59</v>
      </c>
      <c r="S410">
        <v>0</v>
      </c>
      <c r="T410">
        <v>0</v>
      </c>
      <c r="U410">
        <v>0</v>
      </c>
      <c r="V410" t="s">
        <v>57</v>
      </c>
      <c r="W410">
        <v>0</v>
      </c>
      <c r="X410">
        <v>0</v>
      </c>
      <c r="Y410">
        <v>0</v>
      </c>
      <c r="Z410">
        <v>-100</v>
      </c>
      <c r="AA410" t="s">
        <v>67</v>
      </c>
      <c r="AB410">
        <v>0</v>
      </c>
      <c r="AC410">
        <v>0</v>
      </c>
      <c r="AD410">
        <v>0</v>
      </c>
      <c r="AE410">
        <v>0</v>
      </c>
      <c r="AF410" t="s">
        <v>60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s">
        <v>55</v>
      </c>
      <c r="AM410" t="s">
        <v>76</v>
      </c>
      <c r="AN410" t="s">
        <v>66</v>
      </c>
      <c r="AO410">
        <v>0</v>
      </c>
      <c r="AP410">
        <v>0</v>
      </c>
      <c r="AQ410">
        <v>0</v>
      </c>
      <c r="AR410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s">
        <v>77</v>
      </c>
      <c r="BA410" t="s">
        <v>57</v>
      </c>
      <c r="BB410" t="s">
        <v>74</v>
      </c>
      <c r="BC410" t="s">
        <v>75</v>
      </c>
      <c r="BD410" t="s">
        <v>55</v>
      </c>
    </row>
    <row r="411" spans="1:56" x14ac:dyDescent="0.25">
      <c r="A411" t="str" cm="1">
        <f t="array" ref="A411">_xlfn.XLOOKUP(RIGHT(M411,8),TeamIdentity!C:C,TeamIdentity!A:A,NONE)</f>
        <v>49ers</v>
      </c>
      <c r="B411" t="str" cm="1">
        <f t="array" ref="B411">_xlfn.XLOOKUP(RIGHT(F411,8),TeamIdentity!C:C,TeamIdentity!A:A,NONE)</f>
        <v>49ers</v>
      </c>
      <c r="C411" t="s">
        <v>120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>
        <v>-2147483648</v>
      </c>
      <c r="O411">
        <v>-2147483648</v>
      </c>
      <c r="P411">
        <v>-2147483648</v>
      </c>
      <c r="Q411">
        <v>0</v>
      </c>
      <c r="R411" t="s">
        <v>59</v>
      </c>
      <c r="S411">
        <v>0</v>
      </c>
      <c r="T411">
        <v>0</v>
      </c>
      <c r="U411">
        <v>0</v>
      </c>
      <c r="V411" t="s">
        <v>57</v>
      </c>
      <c r="W411">
        <v>0</v>
      </c>
      <c r="X411">
        <v>0</v>
      </c>
      <c r="Y411">
        <v>0</v>
      </c>
      <c r="Z411">
        <v>-100</v>
      </c>
      <c r="AA411" t="s">
        <v>67</v>
      </c>
      <c r="AB411">
        <v>0</v>
      </c>
      <c r="AC411">
        <v>0</v>
      </c>
      <c r="AD411">
        <v>0</v>
      </c>
      <c r="AE411">
        <v>0</v>
      </c>
      <c r="AF411" t="s">
        <v>60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s">
        <v>55</v>
      </c>
      <c r="AM411" t="s">
        <v>76</v>
      </c>
      <c r="AN411" t="s">
        <v>66</v>
      </c>
      <c r="AO411">
        <v>0</v>
      </c>
      <c r="AP411">
        <v>0</v>
      </c>
      <c r="AQ411">
        <v>0</v>
      </c>
      <c r="AR411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s">
        <v>77</v>
      </c>
      <c r="BA411" t="s">
        <v>57</v>
      </c>
      <c r="BB411" t="s">
        <v>74</v>
      </c>
      <c r="BC411" t="s">
        <v>75</v>
      </c>
      <c r="BD411" t="s">
        <v>55</v>
      </c>
    </row>
    <row r="412" spans="1:56" x14ac:dyDescent="0.25">
      <c r="A412" t="str" cm="1">
        <f t="array" ref="A412">_xlfn.XLOOKUP(RIGHT(M412,8),TeamIdentity!C:C,TeamIdentity!A:A,NONE)</f>
        <v>49ers</v>
      </c>
      <c r="B412" t="str" cm="1">
        <f t="array" ref="B412">_xlfn.XLOOKUP(RIGHT(F412,8),TeamIdentity!C:C,TeamIdentity!A:A,NONE)</f>
        <v>49ers</v>
      </c>
      <c r="C412" t="s">
        <v>121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>
        <v>-2147483648</v>
      </c>
      <c r="O412">
        <v>-2147483648</v>
      </c>
      <c r="P412">
        <v>-2147483648</v>
      </c>
      <c r="Q412">
        <v>0</v>
      </c>
      <c r="R412" t="s">
        <v>59</v>
      </c>
      <c r="S412">
        <v>0</v>
      </c>
      <c r="T412">
        <v>0</v>
      </c>
      <c r="U412">
        <v>0</v>
      </c>
      <c r="V412" t="s">
        <v>57</v>
      </c>
      <c r="W412">
        <v>0</v>
      </c>
      <c r="X412">
        <v>0</v>
      </c>
      <c r="Y412">
        <v>0</v>
      </c>
      <c r="Z412">
        <v>-100</v>
      </c>
      <c r="AA412" t="s">
        <v>67</v>
      </c>
      <c r="AB412">
        <v>0</v>
      </c>
      <c r="AC412">
        <v>0</v>
      </c>
      <c r="AD412">
        <v>0</v>
      </c>
      <c r="AE412">
        <v>0</v>
      </c>
      <c r="AF412" t="s">
        <v>60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s">
        <v>55</v>
      </c>
      <c r="AM412" t="s">
        <v>76</v>
      </c>
      <c r="AN412" t="s">
        <v>66</v>
      </c>
      <c r="AO412">
        <v>0</v>
      </c>
      <c r="AP412">
        <v>0</v>
      </c>
      <c r="AQ412">
        <v>0</v>
      </c>
      <c r="AR412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s">
        <v>77</v>
      </c>
      <c r="BA412" t="s">
        <v>57</v>
      </c>
      <c r="BB412" t="s">
        <v>74</v>
      </c>
      <c r="BC412" t="s">
        <v>75</v>
      </c>
      <c r="BD412" t="s">
        <v>55</v>
      </c>
    </row>
    <row r="413" spans="1:56" x14ac:dyDescent="0.25">
      <c r="A413" t="str" cm="1">
        <f t="array" ref="A413">_xlfn.XLOOKUP(RIGHT(M413,8),TeamIdentity!C:C,TeamIdentity!A:A,NONE)</f>
        <v>49ers</v>
      </c>
      <c r="B413" t="str" cm="1">
        <f t="array" ref="B413">_xlfn.XLOOKUP(RIGHT(F413,8),TeamIdentity!C:C,TeamIdentity!A:A,NONE)</f>
        <v>49ers</v>
      </c>
      <c r="C413" t="s">
        <v>122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>
        <v>-2147483648</v>
      </c>
      <c r="O413">
        <v>-2147483648</v>
      </c>
      <c r="P413">
        <v>-2147483648</v>
      </c>
      <c r="Q413">
        <v>0</v>
      </c>
      <c r="R413" t="s">
        <v>59</v>
      </c>
      <c r="S413">
        <v>0</v>
      </c>
      <c r="T413">
        <v>0</v>
      </c>
      <c r="U413">
        <v>0</v>
      </c>
      <c r="V413" t="s">
        <v>57</v>
      </c>
      <c r="W413">
        <v>0</v>
      </c>
      <c r="X413">
        <v>0</v>
      </c>
      <c r="Y413">
        <v>0</v>
      </c>
      <c r="Z413">
        <v>-100</v>
      </c>
      <c r="AA413" t="s">
        <v>67</v>
      </c>
      <c r="AB413">
        <v>0</v>
      </c>
      <c r="AC413">
        <v>0</v>
      </c>
      <c r="AD413">
        <v>0</v>
      </c>
      <c r="AE413">
        <v>0</v>
      </c>
      <c r="AF413" t="s">
        <v>60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s">
        <v>55</v>
      </c>
      <c r="AM413" t="s">
        <v>76</v>
      </c>
      <c r="AN413" t="s">
        <v>66</v>
      </c>
      <c r="AO413">
        <v>0</v>
      </c>
      <c r="AP413">
        <v>0</v>
      </c>
      <c r="AQ413">
        <v>0</v>
      </c>
      <c r="AR413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s">
        <v>77</v>
      </c>
      <c r="BA413" t="s">
        <v>57</v>
      </c>
      <c r="BB413" t="s">
        <v>74</v>
      </c>
      <c r="BC413" t="s">
        <v>75</v>
      </c>
      <c r="BD413" t="s">
        <v>55</v>
      </c>
    </row>
    <row r="414" spans="1:56" x14ac:dyDescent="0.25">
      <c r="A414" t="str" cm="1">
        <f t="array" ref="A414">_xlfn.XLOOKUP(RIGHT(M414,8),TeamIdentity!C:C,TeamIdentity!A:A,NONE)</f>
        <v>49ers</v>
      </c>
      <c r="B414" t="str" cm="1">
        <f t="array" ref="B414">_xlfn.XLOOKUP(RIGHT(F414,8),TeamIdentity!C:C,TeamIdentity!A:A,NONE)</f>
        <v>49ers</v>
      </c>
      <c r="C414" t="s">
        <v>123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>
        <v>-2147483648</v>
      </c>
      <c r="O414">
        <v>-2147483648</v>
      </c>
      <c r="P414">
        <v>-2147483648</v>
      </c>
      <c r="Q414">
        <v>0</v>
      </c>
      <c r="R414" t="s">
        <v>59</v>
      </c>
      <c r="S414">
        <v>0</v>
      </c>
      <c r="T414">
        <v>0</v>
      </c>
      <c r="U414">
        <v>0</v>
      </c>
      <c r="V414" t="s">
        <v>57</v>
      </c>
      <c r="W414">
        <v>0</v>
      </c>
      <c r="X414">
        <v>0</v>
      </c>
      <c r="Y414">
        <v>0</v>
      </c>
      <c r="Z414">
        <v>-100</v>
      </c>
      <c r="AA414" t="s">
        <v>67</v>
      </c>
      <c r="AB414">
        <v>0</v>
      </c>
      <c r="AC414">
        <v>0</v>
      </c>
      <c r="AD414">
        <v>0</v>
      </c>
      <c r="AE414">
        <v>0</v>
      </c>
      <c r="AF414" t="s">
        <v>60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s">
        <v>55</v>
      </c>
      <c r="AM414" t="s">
        <v>76</v>
      </c>
      <c r="AN414" t="s">
        <v>66</v>
      </c>
      <c r="AO414">
        <v>0</v>
      </c>
      <c r="AP414">
        <v>0</v>
      </c>
      <c r="AQ414">
        <v>0</v>
      </c>
      <c r="AR414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s">
        <v>77</v>
      </c>
      <c r="BA414" t="s">
        <v>57</v>
      </c>
      <c r="BB414" t="s">
        <v>74</v>
      </c>
      <c r="BC414" t="s">
        <v>75</v>
      </c>
      <c r="BD414" t="s">
        <v>55</v>
      </c>
    </row>
    <row r="415" spans="1:56" x14ac:dyDescent="0.25">
      <c r="A415" t="str" cm="1">
        <f t="array" ref="A415">_xlfn.XLOOKUP(RIGHT(M415,8),TeamIdentity!C:C,TeamIdentity!A:A,NONE)</f>
        <v>49ers</v>
      </c>
      <c r="B415" t="str" cm="1">
        <f t="array" ref="B415">_xlfn.XLOOKUP(RIGHT(F415,8),TeamIdentity!C:C,TeamIdentity!A:A,NONE)</f>
        <v>49ers</v>
      </c>
      <c r="C415" t="s">
        <v>124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>
        <v>-2147483648</v>
      </c>
      <c r="O415">
        <v>-2147483648</v>
      </c>
      <c r="P415">
        <v>-2147483648</v>
      </c>
      <c r="Q415">
        <v>0</v>
      </c>
      <c r="R415" t="s">
        <v>59</v>
      </c>
      <c r="S415">
        <v>0</v>
      </c>
      <c r="T415">
        <v>0</v>
      </c>
      <c r="U415">
        <v>0</v>
      </c>
      <c r="V415" t="s">
        <v>57</v>
      </c>
      <c r="W415">
        <v>0</v>
      </c>
      <c r="X415">
        <v>0</v>
      </c>
      <c r="Y415">
        <v>0</v>
      </c>
      <c r="Z415">
        <v>-100</v>
      </c>
      <c r="AA415" t="s">
        <v>67</v>
      </c>
      <c r="AB415">
        <v>0</v>
      </c>
      <c r="AC415">
        <v>0</v>
      </c>
      <c r="AD415">
        <v>0</v>
      </c>
      <c r="AE415">
        <v>0</v>
      </c>
      <c r="AF415" t="s">
        <v>60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s">
        <v>55</v>
      </c>
      <c r="AM415" t="s">
        <v>76</v>
      </c>
      <c r="AN415" t="s">
        <v>66</v>
      </c>
      <c r="AO415">
        <v>0</v>
      </c>
      <c r="AP415">
        <v>0</v>
      </c>
      <c r="AQ415">
        <v>0</v>
      </c>
      <c r="AR415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s">
        <v>77</v>
      </c>
      <c r="BA415" t="s">
        <v>57</v>
      </c>
      <c r="BB415" t="s">
        <v>74</v>
      </c>
      <c r="BC415" t="s">
        <v>75</v>
      </c>
      <c r="BD415" t="s">
        <v>55</v>
      </c>
    </row>
    <row r="416" spans="1:56" x14ac:dyDescent="0.25">
      <c r="A416" t="str" cm="1">
        <f t="array" ref="A416">_xlfn.XLOOKUP(RIGHT(M416,8),TeamIdentity!C:C,TeamIdentity!A:A,NONE)</f>
        <v>49ers</v>
      </c>
      <c r="B416" t="str" cm="1">
        <f t="array" ref="B416">_xlfn.XLOOKUP(RIGHT(F416,8),TeamIdentity!C:C,TeamIdentity!A:A,NONE)</f>
        <v>49ers</v>
      </c>
      <c r="C416" t="s">
        <v>125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>
        <v>-2147483648</v>
      </c>
      <c r="O416">
        <v>-2147483648</v>
      </c>
      <c r="P416">
        <v>-2147483648</v>
      </c>
      <c r="Q416">
        <v>0</v>
      </c>
      <c r="R416" t="s">
        <v>59</v>
      </c>
      <c r="S416">
        <v>0</v>
      </c>
      <c r="T416">
        <v>0</v>
      </c>
      <c r="U416">
        <v>0</v>
      </c>
      <c r="V416" t="s">
        <v>57</v>
      </c>
      <c r="W416">
        <v>0</v>
      </c>
      <c r="X416">
        <v>0</v>
      </c>
      <c r="Y416">
        <v>0</v>
      </c>
      <c r="Z416">
        <v>-100</v>
      </c>
      <c r="AA416" t="s">
        <v>67</v>
      </c>
      <c r="AB416">
        <v>0</v>
      </c>
      <c r="AC416">
        <v>0</v>
      </c>
      <c r="AD416">
        <v>0</v>
      </c>
      <c r="AE416">
        <v>0</v>
      </c>
      <c r="AF416" t="s">
        <v>60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s">
        <v>55</v>
      </c>
      <c r="AM416" t="s">
        <v>76</v>
      </c>
      <c r="AN416" t="s">
        <v>66</v>
      </c>
      <c r="AO416">
        <v>0</v>
      </c>
      <c r="AP416">
        <v>0</v>
      </c>
      <c r="AQ416">
        <v>0</v>
      </c>
      <c r="AR416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s">
        <v>77</v>
      </c>
      <c r="BA416" t="s">
        <v>57</v>
      </c>
      <c r="BB416" t="s">
        <v>74</v>
      </c>
      <c r="BC416" t="s">
        <v>75</v>
      </c>
      <c r="BD416" t="s">
        <v>55</v>
      </c>
    </row>
    <row r="417" spans="1:56" x14ac:dyDescent="0.25">
      <c r="A417" t="str" cm="1">
        <f t="array" ref="A417">_xlfn.XLOOKUP(RIGHT(M417,8),TeamIdentity!C:C,TeamIdentity!A:A,NONE)</f>
        <v>49ers</v>
      </c>
      <c r="B417" t="str" cm="1">
        <f t="array" ref="B417">_xlfn.XLOOKUP(RIGHT(F417,8),TeamIdentity!C:C,TeamIdentity!A:A,NONE)</f>
        <v>49ers</v>
      </c>
      <c r="C417" t="s">
        <v>126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>
        <v>-2147483648</v>
      </c>
      <c r="O417">
        <v>-2147483648</v>
      </c>
      <c r="P417">
        <v>-2147483648</v>
      </c>
      <c r="Q417">
        <v>0</v>
      </c>
      <c r="R417" t="s">
        <v>59</v>
      </c>
      <c r="S417">
        <v>0</v>
      </c>
      <c r="T417">
        <v>0</v>
      </c>
      <c r="U417">
        <v>0</v>
      </c>
      <c r="V417" t="s">
        <v>57</v>
      </c>
      <c r="W417">
        <v>0</v>
      </c>
      <c r="X417">
        <v>0</v>
      </c>
      <c r="Y417">
        <v>0</v>
      </c>
      <c r="Z417">
        <v>-100</v>
      </c>
      <c r="AA417" t="s">
        <v>67</v>
      </c>
      <c r="AB417">
        <v>0</v>
      </c>
      <c r="AC417">
        <v>0</v>
      </c>
      <c r="AD417">
        <v>0</v>
      </c>
      <c r="AE417">
        <v>0</v>
      </c>
      <c r="AF417" t="s">
        <v>60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s">
        <v>55</v>
      </c>
      <c r="AM417" t="s">
        <v>76</v>
      </c>
      <c r="AN417" t="s">
        <v>66</v>
      </c>
      <c r="AO417">
        <v>0</v>
      </c>
      <c r="AP417">
        <v>0</v>
      </c>
      <c r="AQ417">
        <v>0</v>
      </c>
      <c r="AR417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s">
        <v>77</v>
      </c>
      <c r="BA417" t="s">
        <v>57</v>
      </c>
      <c r="BB417" t="s">
        <v>74</v>
      </c>
      <c r="BC417" t="s">
        <v>75</v>
      </c>
      <c r="BD417" t="s">
        <v>55</v>
      </c>
    </row>
    <row r="418" spans="1:56" x14ac:dyDescent="0.25">
      <c r="A418" t="str" cm="1">
        <f t="array" ref="A418">_xlfn.XLOOKUP(RIGHT(M418,8),TeamIdentity!C:C,TeamIdentity!A:A,NONE)</f>
        <v>49ers</v>
      </c>
      <c r="B418" t="str" cm="1">
        <f t="array" ref="B418">_xlfn.XLOOKUP(RIGHT(F418,8),TeamIdentity!C:C,TeamIdentity!A:A,NONE)</f>
        <v>49ers</v>
      </c>
      <c r="C418" t="s">
        <v>127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>
        <v>-2147483648</v>
      </c>
      <c r="O418">
        <v>-2147483648</v>
      </c>
      <c r="P418">
        <v>-2147483648</v>
      </c>
      <c r="Q418">
        <v>0</v>
      </c>
      <c r="R418" t="s">
        <v>59</v>
      </c>
      <c r="S418">
        <v>0</v>
      </c>
      <c r="T418">
        <v>0</v>
      </c>
      <c r="U418">
        <v>0</v>
      </c>
      <c r="V418" t="s">
        <v>57</v>
      </c>
      <c r="W418">
        <v>0</v>
      </c>
      <c r="X418">
        <v>0</v>
      </c>
      <c r="Y418">
        <v>0</v>
      </c>
      <c r="Z418">
        <v>-100</v>
      </c>
      <c r="AA418" t="s">
        <v>67</v>
      </c>
      <c r="AB418">
        <v>0</v>
      </c>
      <c r="AC418">
        <v>0</v>
      </c>
      <c r="AD418">
        <v>0</v>
      </c>
      <c r="AE418">
        <v>0</v>
      </c>
      <c r="AF418" t="s">
        <v>60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s">
        <v>55</v>
      </c>
      <c r="AM418" t="s">
        <v>76</v>
      </c>
      <c r="AN418" t="s">
        <v>66</v>
      </c>
      <c r="AO418">
        <v>0</v>
      </c>
      <c r="AP418">
        <v>0</v>
      </c>
      <c r="AQ418">
        <v>0</v>
      </c>
      <c r="AR418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s">
        <v>77</v>
      </c>
      <c r="BA418" t="s">
        <v>57</v>
      </c>
      <c r="BB418" t="s">
        <v>74</v>
      </c>
      <c r="BC418" t="s">
        <v>75</v>
      </c>
      <c r="BD418" t="s">
        <v>55</v>
      </c>
    </row>
    <row r="419" spans="1:56" x14ac:dyDescent="0.25">
      <c r="A419" t="str" cm="1">
        <f t="array" ref="A419">_xlfn.XLOOKUP(RIGHT(M419,8),TeamIdentity!C:C,TeamIdentity!A:A,NONE)</f>
        <v>49ers</v>
      </c>
      <c r="B419" t="str" cm="1">
        <f t="array" ref="B419">_xlfn.XLOOKUP(RIGHT(F419,8),TeamIdentity!C:C,TeamIdentity!A:A,NONE)</f>
        <v>49ers</v>
      </c>
      <c r="C419" t="s">
        <v>128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>
        <v>-2147483648</v>
      </c>
      <c r="O419">
        <v>-2147483648</v>
      </c>
      <c r="P419">
        <v>-2147483648</v>
      </c>
      <c r="Q419">
        <v>0</v>
      </c>
      <c r="R419" t="s">
        <v>59</v>
      </c>
      <c r="S419">
        <v>0</v>
      </c>
      <c r="T419">
        <v>0</v>
      </c>
      <c r="U419">
        <v>0</v>
      </c>
      <c r="V419" t="s">
        <v>57</v>
      </c>
      <c r="W419">
        <v>0</v>
      </c>
      <c r="X419">
        <v>0</v>
      </c>
      <c r="Y419">
        <v>0</v>
      </c>
      <c r="Z419">
        <v>-100</v>
      </c>
      <c r="AA419" t="s">
        <v>67</v>
      </c>
      <c r="AB419">
        <v>0</v>
      </c>
      <c r="AC419">
        <v>0</v>
      </c>
      <c r="AD419">
        <v>0</v>
      </c>
      <c r="AE419">
        <v>0</v>
      </c>
      <c r="AF419" t="s">
        <v>60</v>
      </c>
      <c r="AG419">
        <v>0</v>
      </c>
      <c r="AH419">
        <v>0</v>
      </c>
      <c r="AI419">
        <v>0</v>
      </c>
      <c r="AJ419">
        <v>0</v>
      </c>
      <c r="AK419" t="b">
        <v>0</v>
      </c>
      <c r="AL419" t="s">
        <v>55</v>
      </c>
      <c r="AM419" t="s">
        <v>76</v>
      </c>
      <c r="AN419" t="s">
        <v>66</v>
      </c>
      <c r="AO419">
        <v>0</v>
      </c>
      <c r="AP419">
        <v>0</v>
      </c>
      <c r="AQ419">
        <v>0</v>
      </c>
      <c r="AR419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s">
        <v>77</v>
      </c>
      <c r="BA419" t="s">
        <v>57</v>
      </c>
      <c r="BB419" t="s">
        <v>74</v>
      </c>
      <c r="BC419" t="s">
        <v>75</v>
      </c>
      <c r="BD419" t="s">
        <v>55</v>
      </c>
    </row>
    <row r="420" spans="1:56" x14ac:dyDescent="0.25">
      <c r="A420" t="str" cm="1">
        <f t="array" ref="A420">_xlfn.XLOOKUP(RIGHT(M420,8),TeamIdentity!C:C,TeamIdentity!A:A,NONE)</f>
        <v>49ers</v>
      </c>
      <c r="B420" t="str" cm="1">
        <f t="array" ref="B420">_xlfn.XLOOKUP(RIGHT(F420,8),TeamIdentity!C:C,TeamIdentity!A:A,NONE)</f>
        <v>49ers</v>
      </c>
      <c r="C420" t="s">
        <v>129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>
        <v>-2147483648</v>
      </c>
      <c r="O420">
        <v>-2147483648</v>
      </c>
      <c r="P420">
        <v>-2147483648</v>
      </c>
      <c r="Q420">
        <v>0</v>
      </c>
      <c r="R420" t="s">
        <v>59</v>
      </c>
      <c r="S420">
        <v>0</v>
      </c>
      <c r="T420">
        <v>0</v>
      </c>
      <c r="U420">
        <v>0</v>
      </c>
      <c r="V420" t="s">
        <v>57</v>
      </c>
      <c r="W420">
        <v>0</v>
      </c>
      <c r="X420">
        <v>0</v>
      </c>
      <c r="Y420">
        <v>0</v>
      </c>
      <c r="Z420">
        <v>-100</v>
      </c>
      <c r="AA420" t="s">
        <v>67</v>
      </c>
      <c r="AB420">
        <v>0</v>
      </c>
      <c r="AC420">
        <v>0</v>
      </c>
      <c r="AD420">
        <v>0</v>
      </c>
      <c r="AE420">
        <v>0</v>
      </c>
      <c r="AF420" t="s">
        <v>60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s">
        <v>55</v>
      </c>
      <c r="AM420" t="s">
        <v>76</v>
      </c>
      <c r="AN420" t="s">
        <v>66</v>
      </c>
      <c r="AO420">
        <v>0</v>
      </c>
      <c r="AP420">
        <v>0</v>
      </c>
      <c r="AQ420">
        <v>0</v>
      </c>
      <c r="AR420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s">
        <v>77</v>
      </c>
      <c r="BA420" t="s">
        <v>57</v>
      </c>
      <c r="BB420" t="s">
        <v>74</v>
      </c>
      <c r="BC420" t="s">
        <v>75</v>
      </c>
      <c r="BD420" t="s">
        <v>55</v>
      </c>
    </row>
    <row r="421" spans="1:56" x14ac:dyDescent="0.25">
      <c r="A421" t="str" cm="1">
        <f t="array" ref="A421">_xlfn.XLOOKUP(RIGHT(M421,8),TeamIdentity!C:C,TeamIdentity!A:A,NONE)</f>
        <v>49ers</v>
      </c>
      <c r="B421" t="str" cm="1">
        <f t="array" ref="B421">_xlfn.XLOOKUP(RIGHT(F421,8),TeamIdentity!C:C,TeamIdentity!A:A,NONE)</f>
        <v>49ers</v>
      </c>
      <c r="C421" t="s">
        <v>130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>
        <v>-2147483648</v>
      </c>
      <c r="O421">
        <v>-2147483648</v>
      </c>
      <c r="P421">
        <v>-2147483648</v>
      </c>
      <c r="Q421">
        <v>0</v>
      </c>
      <c r="R421" t="s">
        <v>59</v>
      </c>
      <c r="S421">
        <v>0</v>
      </c>
      <c r="T421">
        <v>0</v>
      </c>
      <c r="U421">
        <v>0</v>
      </c>
      <c r="V421" t="s">
        <v>57</v>
      </c>
      <c r="W421">
        <v>0</v>
      </c>
      <c r="X421">
        <v>0</v>
      </c>
      <c r="Y421">
        <v>0</v>
      </c>
      <c r="Z421">
        <v>-100</v>
      </c>
      <c r="AA421" t="s">
        <v>67</v>
      </c>
      <c r="AB421">
        <v>0</v>
      </c>
      <c r="AC421">
        <v>0</v>
      </c>
      <c r="AD421">
        <v>0</v>
      </c>
      <c r="AE421">
        <v>0</v>
      </c>
      <c r="AF421" t="s">
        <v>60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s">
        <v>55</v>
      </c>
      <c r="AM421" t="s">
        <v>76</v>
      </c>
      <c r="AN421" t="s">
        <v>66</v>
      </c>
      <c r="AO421">
        <v>0</v>
      </c>
      <c r="AP421">
        <v>0</v>
      </c>
      <c r="AQ421">
        <v>0</v>
      </c>
      <c r="AR421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s">
        <v>77</v>
      </c>
      <c r="BA421" t="s">
        <v>57</v>
      </c>
      <c r="BB421" t="s">
        <v>74</v>
      </c>
      <c r="BC421" t="s">
        <v>75</v>
      </c>
      <c r="BD421" t="s">
        <v>55</v>
      </c>
    </row>
    <row r="422" spans="1:56" x14ac:dyDescent="0.25">
      <c r="A422" t="str" cm="1">
        <f t="array" ref="A422">_xlfn.XLOOKUP(RIGHT(M422,8),TeamIdentity!C:C,TeamIdentity!A:A,NONE)</f>
        <v>49ers</v>
      </c>
      <c r="B422" t="str" cm="1">
        <f t="array" ref="B422">_xlfn.XLOOKUP(RIGHT(F422,8),TeamIdentity!C:C,TeamIdentity!A:A,NONE)</f>
        <v>49ers</v>
      </c>
      <c r="C422" t="s">
        <v>131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>
        <v>-2147483648</v>
      </c>
      <c r="O422">
        <v>-2147483648</v>
      </c>
      <c r="P422">
        <v>-2147483648</v>
      </c>
      <c r="Q422">
        <v>0</v>
      </c>
      <c r="R422" t="s">
        <v>59</v>
      </c>
      <c r="S422">
        <v>0</v>
      </c>
      <c r="T422">
        <v>0</v>
      </c>
      <c r="U422">
        <v>0</v>
      </c>
      <c r="V422" t="s">
        <v>57</v>
      </c>
      <c r="W422">
        <v>0</v>
      </c>
      <c r="X422">
        <v>0</v>
      </c>
      <c r="Y422">
        <v>0</v>
      </c>
      <c r="Z422">
        <v>-100</v>
      </c>
      <c r="AA422" t="s">
        <v>67</v>
      </c>
      <c r="AB422">
        <v>0</v>
      </c>
      <c r="AC422">
        <v>0</v>
      </c>
      <c r="AD422">
        <v>0</v>
      </c>
      <c r="AE422">
        <v>0</v>
      </c>
      <c r="AF422" t="s">
        <v>60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s">
        <v>55</v>
      </c>
      <c r="AM422" t="s">
        <v>76</v>
      </c>
      <c r="AN422" t="s">
        <v>66</v>
      </c>
      <c r="AO422">
        <v>0</v>
      </c>
      <c r="AP422">
        <v>0</v>
      </c>
      <c r="AQ422">
        <v>0</v>
      </c>
      <c r="AR422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s">
        <v>77</v>
      </c>
      <c r="BA422" t="s">
        <v>57</v>
      </c>
      <c r="BB422" t="s">
        <v>74</v>
      </c>
      <c r="BC422" t="s">
        <v>75</v>
      </c>
      <c r="BD422" t="s">
        <v>55</v>
      </c>
    </row>
    <row r="423" spans="1:56" x14ac:dyDescent="0.25">
      <c r="A423" t="str" cm="1">
        <f t="array" ref="A423">_xlfn.XLOOKUP(RIGHT(M423,8),TeamIdentity!C:C,TeamIdentity!A:A,NONE)</f>
        <v>49ers</v>
      </c>
      <c r="B423" t="str" cm="1">
        <f t="array" ref="B423">_xlfn.XLOOKUP(RIGHT(F423,8),TeamIdentity!C:C,TeamIdentity!A:A,NONE)</f>
        <v>49ers</v>
      </c>
      <c r="C423" t="s">
        <v>132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>
        <v>-2147483648</v>
      </c>
      <c r="O423">
        <v>-2147483648</v>
      </c>
      <c r="P423">
        <v>-2147483648</v>
      </c>
      <c r="Q423">
        <v>0</v>
      </c>
      <c r="R423" t="s">
        <v>59</v>
      </c>
      <c r="S423">
        <v>0</v>
      </c>
      <c r="T423">
        <v>0</v>
      </c>
      <c r="U423">
        <v>0</v>
      </c>
      <c r="V423" t="s">
        <v>57</v>
      </c>
      <c r="W423">
        <v>0</v>
      </c>
      <c r="X423">
        <v>0</v>
      </c>
      <c r="Y423">
        <v>0</v>
      </c>
      <c r="Z423">
        <v>-100</v>
      </c>
      <c r="AA423" t="s">
        <v>67</v>
      </c>
      <c r="AB423">
        <v>0</v>
      </c>
      <c r="AC423">
        <v>0</v>
      </c>
      <c r="AD423">
        <v>0</v>
      </c>
      <c r="AE423">
        <v>0</v>
      </c>
      <c r="AF423" t="s">
        <v>60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s">
        <v>55</v>
      </c>
      <c r="AM423" t="s">
        <v>76</v>
      </c>
      <c r="AN423" t="s">
        <v>66</v>
      </c>
      <c r="AO423">
        <v>0</v>
      </c>
      <c r="AP423">
        <v>0</v>
      </c>
      <c r="AQ423">
        <v>0</v>
      </c>
      <c r="AR423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s">
        <v>77</v>
      </c>
      <c r="BA423" t="s">
        <v>57</v>
      </c>
      <c r="BB423" t="s">
        <v>74</v>
      </c>
      <c r="BC423" t="s">
        <v>75</v>
      </c>
      <c r="BD423" t="s">
        <v>55</v>
      </c>
    </row>
    <row r="424" spans="1:56" x14ac:dyDescent="0.25">
      <c r="A424" t="str" cm="1">
        <f t="array" ref="A424">_xlfn.XLOOKUP(RIGHT(M424,8),TeamIdentity!C:C,TeamIdentity!A:A,NONE)</f>
        <v>49ers</v>
      </c>
      <c r="B424" t="str" cm="1">
        <f t="array" ref="B424">_xlfn.XLOOKUP(RIGHT(F424,8),TeamIdentity!C:C,TeamIdentity!A:A,NONE)</f>
        <v>49ers</v>
      </c>
      <c r="C424" t="s">
        <v>133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>
        <v>-2147483648</v>
      </c>
      <c r="O424">
        <v>-2147483648</v>
      </c>
      <c r="P424">
        <v>-2147483648</v>
      </c>
      <c r="Q424">
        <v>0</v>
      </c>
      <c r="R424" t="s">
        <v>59</v>
      </c>
      <c r="S424">
        <v>0</v>
      </c>
      <c r="T424">
        <v>0</v>
      </c>
      <c r="U424">
        <v>0</v>
      </c>
      <c r="V424" t="s">
        <v>57</v>
      </c>
      <c r="W424">
        <v>0</v>
      </c>
      <c r="X424">
        <v>0</v>
      </c>
      <c r="Y424">
        <v>0</v>
      </c>
      <c r="Z424">
        <v>-100</v>
      </c>
      <c r="AA424" t="s">
        <v>67</v>
      </c>
      <c r="AB424">
        <v>0</v>
      </c>
      <c r="AC424">
        <v>0</v>
      </c>
      <c r="AD424">
        <v>0</v>
      </c>
      <c r="AE424">
        <v>0</v>
      </c>
      <c r="AF424" t="s">
        <v>60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s">
        <v>55</v>
      </c>
      <c r="AM424" t="s">
        <v>76</v>
      </c>
      <c r="AN424" t="s">
        <v>66</v>
      </c>
      <c r="AO424">
        <v>0</v>
      </c>
      <c r="AP424">
        <v>0</v>
      </c>
      <c r="AQ424">
        <v>0</v>
      </c>
      <c r="AR424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s">
        <v>77</v>
      </c>
      <c r="BA424" t="s">
        <v>57</v>
      </c>
      <c r="BB424" t="s">
        <v>74</v>
      </c>
      <c r="BC424" t="s">
        <v>75</v>
      </c>
      <c r="BD424" t="s">
        <v>55</v>
      </c>
    </row>
    <row r="425" spans="1:56" x14ac:dyDescent="0.25">
      <c r="A425" t="str" cm="1">
        <f t="array" ref="A425">_xlfn.XLOOKUP(RIGHT(M425,8),TeamIdentity!C:C,TeamIdentity!A:A,NONE)</f>
        <v>49ers</v>
      </c>
      <c r="B425" t="str" cm="1">
        <f t="array" ref="B425">_xlfn.XLOOKUP(RIGHT(F425,8),TeamIdentity!C:C,TeamIdentity!A:A,NONE)</f>
        <v>49ers</v>
      </c>
      <c r="C425" t="s">
        <v>134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>
        <v>-2147483648</v>
      </c>
      <c r="O425">
        <v>-2147483648</v>
      </c>
      <c r="P425">
        <v>-2147483648</v>
      </c>
      <c r="Q425">
        <v>0</v>
      </c>
      <c r="R425" t="s">
        <v>59</v>
      </c>
      <c r="S425">
        <v>0</v>
      </c>
      <c r="T425">
        <v>0</v>
      </c>
      <c r="U425">
        <v>0</v>
      </c>
      <c r="V425" t="s">
        <v>57</v>
      </c>
      <c r="W425">
        <v>0</v>
      </c>
      <c r="X425">
        <v>0</v>
      </c>
      <c r="Y425">
        <v>0</v>
      </c>
      <c r="Z425">
        <v>-100</v>
      </c>
      <c r="AA425" t="s">
        <v>67</v>
      </c>
      <c r="AB425">
        <v>0</v>
      </c>
      <c r="AC425">
        <v>0</v>
      </c>
      <c r="AD425">
        <v>0</v>
      </c>
      <c r="AE425">
        <v>0</v>
      </c>
      <c r="AF425" t="s">
        <v>60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s">
        <v>55</v>
      </c>
      <c r="AM425" t="s">
        <v>76</v>
      </c>
      <c r="AN425" t="s">
        <v>66</v>
      </c>
      <c r="AO425">
        <v>0</v>
      </c>
      <c r="AP425">
        <v>0</v>
      </c>
      <c r="AQ425">
        <v>0</v>
      </c>
      <c r="AR425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s">
        <v>77</v>
      </c>
      <c r="BA425" t="s">
        <v>57</v>
      </c>
      <c r="BB425" t="s">
        <v>74</v>
      </c>
      <c r="BC425" t="s">
        <v>75</v>
      </c>
      <c r="BD425" t="s">
        <v>55</v>
      </c>
    </row>
    <row r="426" spans="1:56" x14ac:dyDescent="0.25">
      <c r="A426" t="str" cm="1">
        <f t="array" ref="A426">_xlfn.XLOOKUP(RIGHT(M426,8),TeamIdentity!C:C,TeamIdentity!A:A,NONE)</f>
        <v>49ers</v>
      </c>
      <c r="B426" t="str" cm="1">
        <f t="array" ref="B426">_xlfn.XLOOKUP(RIGHT(F426,8),TeamIdentity!C:C,TeamIdentity!A:A,NONE)</f>
        <v>49ers</v>
      </c>
      <c r="C426" t="s">
        <v>135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>
        <v>-2147483648</v>
      </c>
      <c r="O426">
        <v>-2147483648</v>
      </c>
      <c r="P426">
        <v>-2147483648</v>
      </c>
      <c r="Q426">
        <v>0</v>
      </c>
      <c r="R426" t="s">
        <v>59</v>
      </c>
      <c r="S426">
        <v>0</v>
      </c>
      <c r="T426">
        <v>0</v>
      </c>
      <c r="U426">
        <v>0</v>
      </c>
      <c r="V426" t="s">
        <v>57</v>
      </c>
      <c r="W426">
        <v>0</v>
      </c>
      <c r="X426">
        <v>0</v>
      </c>
      <c r="Y426">
        <v>0</v>
      </c>
      <c r="Z426">
        <v>-100</v>
      </c>
      <c r="AA426" t="s">
        <v>67</v>
      </c>
      <c r="AB426">
        <v>0</v>
      </c>
      <c r="AC426">
        <v>0</v>
      </c>
      <c r="AD426">
        <v>0</v>
      </c>
      <c r="AE426">
        <v>0</v>
      </c>
      <c r="AF426" t="s">
        <v>60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s">
        <v>55</v>
      </c>
      <c r="AM426" t="s">
        <v>76</v>
      </c>
      <c r="AN426" t="s">
        <v>66</v>
      </c>
      <c r="AO426">
        <v>0</v>
      </c>
      <c r="AP426">
        <v>0</v>
      </c>
      <c r="AQ426">
        <v>0</v>
      </c>
      <c r="AR426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s">
        <v>77</v>
      </c>
      <c r="BA426" t="s">
        <v>57</v>
      </c>
      <c r="BB426" t="s">
        <v>74</v>
      </c>
      <c r="BC426" t="s">
        <v>75</v>
      </c>
      <c r="BD426" t="s">
        <v>55</v>
      </c>
    </row>
    <row r="427" spans="1:56" x14ac:dyDescent="0.25">
      <c r="A427" t="str" cm="1">
        <f t="array" ref="A427">_xlfn.XLOOKUP(RIGHT(M427,8),TeamIdentity!C:C,TeamIdentity!A:A,NONE)</f>
        <v>49ers</v>
      </c>
      <c r="B427" t="str" cm="1">
        <f t="array" ref="B427">_xlfn.XLOOKUP(RIGHT(F427,8),TeamIdentity!C:C,TeamIdentity!A:A,NONE)</f>
        <v>49ers</v>
      </c>
      <c r="C427" t="s">
        <v>136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>
        <v>-2147483648</v>
      </c>
      <c r="O427">
        <v>-2147483648</v>
      </c>
      <c r="P427">
        <v>-2147483648</v>
      </c>
      <c r="Q427">
        <v>0</v>
      </c>
      <c r="R427" t="s">
        <v>59</v>
      </c>
      <c r="S427">
        <v>0</v>
      </c>
      <c r="T427">
        <v>0</v>
      </c>
      <c r="U427">
        <v>0</v>
      </c>
      <c r="V427" t="s">
        <v>57</v>
      </c>
      <c r="W427">
        <v>0</v>
      </c>
      <c r="X427">
        <v>0</v>
      </c>
      <c r="Y427">
        <v>0</v>
      </c>
      <c r="Z427">
        <v>-100</v>
      </c>
      <c r="AA427" t="s">
        <v>67</v>
      </c>
      <c r="AB427">
        <v>0</v>
      </c>
      <c r="AC427">
        <v>0</v>
      </c>
      <c r="AD427">
        <v>0</v>
      </c>
      <c r="AE427">
        <v>0</v>
      </c>
      <c r="AF427" t="s">
        <v>60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s">
        <v>55</v>
      </c>
      <c r="AM427" t="s">
        <v>76</v>
      </c>
      <c r="AN427" t="s">
        <v>66</v>
      </c>
      <c r="AO427">
        <v>0</v>
      </c>
      <c r="AP427">
        <v>0</v>
      </c>
      <c r="AQ427">
        <v>0</v>
      </c>
      <c r="AR427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s">
        <v>77</v>
      </c>
      <c r="BA427" t="s">
        <v>57</v>
      </c>
      <c r="BB427" t="s">
        <v>74</v>
      </c>
      <c r="BC427" t="s">
        <v>75</v>
      </c>
      <c r="BD427" t="s">
        <v>55</v>
      </c>
    </row>
    <row r="428" spans="1:56" x14ac:dyDescent="0.25">
      <c r="A428" t="str" cm="1">
        <f t="array" ref="A428">_xlfn.XLOOKUP(RIGHT(M428,8),TeamIdentity!C:C,TeamIdentity!A:A,NONE)</f>
        <v>49ers</v>
      </c>
      <c r="B428" t="str" cm="1">
        <f t="array" ref="B428">_xlfn.XLOOKUP(RIGHT(F428,8),TeamIdentity!C:C,TeamIdentity!A:A,NONE)</f>
        <v>49ers</v>
      </c>
      <c r="C428" t="s">
        <v>137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>
        <v>-2147483648</v>
      </c>
      <c r="O428">
        <v>-2147483648</v>
      </c>
      <c r="P428">
        <v>-2147483648</v>
      </c>
      <c r="Q428">
        <v>0</v>
      </c>
      <c r="R428" t="s">
        <v>59</v>
      </c>
      <c r="S428">
        <v>0</v>
      </c>
      <c r="T428">
        <v>0</v>
      </c>
      <c r="U428">
        <v>0</v>
      </c>
      <c r="V428" t="s">
        <v>57</v>
      </c>
      <c r="W428">
        <v>0</v>
      </c>
      <c r="X428">
        <v>0</v>
      </c>
      <c r="Y428">
        <v>0</v>
      </c>
      <c r="Z428">
        <v>-100</v>
      </c>
      <c r="AA428" t="s">
        <v>67</v>
      </c>
      <c r="AB428">
        <v>0</v>
      </c>
      <c r="AC428">
        <v>0</v>
      </c>
      <c r="AD428">
        <v>0</v>
      </c>
      <c r="AE428">
        <v>0</v>
      </c>
      <c r="AF428" t="s">
        <v>60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s">
        <v>55</v>
      </c>
      <c r="AM428" t="s">
        <v>76</v>
      </c>
      <c r="AN428" t="s">
        <v>66</v>
      </c>
      <c r="AO428">
        <v>0</v>
      </c>
      <c r="AP428">
        <v>0</v>
      </c>
      <c r="AQ428">
        <v>0</v>
      </c>
      <c r="AR428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s">
        <v>77</v>
      </c>
      <c r="BA428" t="s">
        <v>57</v>
      </c>
      <c r="BB428" t="s">
        <v>74</v>
      </c>
      <c r="BC428" t="s">
        <v>75</v>
      </c>
      <c r="BD428" t="s">
        <v>55</v>
      </c>
    </row>
    <row r="429" spans="1:56" x14ac:dyDescent="0.25">
      <c r="A429" t="str" cm="1">
        <f t="array" ref="A429">_xlfn.XLOOKUP(RIGHT(M429,8),TeamIdentity!C:C,TeamIdentity!A:A,NONE)</f>
        <v>49ers</v>
      </c>
      <c r="B429" t="str" cm="1">
        <f t="array" ref="B429">_xlfn.XLOOKUP(RIGHT(F429,8),TeamIdentity!C:C,TeamIdentity!A:A,NONE)</f>
        <v>49ers</v>
      </c>
      <c r="C429" t="s">
        <v>138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>
        <v>-2147483648</v>
      </c>
      <c r="O429">
        <v>-2147483648</v>
      </c>
      <c r="P429">
        <v>-2147483648</v>
      </c>
      <c r="Q429">
        <v>0</v>
      </c>
      <c r="R429" t="s">
        <v>59</v>
      </c>
      <c r="S429">
        <v>0</v>
      </c>
      <c r="T429">
        <v>0</v>
      </c>
      <c r="U429">
        <v>0</v>
      </c>
      <c r="V429" t="s">
        <v>57</v>
      </c>
      <c r="W429">
        <v>0</v>
      </c>
      <c r="X429">
        <v>0</v>
      </c>
      <c r="Y429">
        <v>0</v>
      </c>
      <c r="Z429">
        <v>-100</v>
      </c>
      <c r="AA429" t="s">
        <v>67</v>
      </c>
      <c r="AB429">
        <v>0</v>
      </c>
      <c r="AC429">
        <v>0</v>
      </c>
      <c r="AD429">
        <v>0</v>
      </c>
      <c r="AE429">
        <v>0</v>
      </c>
      <c r="AF429" t="s">
        <v>60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s">
        <v>55</v>
      </c>
      <c r="AM429" t="s">
        <v>76</v>
      </c>
      <c r="AN429" t="s">
        <v>66</v>
      </c>
      <c r="AO429">
        <v>0</v>
      </c>
      <c r="AP429">
        <v>0</v>
      </c>
      <c r="AQ429">
        <v>0</v>
      </c>
      <c r="AR429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s">
        <v>77</v>
      </c>
      <c r="BA429" t="s">
        <v>57</v>
      </c>
      <c r="BB429" t="s">
        <v>74</v>
      </c>
      <c r="BC429" t="s">
        <v>75</v>
      </c>
      <c r="BD429" t="s">
        <v>55</v>
      </c>
    </row>
    <row r="430" spans="1:56" x14ac:dyDescent="0.25">
      <c r="A430" t="str" cm="1">
        <f t="array" ref="A430">_xlfn.XLOOKUP(RIGHT(M430,8),TeamIdentity!C:C,TeamIdentity!A:A,NONE)</f>
        <v>49ers</v>
      </c>
      <c r="B430" t="str" cm="1">
        <f t="array" ref="B430">_xlfn.XLOOKUP(RIGHT(F430,8),TeamIdentity!C:C,TeamIdentity!A:A,NONE)</f>
        <v>49ers</v>
      </c>
      <c r="C430" t="s">
        <v>139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>
        <v>-2147483648</v>
      </c>
      <c r="O430">
        <v>-2147483648</v>
      </c>
      <c r="P430">
        <v>-2147483648</v>
      </c>
      <c r="Q430">
        <v>0</v>
      </c>
      <c r="R430" t="s">
        <v>59</v>
      </c>
      <c r="S430">
        <v>0</v>
      </c>
      <c r="T430">
        <v>0</v>
      </c>
      <c r="U430">
        <v>0</v>
      </c>
      <c r="V430" t="s">
        <v>57</v>
      </c>
      <c r="W430">
        <v>0</v>
      </c>
      <c r="X430">
        <v>0</v>
      </c>
      <c r="Y430">
        <v>0</v>
      </c>
      <c r="Z430">
        <v>-100</v>
      </c>
      <c r="AA430" t="s">
        <v>67</v>
      </c>
      <c r="AB430">
        <v>0</v>
      </c>
      <c r="AC430">
        <v>0</v>
      </c>
      <c r="AD430">
        <v>0</v>
      </c>
      <c r="AE430">
        <v>0</v>
      </c>
      <c r="AF430" t="s">
        <v>60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s">
        <v>55</v>
      </c>
      <c r="AM430" t="s">
        <v>76</v>
      </c>
      <c r="AN430" t="s">
        <v>66</v>
      </c>
      <c r="AO430">
        <v>0</v>
      </c>
      <c r="AP430">
        <v>0</v>
      </c>
      <c r="AQ430">
        <v>0</v>
      </c>
      <c r="AR430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s">
        <v>77</v>
      </c>
      <c r="BA430" t="s">
        <v>57</v>
      </c>
      <c r="BB430" t="s">
        <v>74</v>
      </c>
      <c r="BC430" t="s">
        <v>75</v>
      </c>
      <c r="BD430" t="s">
        <v>55</v>
      </c>
    </row>
  </sheetData>
  <autoFilter ref="A1:BD430" xr:uid="{2AEEDB64-55B3-45A2-9902-801E9FE0B5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2F2-EF0D-47D9-9CCD-26C3C09888BA}">
  <dimension ref="A1:BB430"/>
  <sheetViews>
    <sheetView workbookViewId="0"/>
  </sheetViews>
  <sheetFormatPr defaultRowHeight="15.75" x14ac:dyDescent="0.25"/>
  <sheetData>
    <row r="1" spans="1:54" x14ac:dyDescent="0.25">
      <c r="A1" t="s">
        <v>9</v>
      </c>
      <c r="B1" t="s">
        <v>10</v>
      </c>
      <c r="C1" t="s">
        <v>8</v>
      </c>
      <c r="D1" t="s">
        <v>7</v>
      </c>
      <c r="E1" t="s">
        <v>6</v>
      </c>
      <c r="F1" t="s">
        <v>0</v>
      </c>
      <c r="G1" t="s">
        <v>1</v>
      </c>
      <c r="H1" t="s">
        <v>2</v>
      </c>
      <c r="I1" t="s">
        <v>5</v>
      </c>
      <c r="J1" t="s">
        <v>4</v>
      </c>
      <c r="K1" t="s">
        <v>3</v>
      </c>
      <c r="L1" t="s">
        <v>14</v>
      </c>
      <c r="M1" t="s">
        <v>11</v>
      </c>
      <c r="N1" t="s">
        <v>12</v>
      </c>
      <c r="O1" t="s">
        <v>13</v>
      </c>
      <c r="P1" t="s">
        <v>41</v>
      </c>
      <c r="Q1" t="s">
        <v>22</v>
      </c>
      <c r="R1" t="s">
        <v>16</v>
      </c>
      <c r="S1" t="s">
        <v>17</v>
      </c>
      <c r="T1" t="s">
        <v>36</v>
      </c>
      <c r="U1" t="s">
        <v>25</v>
      </c>
      <c r="V1" t="s">
        <v>19</v>
      </c>
      <c r="W1" t="s">
        <v>21</v>
      </c>
      <c r="X1" t="s">
        <v>20</v>
      </c>
      <c r="Y1" t="s">
        <v>26</v>
      </c>
      <c r="Z1" t="s">
        <v>28</v>
      </c>
      <c r="AA1" t="s">
        <v>29</v>
      </c>
      <c r="AB1" t="s">
        <v>30</v>
      </c>
      <c r="AC1" t="s">
        <v>24</v>
      </c>
      <c r="AD1" t="s">
        <v>42</v>
      </c>
      <c r="AE1" t="s">
        <v>35</v>
      </c>
      <c r="AF1" t="s">
        <v>34</v>
      </c>
      <c r="AG1" t="s">
        <v>33</v>
      </c>
      <c r="AH1" t="s">
        <v>27</v>
      </c>
      <c r="AI1" t="s">
        <v>50</v>
      </c>
      <c r="AJ1" t="s">
        <v>39</v>
      </c>
      <c r="AK1" t="s">
        <v>40</v>
      </c>
      <c r="AL1" t="s">
        <v>23</v>
      </c>
      <c r="AM1" t="s">
        <v>43</v>
      </c>
      <c r="AN1" t="s">
        <v>31</v>
      </c>
      <c r="AO1" t="s">
        <v>44</v>
      </c>
      <c r="AP1" t="s">
        <v>32</v>
      </c>
      <c r="AQ1" t="s">
        <v>45</v>
      </c>
      <c r="AR1" t="s">
        <v>51</v>
      </c>
      <c r="AS1" t="s">
        <v>46</v>
      </c>
      <c r="AT1" t="s">
        <v>47</v>
      </c>
      <c r="AU1" t="s">
        <v>18</v>
      </c>
      <c r="AV1" t="s">
        <v>48</v>
      </c>
      <c r="AW1" t="s">
        <v>49</v>
      </c>
      <c r="AX1" t="s">
        <v>52</v>
      </c>
      <c r="AY1" t="s">
        <v>53</v>
      </c>
      <c r="AZ1" t="s">
        <v>15</v>
      </c>
      <c r="BA1" t="s">
        <v>37</v>
      </c>
      <c r="BB1" t="s">
        <v>38</v>
      </c>
    </row>
    <row r="2" spans="1:54" x14ac:dyDescent="0.25">
      <c r="A2" t="s">
        <v>54</v>
      </c>
      <c r="B2" t="s">
        <v>54</v>
      </c>
      <c r="C2" t="s">
        <v>54</v>
      </c>
      <c r="D2" t="s">
        <v>167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149</v>
      </c>
      <c r="L2">
        <v>90329</v>
      </c>
      <c r="M2">
        <v>0</v>
      </c>
      <c r="N2">
        <v>90328</v>
      </c>
      <c r="O2">
        <v>0</v>
      </c>
      <c r="P2" t="s">
        <v>70</v>
      </c>
      <c r="Q2">
        <v>0</v>
      </c>
      <c r="R2">
        <v>0</v>
      </c>
      <c r="S2">
        <v>1260</v>
      </c>
      <c r="T2" t="s">
        <v>57</v>
      </c>
      <c r="U2">
        <v>0</v>
      </c>
      <c r="V2">
        <v>0</v>
      </c>
      <c r="W2">
        <v>0</v>
      </c>
      <c r="X2">
        <v>0</v>
      </c>
      <c r="Y2" t="s">
        <v>67</v>
      </c>
      <c r="Z2">
        <v>0</v>
      </c>
      <c r="AA2">
        <v>0</v>
      </c>
      <c r="AB2">
        <v>0</v>
      </c>
      <c r="AC2">
        <v>0</v>
      </c>
      <c r="AD2" t="s">
        <v>65</v>
      </c>
      <c r="AE2">
        <v>0</v>
      </c>
      <c r="AF2">
        <v>0</v>
      </c>
      <c r="AG2">
        <v>0</v>
      </c>
      <c r="AH2">
        <v>0</v>
      </c>
      <c r="AI2" t="b">
        <v>0</v>
      </c>
      <c r="AJ2" t="s">
        <v>58</v>
      </c>
      <c r="AK2" t="s">
        <v>58</v>
      </c>
      <c r="AL2" t="s">
        <v>66</v>
      </c>
      <c r="AM2">
        <v>14</v>
      </c>
      <c r="AN2">
        <v>0</v>
      </c>
      <c r="AO2">
        <v>1</v>
      </c>
      <c r="AP2">
        <v>11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s">
        <v>61</v>
      </c>
      <c r="AY2" t="s">
        <v>57</v>
      </c>
      <c r="AZ2" t="s">
        <v>55</v>
      </c>
      <c r="BA2" t="s">
        <v>58</v>
      </c>
      <c r="BB2" t="s">
        <v>58</v>
      </c>
    </row>
    <row r="3" spans="1:54" x14ac:dyDescent="0.25">
      <c r="A3" t="s">
        <v>54</v>
      </c>
      <c r="B3" t="s">
        <v>54</v>
      </c>
      <c r="C3" t="s">
        <v>54</v>
      </c>
      <c r="D3" t="s">
        <v>153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171</v>
      </c>
      <c r="L3">
        <v>90319</v>
      </c>
      <c r="M3">
        <v>0</v>
      </c>
      <c r="N3">
        <v>90318</v>
      </c>
      <c r="O3">
        <v>0</v>
      </c>
      <c r="P3" t="s">
        <v>70</v>
      </c>
      <c r="Q3">
        <v>0</v>
      </c>
      <c r="R3">
        <v>0</v>
      </c>
      <c r="S3">
        <v>1200</v>
      </c>
      <c r="T3" t="s">
        <v>57</v>
      </c>
      <c r="U3">
        <v>0</v>
      </c>
      <c r="V3">
        <v>0</v>
      </c>
      <c r="W3">
        <v>0</v>
      </c>
      <c r="X3">
        <v>0</v>
      </c>
      <c r="Y3" t="s">
        <v>67</v>
      </c>
      <c r="Z3">
        <v>0</v>
      </c>
      <c r="AA3">
        <v>0</v>
      </c>
      <c r="AB3">
        <v>0</v>
      </c>
      <c r="AC3">
        <v>0</v>
      </c>
      <c r="AD3" t="s">
        <v>63</v>
      </c>
      <c r="AE3">
        <v>0</v>
      </c>
      <c r="AF3">
        <v>0</v>
      </c>
      <c r="AG3">
        <v>0</v>
      </c>
      <c r="AH3">
        <v>0</v>
      </c>
      <c r="AI3" t="b">
        <v>0</v>
      </c>
      <c r="AJ3" t="s">
        <v>58</v>
      </c>
      <c r="AK3" t="s">
        <v>58</v>
      </c>
      <c r="AL3" t="s">
        <v>66</v>
      </c>
      <c r="AM3">
        <v>14</v>
      </c>
      <c r="AN3">
        <v>0</v>
      </c>
      <c r="AO3">
        <v>10</v>
      </c>
      <c r="AP3">
        <v>11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s">
        <v>61</v>
      </c>
      <c r="AY3" t="s">
        <v>57</v>
      </c>
      <c r="AZ3" t="s">
        <v>55</v>
      </c>
      <c r="BA3" t="s">
        <v>58</v>
      </c>
      <c r="BB3" t="s">
        <v>58</v>
      </c>
    </row>
    <row r="4" spans="1:54" x14ac:dyDescent="0.25">
      <c r="A4" t="s">
        <v>54</v>
      </c>
      <c r="B4" t="s">
        <v>54</v>
      </c>
      <c r="C4" t="s">
        <v>54</v>
      </c>
      <c r="D4" t="s">
        <v>165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151</v>
      </c>
      <c r="L4">
        <v>90325</v>
      </c>
      <c r="M4">
        <v>0</v>
      </c>
      <c r="N4">
        <v>90324</v>
      </c>
      <c r="O4">
        <v>0</v>
      </c>
      <c r="P4" t="s">
        <v>70</v>
      </c>
      <c r="Q4">
        <v>0</v>
      </c>
      <c r="R4">
        <v>0</v>
      </c>
      <c r="S4">
        <v>1380</v>
      </c>
      <c r="T4" t="s">
        <v>57</v>
      </c>
      <c r="U4">
        <v>0</v>
      </c>
      <c r="V4">
        <v>0</v>
      </c>
      <c r="W4">
        <v>0</v>
      </c>
      <c r="X4">
        <v>0</v>
      </c>
      <c r="Y4" t="s">
        <v>67</v>
      </c>
      <c r="Z4">
        <v>0</v>
      </c>
      <c r="AA4">
        <v>0</v>
      </c>
      <c r="AB4">
        <v>0</v>
      </c>
      <c r="AC4">
        <v>0</v>
      </c>
      <c r="AD4" t="s">
        <v>63</v>
      </c>
      <c r="AE4">
        <v>0</v>
      </c>
      <c r="AF4">
        <v>0</v>
      </c>
      <c r="AG4">
        <v>0</v>
      </c>
      <c r="AH4">
        <v>0</v>
      </c>
      <c r="AI4" t="b">
        <v>0</v>
      </c>
      <c r="AJ4" t="s">
        <v>58</v>
      </c>
      <c r="AK4" t="s">
        <v>58</v>
      </c>
      <c r="AL4" t="s">
        <v>66</v>
      </c>
      <c r="AM4">
        <v>14</v>
      </c>
      <c r="AN4">
        <v>0</v>
      </c>
      <c r="AO4">
        <v>15</v>
      </c>
      <c r="AP4">
        <v>11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s">
        <v>61</v>
      </c>
      <c r="AY4" t="s">
        <v>57</v>
      </c>
      <c r="AZ4" t="s">
        <v>55</v>
      </c>
      <c r="BA4" t="s">
        <v>58</v>
      </c>
      <c r="BB4" t="s">
        <v>58</v>
      </c>
    </row>
    <row r="5" spans="1:54" x14ac:dyDescent="0.25">
      <c r="A5" t="s">
        <v>54</v>
      </c>
      <c r="B5" t="s">
        <v>54</v>
      </c>
      <c r="C5" t="s">
        <v>54</v>
      </c>
      <c r="D5" t="s">
        <v>169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157</v>
      </c>
      <c r="L5">
        <v>90301</v>
      </c>
      <c r="M5">
        <v>0</v>
      </c>
      <c r="N5">
        <v>90300</v>
      </c>
      <c r="O5">
        <v>0</v>
      </c>
      <c r="P5" t="s">
        <v>70</v>
      </c>
      <c r="Q5">
        <v>0</v>
      </c>
      <c r="R5">
        <v>0</v>
      </c>
      <c r="S5">
        <v>1140</v>
      </c>
      <c r="T5" t="s">
        <v>57</v>
      </c>
      <c r="U5">
        <v>0</v>
      </c>
      <c r="V5">
        <v>0</v>
      </c>
      <c r="W5">
        <v>0</v>
      </c>
      <c r="X5">
        <v>0</v>
      </c>
      <c r="Y5" t="s">
        <v>67</v>
      </c>
      <c r="Z5">
        <v>0</v>
      </c>
      <c r="AA5">
        <v>0</v>
      </c>
      <c r="AB5">
        <v>0</v>
      </c>
      <c r="AC5">
        <v>0</v>
      </c>
      <c r="AD5" t="s">
        <v>69</v>
      </c>
      <c r="AE5">
        <v>0</v>
      </c>
      <c r="AF5">
        <v>0</v>
      </c>
      <c r="AG5">
        <v>0</v>
      </c>
      <c r="AH5">
        <v>0</v>
      </c>
      <c r="AI5" t="b">
        <v>0</v>
      </c>
      <c r="AJ5" t="s">
        <v>58</v>
      </c>
      <c r="AK5" t="s">
        <v>58</v>
      </c>
      <c r="AL5" t="s">
        <v>66</v>
      </c>
      <c r="AM5">
        <v>14</v>
      </c>
      <c r="AN5">
        <v>0</v>
      </c>
      <c r="AO5">
        <v>2</v>
      </c>
      <c r="AP5">
        <v>11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s">
        <v>61</v>
      </c>
      <c r="AY5" t="s">
        <v>57</v>
      </c>
      <c r="AZ5" t="s">
        <v>55</v>
      </c>
      <c r="BA5" t="s">
        <v>58</v>
      </c>
      <c r="BB5" t="s">
        <v>58</v>
      </c>
    </row>
    <row r="6" spans="1:54" x14ac:dyDescent="0.25">
      <c r="A6" t="s">
        <v>54</v>
      </c>
      <c r="B6" t="s">
        <v>54</v>
      </c>
      <c r="C6" t="s">
        <v>54</v>
      </c>
      <c r="D6" t="s">
        <v>170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147</v>
      </c>
      <c r="L6">
        <v>90315</v>
      </c>
      <c r="M6">
        <v>0</v>
      </c>
      <c r="N6">
        <v>90314</v>
      </c>
      <c r="O6">
        <v>0</v>
      </c>
      <c r="P6" t="s">
        <v>70</v>
      </c>
      <c r="Q6">
        <v>0</v>
      </c>
      <c r="R6">
        <v>0</v>
      </c>
      <c r="S6">
        <v>1200</v>
      </c>
      <c r="T6" t="s">
        <v>57</v>
      </c>
      <c r="U6">
        <v>0</v>
      </c>
      <c r="V6">
        <v>0</v>
      </c>
      <c r="W6">
        <v>0</v>
      </c>
      <c r="X6">
        <v>0</v>
      </c>
      <c r="Y6" t="s">
        <v>67</v>
      </c>
      <c r="Z6">
        <v>0</v>
      </c>
      <c r="AA6">
        <v>0</v>
      </c>
      <c r="AB6">
        <v>0</v>
      </c>
      <c r="AC6">
        <v>0</v>
      </c>
      <c r="AD6" t="s">
        <v>63</v>
      </c>
      <c r="AE6">
        <v>0</v>
      </c>
      <c r="AF6">
        <v>0</v>
      </c>
      <c r="AG6">
        <v>0</v>
      </c>
      <c r="AH6">
        <v>0</v>
      </c>
      <c r="AI6" t="b">
        <v>0</v>
      </c>
      <c r="AJ6" t="s">
        <v>58</v>
      </c>
      <c r="AK6" t="s">
        <v>58</v>
      </c>
      <c r="AL6" t="s">
        <v>66</v>
      </c>
      <c r="AM6">
        <v>14</v>
      </c>
      <c r="AN6">
        <v>0</v>
      </c>
      <c r="AO6">
        <v>11</v>
      </c>
      <c r="AP6">
        <v>11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61</v>
      </c>
      <c r="AY6" t="s">
        <v>57</v>
      </c>
      <c r="AZ6" t="s">
        <v>55</v>
      </c>
      <c r="BA6" t="s">
        <v>58</v>
      </c>
      <c r="BB6" t="s">
        <v>58</v>
      </c>
    </row>
    <row r="7" spans="1:54" x14ac:dyDescent="0.25">
      <c r="A7" t="s">
        <v>54</v>
      </c>
      <c r="B7" t="s">
        <v>54</v>
      </c>
      <c r="C7" t="s">
        <v>54</v>
      </c>
      <c r="D7" t="s">
        <v>163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161</v>
      </c>
      <c r="L7">
        <v>90317</v>
      </c>
      <c r="M7">
        <v>0</v>
      </c>
      <c r="N7">
        <v>90316</v>
      </c>
      <c r="O7">
        <v>0</v>
      </c>
      <c r="P7" t="s">
        <v>70</v>
      </c>
      <c r="Q7">
        <v>0</v>
      </c>
      <c r="R7">
        <v>0</v>
      </c>
      <c r="S7">
        <v>1200</v>
      </c>
      <c r="T7" t="s">
        <v>57</v>
      </c>
      <c r="U7">
        <v>0</v>
      </c>
      <c r="V7">
        <v>0</v>
      </c>
      <c r="W7">
        <v>0</v>
      </c>
      <c r="X7">
        <v>0</v>
      </c>
      <c r="Y7" t="s">
        <v>67</v>
      </c>
      <c r="Z7">
        <v>0</v>
      </c>
      <c r="AA7">
        <v>0</v>
      </c>
      <c r="AB7">
        <v>0</v>
      </c>
      <c r="AC7">
        <v>0</v>
      </c>
      <c r="AD7" t="s">
        <v>63</v>
      </c>
      <c r="AE7">
        <v>0</v>
      </c>
      <c r="AF7">
        <v>0</v>
      </c>
      <c r="AG7">
        <v>0</v>
      </c>
      <c r="AH7">
        <v>0</v>
      </c>
      <c r="AI7" t="b">
        <v>0</v>
      </c>
      <c r="AJ7" t="s">
        <v>58</v>
      </c>
      <c r="AK7" t="s">
        <v>58</v>
      </c>
      <c r="AL7" t="s">
        <v>66</v>
      </c>
      <c r="AM7">
        <v>14</v>
      </c>
      <c r="AN7">
        <v>0</v>
      </c>
      <c r="AO7">
        <v>12</v>
      </c>
      <c r="AP7">
        <v>11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s">
        <v>61</v>
      </c>
      <c r="AY7" t="s">
        <v>57</v>
      </c>
      <c r="AZ7" t="s">
        <v>55</v>
      </c>
      <c r="BA7" t="s">
        <v>58</v>
      </c>
      <c r="BB7" t="s">
        <v>58</v>
      </c>
    </row>
    <row r="8" spans="1:54" x14ac:dyDescent="0.25">
      <c r="A8" t="s">
        <v>54</v>
      </c>
      <c r="B8" t="s">
        <v>54</v>
      </c>
      <c r="C8" t="s">
        <v>54</v>
      </c>
      <c r="D8" t="s">
        <v>173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144</v>
      </c>
      <c r="L8">
        <v>90299</v>
      </c>
      <c r="M8">
        <v>0</v>
      </c>
      <c r="N8">
        <v>90298</v>
      </c>
      <c r="O8">
        <v>0</v>
      </c>
      <c r="P8" t="s">
        <v>70</v>
      </c>
      <c r="Q8">
        <v>0</v>
      </c>
      <c r="R8">
        <v>0</v>
      </c>
      <c r="S8">
        <v>1140</v>
      </c>
      <c r="T8" t="s">
        <v>57</v>
      </c>
      <c r="U8">
        <v>0</v>
      </c>
      <c r="V8">
        <v>0</v>
      </c>
      <c r="W8">
        <v>0</v>
      </c>
      <c r="X8">
        <v>0</v>
      </c>
      <c r="Y8" t="s">
        <v>67</v>
      </c>
      <c r="Z8">
        <v>0</v>
      </c>
      <c r="AA8">
        <v>0</v>
      </c>
      <c r="AB8">
        <v>0</v>
      </c>
      <c r="AC8">
        <v>0</v>
      </c>
      <c r="AD8" t="s">
        <v>69</v>
      </c>
      <c r="AE8">
        <v>0</v>
      </c>
      <c r="AF8">
        <v>0</v>
      </c>
      <c r="AG8">
        <v>0</v>
      </c>
      <c r="AH8">
        <v>0</v>
      </c>
      <c r="AI8" t="b">
        <v>0</v>
      </c>
      <c r="AJ8" t="s">
        <v>58</v>
      </c>
      <c r="AK8" t="s">
        <v>58</v>
      </c>
      <c r="AL8" t="s">
        <v>66</v>
      </c>
      <c r="AM8">
        <v>14</v>
      </c>
      <c r="AN8">
        <v>0</v>
      </c>
      <c r="AO8">
        <v>3</v>
      </c>
      <c r="AP8">
        <v>11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s">
        <v>61</v>
      </c>
      <c r="AY8" t="s">
        <v>57</v>
      </c>
      <c r="AZ8" t="s">
        <v>55</v>
      </c>
      <c r="BA8" t="s">
        <v>58</v>
      </c>
      <c r="BB8" t="s">
        <v>58</v>
      </c>
    </row>
    <row r="9" spans="1:54" x14ac:dyDescent="0.25">
      <c r="A9" t="s">
        <v>54</v>
      </c>
      <c r="B9" t="s">
        <v>54</v>
      </c>
      <c r="C9" t="s">
        <v>54</v>
      </c>
      <c r="D9" t="s">
        <v>161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172</v>
      </c>
      <c r="L9">
        <v>-1</v>
      </c>
      <c r="M9">
        <v>0</v>
      </c>
      <c r="N9">
        <v>-1</v>
      </c>
      <c r="O9">
        <v>0</v>
      </c>
      <c r="P9" t="s">
        <v>70</v>
      </c>
      <c r="Q9">
        <v>0</v>
      </c>
      <c r="R9">
        <v>0</v>
      </c>
      <c r="S9">
        <v>1200</v>
      </c>
      <c r="T9" t="s">
        <v>57</v>
      </c>
      <c r="U9">
        <v>0</v>
      </c>
      <c r="V9">
        <v>0</v>
      </c>
      <c r="W9">
        <v>0</v>
      </c>
      <c r="X9">
        <v>0</v>
      </c>
      <c r="Y9" t="s">
        <v>67</v>
      </c>
      <c r="Z9">
        <v>0</v>
      </c>
      <c r="AA9">
        <v>0</v>
      </c>
      <c r="AB9">
        <v>0</v>
      </c>
      <c r="AC9">
        <v>0</v>
      </c>
      <c r="AD9" t="s">
        <v>69</v>
      </c>
      <c r="AE9">
        <v>0</v>
      </c>
      <c r="AF9">
        <v>0</v>
      </c>
      <c r="AG9">
        <v>0</v>
      </c>
      <c r="AH9">
        <v>0</v>
      </c>
      <c r="AI9" t="b">
        <v>0</v>
      </c>
      <c r="AJ9" t="s">
        <v>58</v>
      </c>
      <c r="AK9" t="s">
        <v>58</v>
      </c>
      <c r="AL9" t="s">
        <v>66</v>
      </c>
      <c r="AM9">
        <v>14</v>
      </c>
      <c r="AN9">
        <v>1</v>
      </c>
      <c r="AO9">
        <v>9</v>
      </c>
      <c r="AP9">
        <v>11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s">
        <v>61</v>
      </c>
      <c r="AY9" t="s">
        <v>57</v>
      </c>
      <c r="AZ9" t="s">
        <v>55</v>
      </c>
      <c r="BA9" t="s">
        <v>58</v>
      </c>
      <c r="BB9" t="s">
        <v>58</v>
      </c>
    </row>
    <row r="10" spans="1:54" x14ac:dyDescent="0.25">
      <c r="A10" t="s">
        <v>54</v>
      </c>
      <c r="B10" t="s">
        <v>54</v>
      </c>
      <c r="C10" t="s">
        <v>54</v>
      </c>
      <c r="D10" t="s">
        <v>155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146</v>
      </c>
      <c r="L10">
        <v>90309</v>
      </c>
      <c r="M10">
        <v>0</v>
      </c>
      <c r="N10">
        <v>90308</v>
      </c>
      <c r="O10">
        <v>0</v>
      </c>
      <c r="P10" t="s">
        <v>70</v>
      </c>
      <c r="Q10">
        <v>0</v>
      </c>
      <c r="R10">
        <v>0</v>
      </c>
      <c r="S10">
        <v>1140</v>
      </c>
      <c r="T10" t="s">
        <v>57</v>
      </c>
      <c r="U10">
        <v>0</v>
      </c>
      <c r="V10">
        <v>0</v>
      </c>
      <c r="W10">
        <v>0</v>
      </c>
      <c r="X10">
        <v>0</v>
      </c>
      <c r="Y10" t="s">
        <v>67</v>
      </c>
      <c r="Z10">
        <v>0</v>
      </c>
      <c r="AA10">
        <v>0</v>
      </c>
      <c r="AB10">
        <v>0</v>
      </c>
      <c r="AC10">
        <v>0</v>
      </c>
      <c r="AD10" t="s">
        <v>63</v>
      </c>
      <c r="AE10">
        <v>0</v>
      </c>
      <c r="AF10">
        <v>0</v>
      </c>
      <c r="AG10">
        <v>0</v>
      </c>
      <c r="AH10">
        <v>0</v>
      </c>
      <c r="AI10" t="b">
        <v>0</v>
      </c>
      <c r="AJ10" t="s">
        <v>58</v>
      </c>
      <c r="AK10" t="s">
        <v>58</v>
      </c>
      <c r="AL10" t="s">
        <v>66</v>
      </c>
      <c r="AM10">
        <v>14</v>
      </c>
      <c r="AN10">
        <v>0</v>
      </c>
      <c r="AO10">
        <v>7</v>
      </c>
      <c r="AP10">
        <v>11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s">
        <v>61</v>
      </c>
      <c r="AY10" t="s">
        <v>57</v>
      </c>
      <c r="AZ10" t="s">
        <v>55</v>
      </c>
      <c r="BA10" t="s">
        <v>58</v>
      </c>
      <c r="BB10" t="s">
        <v>58</v>
      </c>
    </row>
    <row r="11" spans="1:54" x14ac:dyDescent="0.25">
      <c r="A11" t="s">
        <v>54</v>
      </c>
      <c r="B11" t="s">
        <v>54</v>
      </c>
      <c r="C11" t="s">
        <v>54</v>
      </c>
      <c r="D11" t="s">
        <v>166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152</v>
      </c>
      <c r="L11">
        <v>90307</v>
      </c>
      <c r="M11">
        <v>0</v>
      </c>
      <c r="N11">
        <v>90306</v>
      </c>
      <c r="O11">
        <v>0</v>
      </c>
      <c r="P11" t="s">
        <v>70</v>
      </c>
      <c r="Q11">
        <v>0</v>
      </c>
      <c r="R11">
        <v>0</v>
      </c>
      <c r="S11">
        <v>1320</v>
      </c>
      <c r="T11" t="s">
        <v>57</v>
      </c>
      <c r="U11">
        <v>0</v>
      </c>
      <c r="V11">
        <v>0</v>
      </c>
      <c r="W11">
        <v>0</v>
      </c>
      <c r="X11">
        <v>0</v>
      </c>
      <c r="Y11" t="s">
        <v>67</v>
      </c>
      <c r="Z11">
        <v>0</v>
      </c>
      <c r="AA11">
        <v>0</v>
      </c>
      <c r="AB11">
        <v>0</v>
      </c>
      <c r="AC11">
        <v>0</v>
      </c>
      <c r="AD11" t="s">
        <v>69</v>
      </c>
      <c r="AE11">
        <v>0</v>
      </c>
      <c r="AF11">
        <v>0</v>
      </c>
      <c r="AG11">
        <v>0</v>
      </c>
      <c r="AH11">
        <v>0</v>
      </c>
      <c r="AI11" t="b">
        <v>0</v>
      </c>
      <c r="AJ11" t="s">
        <v>58</v>
      </c>
      <c r="AK11" t="s">
        <v>58</v>
      </c>
      <c r="AL11" t="s">
        <v>66</v>
      </c>
      <c r="AM11">
        <v>14</v>
      </c>
      <c r="AN11">
        <v>0</v>
      </c>
      <c r="AO11">
        <v>5</v>
      </c>
      <c r="AP11">
        <v>11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s">
        <v>61</v>
      </c>
      <c r="AY11" t="s">
        <v>57</v>
      </c>
      <c r="AZ11" t="s">
        <v>55</v>
      </c>
      <c r="BA11" t="s">
        <v>58</v>
      </c>
      <c r="BB11" t="s">
        <v>58</v>
      </c>
    </row>
    <row r="12" spans="1:54" x14ac:dyDescent="0.25">
      <c r="A12" t="s">
        <v>54</v>
      </c>
      <c r="B12" t="s">
        <v>54</v>
      </c>
      <c r="C12" t="s">
        <v>54</v>
      </c>
      <c r="D12" t="s">
        <v>160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145</v>
      </c>
      <c r="L12">
        <v>90303</v>
      </c>
      <c r="M12">
        <v>0</v>
      </c>
      <c r="N12">
        <v>90302</v>
      </c>
      <c r="O12">
        <v>0</v>
      </c>
      <c r="P12" t="s">
        <v>70</v>
      </c>
      <c r="Q12">
        <v>0</v>
      </c>
      <c r="R12">
        <v>0</v>
      </c>
      <c r="S12">
        <v>1200</v>
      </c>
      <c r="T12" t="s">
        <v>57</v>
      </c>
      <c r="U12">
        <v>0</v>
      </c>
      <c r="V12">
        <v>0</v>
      </c>
      <c r="W12">
        <v>0</v>
      </c>
      <c r="X12">
        <v>0</v>
      </c>
      <c r="Y12" t="s">
        <v>67</v>
      </c>
      <c r="Z12">
        <v>0</v>
      </c>
      <c r="AA12">
        <v>0</v>
      </c>
      <c r="AB12">
        <v>0</v>
      </c>
      <c r="AC12">
        <v>0</v>
      </c>
      <c r="AD12" t="s">
        <v>69</v>
      </c>
      <c r="AE12">
        <v>0</v>
      </c>
      <c r="AF12">
        <v>0</v>
      </c>
      <c r="AG12">
        <v>0</v>
      </c>
      <c r="AH12">
        <v>0</v>
      </c>
      <c r="AI12" t="b">
        <v>0</v>
      </c>
      <c r="AJ12" t="s">
        <v>58</v>
      </c>
      <c r="AK12" t="s">
        <v>58</v>
      </c>
      <c r="AL12" t="s">
        <v>66</v>
      </c>
      <c r="AM12">
        <v>14</v>
      </c>
      <c r="AN12">
        <v>0</v>
      </c>
      <c r="AO12">
        <v>4</v>
      </c>
      <c r="AP12">
        <v>11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s">
        <v>61</v>
      </c>
      <c r="AY12" t="s">
        <v>57</v>
      </c>
      <c r="AZ12" t="s">
        <v>55</v>
      </c>
      <c r="BA12" t="s">
        <v>58</v>
      </c>
      <c r="BB12" t="s">
        <v>58</v>
      </c>
    </row>
    <row r="13" spans="1:54" x14ac:dyDescent="0.25">
      <c r="A13" t="s">
        <v>54</v>
      </c>
      <c r="B13" t="s">
        <v>54</v>
      </c>
      <c r="C13" t="s">
        <v>54</v>
      </c>
      <c r="D13" t="s">
        <v>164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159</v>
      </c>
      <c r="L13">
        <v>90311</v>
      </c>
      <c r="M13">
        <v>0</v>
      </c>
      <c r="N13">
        <v>90310</v>
      </c>
      <c r="O13">
        <v>0</v>
      </c>
      <c r="P13" t="s">
        <v>70</v>
      </c>
      <c r="Q13">
        <v>0</v>
      </c>
      <c r="R13">
        <v>0</v>
      </c>
      <c r="S13">
        <v>1140</v>
      </c>
      <c r="T13" t="s">
        <v>57</v>
      </c>
      <c r="U13">
        <v>0</v>
      </c>
      <c r="V13">
        <v>0</v>
      </c>
      <c r="W13">
        <v>0</v>
      </c>
      <c r="X13">
        <v>0</v>
      </c>
      <c r="Y13" t="s">
        <v>67</v>
      </c>
      <c r="Z13">
        <v>0</v>
      </c>
      <c r="AA13">
        <v>0</v>
      </c>
      <c r="AB13">
        <v>0</v>
      </c>
      <c r="AC13">
        <v>0</v>
      </c>
      <c r="AD13" t="s">
        <v>63</v>
      </c>
      <c r="AE13">
        <v>0</v>
      </c>
      <c r="AF13">
        <v>0</v>
      </c>
      <c r="AG13">
        <v>0</v>
      </c>
      <c r="AH13">
        <v>0</v>
      </c>
      <c r="AI13" t="b">
        <v>0</v>
      </c>
      <c r="AJ13" t="s">
        <v>58</v>
      </c>
      <c r="AK13" t="s">
        <v>58</v>
      </c>
      <c r="AL13" t="s">
        <v>66</v>
      </c>
      <c r="AM13">
        <v>14</v>
      </c>
      <c r="AN13">
        <v>0</v>
      </c>
      <c r="AO13">
        <v>8</v>
      </c>
      <c r="AP13">
        <v>11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s">
        <v>61</v>
      </c>
      <c r="AY13" t="s">
        <v>57</v>
      </c>
      <c r="AZ13" t="s">
        <v>55</v>
      </c>
      <c r="BA13" t="s">
        <v>58</v>
      </c>
      <c r="BB13" t="s">
        <v>58</v>
      </c>
    </row>
    <row r="14" spans="1:54" x14ac:dyDescent="0.25">
      <c r="A14" t="s">
        <v>54</v>
      </c>
      <c r="B14" t="s">
        <v>54</v>
      </c>
      <c r="C14" t="s">
        <v>54</v>
      </c>
      <c r="D14" t="s">
        <v>173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173</v>
      </c>
      <c r="L14">
        <v>-1</v>
      </c>
      <c r="M14">
        <v>0</v>
      </c>
      <c r="N14">
        <v>-1</v>
      </c>
      <c r="O14">
        <v>0</v>
      </c>
      <c r="P14" t="s">
        <v>58</v>
      </c>
      <c r="Q14">
        <v>0</v>
      </c>
      <c r="R14">
        <v>0</v>
      </c>
      <c r="S14">
        <v>2047</v>
      </c>
      <c r="T14" t="s">
        <v>57</v>
      </c>
      <c r="U14">
        <v>0</v>
      </c>
      <c r="V14">
        <v>0</v>
      </c>
      <c r="W14">
        <v>0</v>
      </c>
      <c r="X14">
        <v>0</v>
      </c>
      <c r="Y14" t="s">
        <v>67</v>
      </c>
      <c r="Z14">
        <v>0</v>
      </c>
      <c r="AA14">
        <v>0</v>
      </c>
      <c r="AB14">
        <v>0</v>
      </c>
      <c r="AC14">
        <v>0</v>
      </c>
      <c r="AD14" t="s">
        <v>60</v>
      </c>
      <c r="AE14">
        <v>0</v>
      </c>
      <c r="AF14">
        <v>0</v>
      </c>
      <c r="AG14">
        <v>0</v>
      </c>
      <c r="AH14">
        <v>0</v>
      </c>
      <c r="AI14" t="b">
        <v>0</v>
      </c>
      <c r="AJ14" t="s">
        <v>58</v>
      </c>
      <c r="AK14" t="s">
        <v>58</v>
      </c>
      <c r="AL14" t="s">
        <v>66</v>
      </c>
      <c r="AM14">
        <v>14</v>
      </c>
      <c r="AN14">
        <v>0</v>
      </c>
      <c r="AO14">
        <v>31</v>
      </c>
      <c r="AP14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s">
        <v>61</v>
      </c>
      <c r="AY14" t="s">
        <v>57</v>
      </c>
      <c r="AZ14" t="s">
        <v>55</v>
      </c>
      <c r="BA14" t="s">
        <v>58</v>
      </c>
      <c r="BB14" t="s">
        <v>58</v>
      </c>
    </row>
    <row r="15" spans="1:54" x14ac:dyDescent="0.25">
      <c r="A15" t="s">
        <v>54</v>
      </c>
      <c r="B15" t="s">
        <v>54</v>
      </c>
      <c r="C15" t="s">
        <v>54</v>
      </c>
      <c r="D15" t="s">
        <v>150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174</v>
      </c>
      <c r="L15">
        <v>90305</v>
      </c>
      <c r="M15">
        <v>0</v>
      </c>
      <c r="N15">
        <v>90304</v>
      </c>
      <c r="O15">
        <v>0</v>
      </c>
      <c r="P15" t="s">
        <v>70</v>
      </c>
      <c r="Q15">
        <v>0</v>
      </c>
      <c r="R15">
        <v>0</v>
      </c>
      <c r="S15">
        <v>1320</v>
      </c>
      <c r="T15" t="s">
        <v>57</v>
      </c>
      <c r="U15">
        <v>0</v>
      </c>
      <c r="V15">
        <v>0</v>
      </c>
      <c r="W15">
        <v>0</v>
      </c>
      <c r="X15">
        <v>0</v>
      </c>
      <c r="Y15" t="s">
        <v>67</v>
      </c>
      <c r="Z15">
        <v>0</v>
      </c>
      <c r="AA15">
        <v>0</v>
      </c>
      <c r="AB15">
        <v>0</v>
      </c>
      <c r="AC15">
        <v>0</v>
      </c>
      <c r="AD15" t="s">
        <v>69</v>
      </c>
      <c r="AE15">
        <v>0</v>
      </c>
      <c r="AF15">
        <v>0</v>
      </c>
      <c r="AG15">
        <v>0</v>
      </c>
      <c r="AH15">
        <v>0</v>
      </c>
      <c r="AI15" t="b">
        <v>0</v>
      </c>
      <c r="AJ15" t="s">
        <v>58</v>
      </c>
      <c r="AK15" t="s">
        <v>58</v>
      </c>
      <c r="AL15" t="s">
        <v>66</v>
      </c>
      <c r="AM15">
        <v>14</v>
      </c>
      <c r="AN15">
        <v>0</v>
      </c>
      <c r="AO15">
        <v>6</v>
      </c>
      <c r="AP15">
        <v>11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s">
        <v>61</v>
      </c>
      <c r="AY15" t="s">
        <v>57</v>
      </c>
      <c r="AZ15" t="s">
        <v>55</v>
      </c>
      <c r="BA15" t="s">
        <v>58</v>
      </c>
      <c r="BB15" t="s">
        <v>58</v>
      </c>
    </row>
    <row r="16" spans="1:54" x14ac:dyDescent="0.25">
      <c r="A16" t="s">
        <v>54</v>
      </c>
      <c r="B16" t="s">
        <v>54</v>
      </c>
      <c r="C16" t="s">
        <v>54</v>
      </c>
      <c r="D16" t="s">
        <v>174</v>
      </c>
      <c r="E16" t="s">
        <v>54</v>
      </c>
      <c r="F16" t="s">
        <v>54</v>
      </c>
      <c r="G16" t="s">
        <v>54</v>
      </c>
      <c r="H16" t="s">
        <v>54</v>
      </c>
      <c r="I16" t="s">
        <v>54</v>
      </c>
      <c r="J16" t="s">
        <v>54</v>
      </c>
      <c r="K16" t="s">
        <v>159</v>
      </c>
      <c r="L16">
        <v>-1</v>
      </c>
      <c r="M16">
        <v>0</v>
      </c>
      <c r="N16">
        <v>-1</v>
      </c>
      <c r="O16">
        <v>0</v>
      </c>
      <c r="P16" t="s">
        <v>70</v>
      </c>
      <c r="Q16">
        <v>0</v>
      </c>
      <c r="R16">
        <v>0</v>
      </c>
      <c r="S16">
        <v>1380</v>
      </c>
      <c r="T16" t="s">
        <v>57</v>
      </c>
      <c r="U16">
        <v>0</v>
      </c>
      <c r="V16">
        <v>0</v>
      </c>
      <c r="W16">
        <v>0</v>
      </c>
      <c r="X16">
        <v>0</v>
      </c>
      <c r="Y16" t="s">
        <v>67</v>
      </c>
      <c r="Z16">
        <v>0</v>
      </c>
      <c r="AA16">
        <v>0</v>
      </c>
      <c r="AB16">
        <v>0</v>
      </c>
      <c r="AC16">
        <v>0</v>
      </c>
      <c r="AD16" t="s">
        <v>63</v>
      </c>
      <c r="AE16">
        <v>0</v>
      </c>
      <c r="AF16">
        <v>0</v>
      </c>
      <c r="AG16">
        <v>0</v>
      </c>
      <c r="AH16">
        <v>0</v>
      </c>
      <c r="AI16" t="b">
        <v>0</v>
      </c>
      <c r="AJ16" t="s">
        <v>58</v>
      </c>
      <c r="AK16" t="s">
        <v>58</v>
      </c>
      <c r="AL16" t="s">
        <v>66</v>
      </c>
      <c r="AM16">
        <v>14</v>
      </c>
      <c r="AN16">
        <v>2</v>
      </c>
      <c r="AO16">
        <v>14</v>
      </c>
      <c r="AP16">
        <v>11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s">
        <v>61</v>
      </c>
      <c r="AY16" t="s">
        <v>57</v>
      </c>
      <c r="AZ16" t="s">
        <v>55</v>
      </c>
      <c r="BA16" t="s">
        <v>58</v>
      </c>
      <c r="BB16" t="s">
        <v>58</v>
      </c>
    </row>
    <row r="17" spans="1:54" x14ac:dyDescent="0.25">
      <c r="A17" t="s">
        <v>54</v>
      </c>
      <c r="B17" t="s">
        <v>54</v>
      </c>
      <c r="C17" t="s">
        <v>54</v>
      </c>
      <c r="D17" t="s">
        <v>164</v>
      </c>
      <c r="E17" t="s">
        <v>54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156</v>
      </c>
      <c r="L17">
        <v>-1</v>
      </c>
      <c r="M17">
        <v>0</v>
      </c>
      <c r="N17">
        <v>-1</v>
      </c>
      <c r="O17">
        <v>0</v>
      </c>
      <c r="P17" t="s">
        <v>70</v>
      </c>
      <c r="Q17">
        <v>0</v>
      </c>
      <c r="R17">
        <v>0</v>
      </c>
      <c r="S17">
        <v>1200</v>
      </c>
      <c r="T17" t="s">
        <v>57</v>
      </c>
      <c r="U17">
        <v>0</v>
      </c>
      <c r="V17">
        <v>0</v>
      </c>
      <c r="W17">
        <v>0</v>
      </c>
      <c r="X17">
        <v>0</v>
      </c>
      <c r="Y17" t="s">
        <v>67</v>
      </c>
      <c r="Z17">
        <v>0</v>
      </c>
      <c r="AA17">
        <v>0</v>
      </c>
      <c r="AB17">
        <v>0</v>
      </c>
      <c r="AC17">
        <v>0</v>
      </c>
      <c r="AD17" t="s">
        <v>60</v>
      </c>
      <c r="AE17">
        <v>0</v>
      </c>
      <c r="AF17">
        <v>0</v>
      </c>
      <c r="AG17">
        <v>0</v>
      </c>
      <c r="AH17">
        <v>0</v>
      </c>
      <c r="AI17" t="b">
        <v>0</v>
      </c>
      <c r="AJ17" t="s">
        <v>58</v>
      </c>
      <c r="AK17" t="s">
        <v>58</v>
      </c>
      <c r="AL17" t="s">
        <v>66</v>
      </c>
      <c r="AM17">
        <v>14</v>
      </c>
      <c r="AN17">
        <v>2</v>
      </c>
      <c r="AO17">
        <v>0</v>
      </c>
      <c r="AP17">
        <v>11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s">
        <v>61</v>
      </c>
      <c r="AY17" t="s">
        <v>57</v>
      </c>
      <c r="AZ17" t="s">
        <v>55</v>
      </c>
      <c r="BA17" t="s">
        <v>58</v>
      </c>
      <c r="BB17" t="s">
        <v>58</v>
      </c>
    </row>
    <row r="18" spans="1:54" x14ac:dyDescent="0.25">
      <c r="A18" t="s">
        <v>54</v>
      </c>
      <c r="B18" t="s">
        <v>54</v>
      </c>
      <c r="C18" t="s">
        <v>54</v>
      </c>
      <c r="D18" t="s">
        <v>150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164</v>
      </c>
      <c r="L18">
        <v>-1</v>
      </c>
      <c r="M18">
        <v>0</v>
      </c>
      <c r="N18">
        <v>-1</v>
      </c>
      <c r="O18">
        <v>0</v>
      </c>
      <c r="P18" t="s">
        <v>70</v>
      </c>
      <c r="Q18">
        <v>0</v>
      </c>
      <c r="R18">
        <v>0</v>
      </c>
      <c r="S18">
        <v>1140</v>
      </c>
      <c r="T18" t="s">
        <v>57</v>
      </c>
      <c r="U18">
        <v>0</v>
      </c>
      <c r="V18">
        <v>0</v>
      </c>
      <c r="W18">
        <v>0</v>
      </c>
      <c r="X18">
        <v>0</v>
      </c>
      <c r="Y18" t="s">
        <v>67</v>
      </c>
      <c r="Z18">
        <v>0</v>
      </c>
      <c r="AA18">
        <v>0</v>
      </c>
      <c r="AB18">
        <v>0</v>
      </c>
      <c r="AC18">
        <v>0</v>
      </c>
      <c r="AD18" t="s">
        <v>68</v>
      </c>
      <c r="AE18">
        <v>0</v>
      </c>
      <c r="AF18">
        <v>0</v>
      </c>
      <c r="AG18">
        <v>0</v>
      </c>
      <c r="AH18">
        <v>0</v>
      </c>
      <c r="AI18" t="b">
        <v>0</v>
      </c>
      <c r="AJ18" t="s">
        <v>58</v>
      </c>
      <c r="AK18" t="s">
        <v>58</v>
      </c>
      <c r="AL18" t="s">
        <v>66</v>
      </c>
      <c r="AM18">
        <v>14</v>
      </c>
      <c r="AN18">
        <v>1</v>
      </c>
      <c r="AO18">
        <v>4</v>
      </c>
      <c r="AP18">
        <v>11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s">
        <v>61</v>
      </c>
      <c r="AY18" t="s">
        <v>57</v>
      </c>
      <c r="AZ18" t="s">
        <v>55</v>
      </c>
      <c r="BA18" t="s">
        <v>58</v>
      </c>
      <c r="BB18" t="s">
        <v>58</v>
      </c>
    </row>
    <row r="19" spans="1:54" x14ac:dyDescent="0.25">
      <c r="A19" t="s">
        <v>54</v>
      </c>
      <c r="B19" t="s">
        <v>54</v>
      </c>
      <c r="C19" t="s">
        <v>54</v>
      </c>
      <c r="D19" t="s">
        <v>158</v>
      </c>
      <c r="E19" t="s">
        <v>54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165</v>
      </c>
      <c r="L19">
        <v>-1</v>
      </c>
      <c r="M19">
        <v>0</v>
      </c>
      <c r="N19">
        <v>-1</v>
      </c>
      <c r="O19">
        <v>0</v>
      </c>
      <c r="P19" t="s">
        <v>70</v>
      </c>
      <c r="Q19">
        <v>0</v>
      </c>
      <c r="R19">
        <v>0</v>
      </c>
      <c r="S19">
        <v>1260</v>
      </c>
      <c r="T19" t="s">
        <v>57</v>
      </c>
      <c r="U19">
        <v>0</v>
      </c>
      <c r="V19">
        <v>0</v>
      </c>
      <c r="W19">
        <v>0</v>
      </c>
      <c r="X19">
        <v>0</v>
      </c>
      <c r="Y19" t="s">
        <v>67</v>
      </c>
      <c r="Z19">
        <v>0</v>
      </c>
      <c r="AA19">
        <v>0</v>
      </c>
      <c r="AB19">
        <v>0</v>
      </c>
      <c r="AC19">
        <v>0</v>
      </c>
      <c r="AD19" t="s">
        <v>65</v>
      </c>
      <c r="AE19">
        <v>0</v>
      </c>
      <c r="AF19">
        <v>0</v>
      </c>
      <c r="AG19">
        <v>0</v>
      </c>
      <c r="AH19">
        <v>0</v>
      </c>
      <c r="AI19" t="b">
        <v>0</v>
      </c>
      <c r="AJ19" t="s">
        <v>58</v>
      </c>
      <c r="AK19" t="s">
        <v>58</v>
      </c>
      <c r="AL19" t="s">
        <v>66</v>
      </c>
      <c r="AM19">
        <v>14</v>
      </c>
      <c r="AN19">
        <v>1</v>
      </c>
      <c r="AO19">
        <v>3</v>
      </c>
      <c r="AP19">
        <v>11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s">
        <v>61</v>
      </c>
      <c r="AY19" t="s">
        <v>57</v>
      </c>
      <c r="AZ19" t="s">
        <v>55</v>
      </c>
      <c r="BA19" t="s">
        <v>58</v>
      </c>
      <c r="BB19" t="s">
        <v>58</v>
      </c>
    </row>
    <row r="20" spans="1:54" x14ac:dyDescent="0.25">
      <c r="A20" t="s">
        <v>54</v>
      </c>
      <c r="B20" t="s">
        <v>54</v>
      </c>
      <c r="C20" t="s">
        <v>54</v>
      </c>
      <c r="D20" t="s">
        <v>160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54</v>
      </c>
      <c r="K20" t="s">
        <v>167</v>
      </c>
      <c r="L20">
        <v>-1</v>
      </c>
      <c r="M20">
        <v>0</v>
      </c>
      <c r="N20">
        <v>-1</v>
      </c>
      <c r="O20">
        <v>0</v>
      </c>
      <c r="P20" t="s">
        <v>70</v>
      </c>
      <c r="Q20">
        <v>0</v>
      </c>
      <c r="R20">
        <v>0</v>
      </c>
      <c r="S20">
        <v>1260</v>
      </c>
      <c r="T20" t="s">
        <v>57</v>
      </c>
      <c r="U20">
        <v>0</v>
      </c>
      <c r="V20">
        <v>0</v>
      </c>
      <c r="W20">
        <v>0</v>
      </c>
      <c r="X20">
        <v>0</v>
      </c>
      <c r="Y20" t="s">
        <v>67</v>
      </c>
      <c r="Z20">
        <v>0</v>
      </c>
      <c r="AA20">
        <v>0</v>
      </c>
      <c r="AB20">
        <v>0</v>
      </c>
      <c r="AC20">
        <v>0</v>
      </c>
      <c r="AD20" t="s">
        <v>68</v>
      </c>
      <c r="AE20">
        <v>0</v>
      </c>
      <c r="AF20">
        <v>0</v>
      </c>
      <c r="AG20">
        <v>0</v>
      </c>
      <c r="AH20">
        <v>0</v>
      </c>
      <c r="AI20" t="b">
        <v>0</v>
      </c>
      <c r="AJ20" t="s">
        <v>58</v>
      </c>
      <c r="AK20" t="s">
        <v>58</v>
      </c>
      <c r="AL20" t="s">
        <v>66</v>
      </c>
      <c r="AM20">
        <v>14</v>
      </c>
      <c r="AN20">
        <v>1</v>
      </c>
      <c r="AO20">
        <v>7</v>
      </c>
      <c r="AP20">
        <v>11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s">
        <v>61</v>
      </c>
      <c r="AY20" t="s">
        <v>57</v>
      </c>
      <c r="AZ20" t="s">
        <v>55</v>
      </c>
      <c r="BA20" t="s">
        <v>58</v>
      </c>
      <c r="BB20" t="s">
        <v>58</v>
      </c>
    </row>
    <row r="21" spans="1:54" x14ac:dyDescent="0.25">
      <c r="A21" t="s">
        <v>54</v>
      </c>
      <c r="B21" t="s">
        <v>54</v>
      </c>
      <c r="C21" t="s">
        <v>54</v>
      </c>
      <c r="D21" t="s">
        <v>168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172</v>
      </c>
      <c r="L21">
        <v>90313</v>
      </c>
      <c r="M21">
        <v>0</v>
      </c>
      <c r="N21">
        <v>90312</v>
      </c>
      <c r="O21">
        <v>0</v>
      </c>
      <c r="P21" t="s">
        <v>70</v>
      </c>
      <c r="Q21">
        <v>0</v>
      </c>
      <c r="R21">
        <v>0</v>
      </c>
      <c r="S21">
        <v>1140</v>
      </c>
      <c r="T21" t="s">
        <v>57</v>
      </c>
      <c r="U21">
        <v>0</v>
      </c>
      <c r="V21">
        <v>0</v>
      </c>
      <c r="W21">
        <v>0</v>
      </c>
      <c r="X21">
        <v>0</v>
      </c>
      <c r="Y21" t="s">
        <v>67</v>
      </c>
      <c r="Z21">
        <v>0</v>
      </c>
      <c r="AA21">
        <v>0</v>
      </c>
      <c r="AB21">
        <v>0</v>
      </c>
      <c r="AC21">
        <v>0</v>
      </c>
      <c r="AD21" t="s">
        <v>63</v>
      </c>
      <c r="AE21">
        <v>0</v>
      </c>
      <c r="AF21">
        <v>0</v>
      </c>
      <c r="AG21">
        <v>0</v>
      </c>
      <c r="AH21">
        <v>0</v>
      </c>
      <c r="AI21" t="b">
        <v>0</v>
      </c>
      <c r="AJ21" t="s">
        <v>58</v>
      </c>
      <c r="AK21" t="s">
        <v>58</v>
      </c>
      <c r="AL21" t="s">
        <v>66</v>
      </c>
      <c r="AM21">
        <v>14</v>
      </c>
      <c r="AN21">
        <v>0</v>
      </c>
      <c r="AO21">
        <v>9</v>
      </c>
      <c r="AP21">
        <v>11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s">
        <v>61</v>
      </c>
      <c r="AY21" t="s">
        <v>57</v>
      </c>
      <c r="AZ21" t="s">
        <v>55</v>
      </c>
      <c r="BA21" t="s">
        <v>58</v>
      </c>
      <c r="BB21" t="s">
        <v>58</v>
      </c>
    </row>
    <row r="22" spans="1:54" x14ac:dyDescent="0.25">
      <c r="A22" t="s">
        <v>54</v>
      </c>
      <c r="B22" t="s">
        <v>54</v>
      </c>
      <c r="C22" t="s">
        <v>54</v>
      </c>
      <c r="D22" t="s">
        <v>143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156</v>
      </c>
      <c r="L22">
        <v>90321</v>
      </c>
      <c r="M22">
        <v>0</v>
      </c>
      <c r="N22">
        <v>90320</v>
      </c>
      <c r="O22">
        <v>0</v>
      </c>
      <c r="P22" t="s">
        <v>70</v>
      </c>
      <c r="Q22">
        <v>0</v>
      </c>
      <c r="R22">
        <v>0</v>
      </c>
      <c r="S22">
        <v>1200</v>
      </c>
      <c r="T22" t="s">
        <v>57</v>
      </c>
      <c r="U22">
        <v>0</v>
      </c>
      <c r="V22">
        <v>0</v>
      </c>
      <c r="W22">
        <v>0</v>
      </c>
      <c r="X22">
        <v>0</v>
      </c>
      <c r="Y22" t="s">
        <v>67</v>
      </c>
      <c r="Z22">
        <v>0</v>
      </c>
      <c r="AA22">
        <v>0</v>
      </c>
      <c r="AB22">
        <v>0</v>
      </c>
      <c r="AC22">
        <v>0</v>
      </c>
      <c r="AD22" t="s">
        <v>63</v>
      </c>
      <c r="AE22">
        <v>0</v>
      </c>
      <c r="AF22">
        <v>0</v>
      </c>
      <c r="AG22">
        <v>0</v>
      </c>
      <c r="AH22">
        <v>0</v>
      </c>
      <c r="AI22" t="b">
        <v>0</v>
      </c>
      <c r="AJ22" t="s">
        <v>58</v>
      </c>
      <c r="AK22" t="s">
        <v>58</v>
      </c>
      <c r="AL22" t="s">
        <v>66</v>
      </c>
      <c r="AM22">
        <v>14</v>
      </c>
      <c r="AN22">
        <v>0</v>
      </c>
      <c r="AO22">
        <v>13</v>
      </c>
      <c r="AP22">
        <v>11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s">
        <v>61</v>
      </c>
      <c r="AY22" t="s">
        <v>57</v>
      </c>
      <c r="AZ22" t="s">
        <v>55</v>
      </c>
      <c r="BA22" t="s">
        <v>58</v>
      </c>
      <c r="BB22" t="s">
        <v>58</v>
      </c>
    </row>
    <row r="23" spans="1:54" x14ac:dyDescent="0.25">
      <c r="A23" t="s">
        <v>54</v>
      </c>
      <c r="B23" t="s">
        <v>54</v>
      </c>
      <c r="C23" t="s">
        <v>54</v>
      </c>
      <c r="D23" t="s">
        <v>144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152</v>
      </c>
      <c r="L23">
        <v>-1</v>
      </c>
      <c r="M23">
        <v>0</v>
      </c>
      <c r="N23">
        <v>-1</v>
      </c>
      <c r="O23">
        <v>0</v>
      </c>
      <c r="P23" t="s">
        <v>70</v>
      </c>
      <c r="Q23">
        <v>0</v>
      </c>
      <c r="R23">
        <v>0</v>
      </c>
      <c r="S23">
        <v>1260</v>
      </c>
      <c r="T23" t="s">
        <v>57</v>
      </c>
      <c r="U23">
        <v>0</v>
      </c>
      <c r="V23">
        <v>0</v>
      </c>
      <c r="W23">
        <v>0</v>
      </c>
      <c r="X23">
        <v>0</v>
      </c>
      <c r="Y23" t="s">
        <v>67</v>
      </c>
      <c r="Z23">
        <v>0</v>
      </c>
      <c r="AA23">
        <v>0</v>
      </c>
      <c r="AB23">
        <v>0</v>
      </c>
      <c r="AC23">
        <v>0</v>
      </c>
      <c r="AD23" t="s">
        <v>63</v>
      </c>
      <c r="AE23">
        <v>0</v>
      </c>
      <c r="AF23">
        <v>0</v>
      </c>
      <c r="AG23">
        <v>0</v>
      </c>
      <c r="AH23">
        <v>0</v>
      </c>
      <c r="AI23" t="b">
        <v>0</v>
      </c>
      <c r="AJ23" t="s">
        <v>58</v>
      </c>
      <c r="AK23" t="s">
        <v>58</v>
      </c>
      <c r="AL23" t="s">
        <v>66</v>
      </c>
      <c r="AM23">
        <v>14</v>
      </c>
      <c r="AN23">
        <v>1</v>
      </c>
      <c r="AO23">
        <v>13</v>
      </c>
      <c r="AP23">
        <v>11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s">
        <v>61</v>
      </c>
      <c r="AY23" t="s">
        <v>57</v>
      </c>
      <c r="AZ23" t="s">
        <v>55</v>
      </c>
      <c r="BA23" t="s">
        <v>58</v>
      </c>
      <c r="BB23" t="s">
        <v>58</v>
      </c>
    </row>
    <row r="24" spans="1:54" x14ac:dyDescent="0.25">
      <c r="A24" t="s">
        <v>54</v>
      </c>
      <c r="B24" t="s">
        <v>54</v>
      </c>
      <c r="C24" t="s">
        <v>54</v>
      </c>
      <c r="D24" t="s">
        <v>168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173</v>
      </c>
      <c r="L24">
        <v>-1</v>
      </c>
      <c r="M24">
        <v>0</v>
      </c>
      <c r="N24">
        <v>-1</v>
      </c>
      <c r="O24">
        <v>0</v>
      </c>
      <c r="P24" t="s">
        <v>70</v>
      </c>
      <c r="Q24">
        <v>0</v>
      </c>
      <c r="R24">
        <v>0</v>
      </c>
      <c r="S24">
        <v>1380</v>
      </c>
      <c r="T24" t="s">
        <v>57</v>
      </c>
      <c r="U24">
        <v>0</v>
      </c>
      <c r="V24">
        <v>0</v>
      </c>
      <c r="W24">
        <v>0</v>
      </c>
      <c r="X24">
        <v>0</v>
      </c>
      <c r="Y24" t="s">
        <v>67</v>
      </c>
      <c r="Z24">
        <v>0</v>
      </c>
      <c r="AA24">
        <v>0</v>
      </c>
      <c r="AB24">
        <v>0</v>
      </c>
      <c r="AC24">
        <v>0</v>
      </c>
      <c r="AD24" t="s">
        <v>63</v>
      </c>
      <c r="AE24">
        <v>0</v>
      </c>
      <c r="AF24">
        <v>0</v>
      </c>
      <c r="AG24">
        <v>0</v>
      </c>
      <c r="AH24">
        <v>0</v>
      </c>
      <c r="AI24" t="b">
        <v>0</v>
      </c>
      <c r="AJ24" t="s">
        <v>58</v>
      </c>
      <c r="AK24" t="s">
        <v>58</v>
      </c>
      <c r="AL24" t="s">
        <v>66</v>
      </c>
      <c r="AM24">
        <v>14</v>
      </c>
      <c r="AN24">
        <v>1</v>
      </c>
      <c r="AO24">
        <v>15</v>
      </c>
      <c r="AP24">
        <v>11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s">
        <v>61</v>
      </c>
      <c r="AY24" t="s">
        <v>57</v>
      </c>
      <c r="AZ24" t="s">
        <v>55</v>
      </c>
      <c r="BA24" t="s">
        <v>58</v>
      </c>
      <c r="BB24" t="s">
        <v>58</v>
      </c>
    </row>
    <row r="25" spans="1:54" x14ac:dyDescent="0.25">
      <c r="A25" t="s">
        <v>54</v>
      </c>
      <c r="B25" t="s">
        <v>54</v>
      </c>
      <c r="C25" t="s">
        <v>54</v>
      </c>
      <c r="D25" t="s">
        <v>154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159</v>
      </c>
      <c r="L25">
        <v>-1</v>
      </c>
      <c r="M25">
        <v>0</v>
      </c>
      <c r="N25">
        <v>-1</v>
      </c>
      <c r="O25">
        <v>0</v>
      </c>
      <c r="P25" t="s">
        <v>70</v>
      </c>
      <c r="Q25">
        <v>0</v>
      </c>
      <c r="R25">
        <v>0</v>
      </c>
      <c r="S25">
        <v>1140</v>
      </c>
      <c r="T25" t="s">
        <v>57</v>
      </c>
      <c r="U25">
        <v>0</v>
      </c>
      <c r="V25">
        <v>0</v>
      </c>
      <c r="W25">
        <v>0</v>
      </c>
      <c r="X25">
        <v>0</v>
      </c>
      <c r="Y25" t="s">
        <v>67</v>
      </c>
      <c r="Z25">
        <v>0</v>
      </c>
      <c r="AA25">
        <v>0</v>
      </c>
      <c r="AB25">
        <v>0</v>
      </c>
      <c r="AC25">
        <v>0</v>
      </c>
      <c r="AD25" t="s">
        <v>60</v>
      </c>
      <c r="AE25">
        <v>0</v>
      </c>
      <c r="AF25">
        <v>0</v>
      </c>
      <c r="AG25">
        <v>0</v>
      </c>
      <c r="AH25">
        <v>0</v>
      </c>
      <c r="AI25" t="b">
        <v>0</v>
      </c>
      <c r="AJ25" t="s">
        <v>58</v>
      </c>
      <c r="AK25" t="s">
        <v>58</v>
      </c>
      <c r="AL25" t="s">
        <v>66</v>
      </c>
      <c r="AM25">
        <v>14</v>
      </c>
      <c r="AN25">
        <v>1</v>
      </c>
      <c r="AO25">
        <v>0</v>
      </c>
      <c r="AP25">
        <v>11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s">
        <v>61</v>
      </c>
      <c r="AY25" t="s">
        <v>57</v>
      </c>
      <c r="AZ25" t="s">
        <v>55</v>
      </c>
      <c r="BA25" t="s">
        <v>58</v>
      </c>
      <c r="BB25" t="s">
        <v>58</v>
      </c>
    </row>
    <row r="26" spans="1:54" x14ac:dyDescent="0.25">
      <c r="A26" t="s">
        <v>54</v>
      </c>
      <c r="B26" t="s">
        <v>54</v>
      </c>
      <c r="C26" t="s">
        <v>54</v>
      </c>
      <c r="D26" t="s">
        <v>145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149</v>
      </c>
      <c r="L26">
        <v>-1</v>
      </c>
      <c r="M26">
        <v>0</v>
      </c>
      <c r="N26">
        <v>-1</v>
      </c>
      <c r="O26">
        <v>0</v>
      </c>
      <c r="P26" t="s">
        <v>70</v>
      </c>
      <c r="Q26">
        <v>0</v>
      </c>
      <c r="R26">
        <v>0</v>
      </c>
      <c r="S26">
        <v>1200</v>
      </c>
      <c r="T26" t="s">
        <v>57</v>
      </c>
      <c r="U26">
        <v>0</v>
      </c>
      <c r="V26">
        <v>0</v>
      </c>
      <c r="W26">
        <v>0</v>
      </c>
      <c r="X26">
        <v>0</v>
      </c>
      <c r="Y26" t="s">
        <v>67</v>
      </c>
      <c r="Z26">
        <v>0</v>
      </c>
      <c r="AA26">
        <v>0</v>
      </c>
      <c r="AB26">
        <v>0</v>
      </c>
      <c r="AC26">
        <v>0</v>
      </c>
      <c r="AD26" t="s">
        <v>68</v>
      </c>
      <c r="AE26">
        <v>0</v>
      </c>
      <c r="AF26">
        <v>0</v>
      </c>
      <c r="AG26">
        <v>0</v>
      </c>
      <c r="AH26">
        <v>0</v>
      </c>
      <c r="AI26" t="b">
        <v>0</v>
      </c>
      <c r="AJ26" t="s">
        <v>58</v>
      </c>
      <c r="AK26" t="s">
        <v>58</v>
      </c>
      <c r="AL26" t="s">
        <v>66</v>
      </c>
      <c r="AM26">
        <v>14</v>
      </c>
      <c r="AN26">
        <v>1</v>
      </c>
      <c r="AO26">
        <v>5</v>
      </c>
      <c r="AP26">
        <v>11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s">
        <v>61</v>
      </c>
      <c r="AY26" t="s">
        <v>57</v>
      </c>
      <c r="AZ26" t="s">
        <v>55</v>
      </c>
      <c r="BA26" t="s">
        <v>58</v>
      </c>
      <c r="BB26" t="s">
        <v>58</v>
      </c>
    </row>
    <row r="27" spans="1:54" x14ac:dyDescent="0.25">
      <c r="A27" t="s">
        <v>54</v>
      </c>
      <c r="B27" t="s">
        <v>54</v>
      </c>
      <c r="C27" t="s">
        <v>54</v>
      </c>
      <c r="D27" t="s">
        <v>148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158</v>
      </c>
      <c r="L27">
        <v>90327</v>
      </c>
      <c r="M27">
        <v>0</v>
      </c>
      <c r="N27">
        <v>90326</v>
      </c>
      <c r="O27">
        <v>0</v>
      </c>
      <c r="P27" t="s">
        <v>70</v>
      </c>
      <c r="Q27">
        <v>0</v>
      </c>
      <c r="R27">
        <v>0</v>
      </c>
      <c r="S27">
        <v>1200</v>
      </c>
      <c r="T27" t="s">
        <v>57</v>
      </c>
      <c r="U27">
        <v>0</v>
      </c>
      <c r="V27">
        <v>0</v>
      </c>
      <c r="W27">
        <v>0</v>
      </c>
      <c r="X27">
        <v>0</v>
      </c>
      <c r="Y27" t="s">
        <v>67</v>
      </c>
      <c r="Z27">
        <v>0</v>
      </c>
      <c r="AA27">
        <v>0</v>
      </c>
      <c r="AB27">
        <v>0</v>
      </c>
      <c r="AC27">
        <v>0</v>
      </c>
      <c r="AD27" t="s">
        <v>60</v>
      </c>
      <c r="AE27">
        <v>0</v>
      </c>
      <c r="AF27">
        <v>0</v>
      </c>
      <c r="AG27">
        <v>0</v>
      </c>
      <c r="AH27">
        <v>0</v>
      </c>
      <c r="AI27" t="b">
        <v>0</v>
      </c>
      <c r="AJ27" t="s">
        <v>58</v>
      </c>
      <c r="AK27" t="s">
        <v>58</v>
      </c>
      <c r="AL27" t="s">
        <v>66</v>
      </c>
      <c r="AM27">
        <v>14</v>
      </c>
      <c r="AN27">
        <v>0</v>
      </c>
      <c r="AO27">
        <v>0</v>
      </c>
      <c r="AP27">
        <v>11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s">
        <v>61</v>
      </c>
      <c r="AY27" t="s">
        <v>57</v>
      </c>
      <c r="AZ27" t="s">
        <v>55</v>
      </c>
      <c r="BA27" t="s">
        <v>58</v>
      </c>
      <c r="BB27" t="s">
        <v>58</v>
      </c>
    </row>
    <row r="28" spans="1:54" x14ac:dyDescent="0.25">
      <c r="A28" t="s">
        <v>54</v>
      </c>
      <c r="B28" t="s">
        <v>54</v>
      </c>
      <c r="C28" t="s">
        <v>54</v>
      </c>
      <c r="D28" t="s">
        <v>171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165</v>
      </c>
      <c r="L28">
        <v>-1</v>
      </c>
      <c r="M28">
        <v>0</v>
      </c>
      <c r="N28">
        <v>-1</v>
      </c>
      <c r="O28">
        <v>0</v>
      </c>
      <c r="P28" t="s">
        <v>70</v>
      </c>
      <c r="Q28">
        <v>0</v>
      </c>
      <c r="R28">
        <v>0</v>
      </c>
      <c r="S28">
        <v>1260</v>
      </c>
      <c r="T28" t="s">
        <v>57</v>
      </c>
      <c r="U28">
        <v>0</v>
      </c>
      <c r="V28">
        <v>0</v>
      </c>
      <c r="W28">
        <v>0</v>
      </c>
      <c r="X28">
        <v>0</v>
      </c>
      <c r="Y28" t="s">
        <v>67</v>
      </c>
      <c r="Z28">
        <v>0</v>
      </c>
      <c r="AA28">
        <v>0</v>
      </c>
      <c r="AB28">
        <v>0</v>
      </c>
      <c r="AC28">
        <v>0</v>
      </c>
      <c r="AD28" t="s">
        <v>63</v>
      </c>
      <c r="AE28">
        <v>0</v>
      </c>
      <c r="AF28">
        <v>0</v>
      </c>
      <c r="AG28">
        <v>0</v>
      </c>
      <c r="AH28">
        <v>0</v>
      </c>
      <c r="AI28" t="b">
        <v>0</v>
      </c>
      <c r="AJ28" t="s">
        <v>58</v>
      </c>
      <c r="AK28" t="s">
        <v>58</v>
      </c>
      <c r="AL28" t="s">
        <v>66</v>
      </c>
      <c r="AM28">
        <v>14</v>
      </c>
      <c r="AN28">
        <v>2</v>
      </c>
      <c r="AO28">
        <v>12</v>
      </c>
      <c r="AP28">
        <v>11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s">
        <v>61</v>
      </c>
      <c r="AY28" t="s">
        <v>57</v>
      </c>
      <c r="AZ28" t="s">
        <v>55</v>
      </c>
      <c r="BA28" t="s">
        <v>58</v>
      </c>
      <c r="BB28" t="s">
        <v>58</v>
      </c>
    </row>
    <row r="29" spans="1:54" x14ac:dyDescent="0.25">
      <c r="A29" t="s">
        <v>54</v>
      </c>
      <c r="B29" t="s">
        <v>54</v>
      </c>
      <c r="C29" t="s">
        <v>54</v>
      </c>
      <c r="D29" t="s">
        <v>155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151</v>
      </c>
      <c r="L29">
        <v>-1</v>
      </c>
      <c r="M29">
        <v>0</v>
      </c>
      <c r="N29">
        <v>-1</v>
      </c>
      <c r="O29">
        <v>0</v>
      </c>
      <c r="P29" t="s">
        <v>70</v>
      </c>
      <c r="Q29">
        <v>0</v>
      </c>
      <c r="R29">
        <v>0</v>
      </c>
      <c r="S29">
        <v>1320</v>
      </c>
      <c r="T29" t="s">
        <v>57</v>
      </c>
      <c r="U29">
        <v>0</v>
      </c>
      <c r="V29">
        <v>0</v>
      </c>
      <c r="W29">
        <v>0</v>
      </c>
      <c r="X29">
        <v>0</v>
      </c>
      <c r="Y29" t="s">
        <v>67</v>
      </c>
      <c r="Z29">
        <v>0</v>
      </c>
      <c r="AA29">
        <v>0</v>
      </c>
      <c r="AB29">
        <v>0</v>
      </c>
      <c r="AC29">
        <v>0</v>
      </c>
      <c r="AD29" t="s">
        <v>63</v>
      </c>
      <c r="AE29">
        <v>0</v>
      </c>
      <c r="AF29">
        <v>0</v>
      </c>
      <c r="AG29">
        <v>0</v>
      </c>
      <c r="AH29">
        <v>0</v>
      </c>
      <c r="AI29" t="b">
        <v>0</v>
      </c>
      <c r="AJ29" t="s">
        <v>58</v>
      </c>
      <c r="AK29" t="s">
        <v>58</v>
      </c>
      <c r="AL29" t="s">
        <v>66</v>
      </c>
      <c r="AM29">
        <v>14</v>
      </c>
      <c r="AN29">
        <v>1</v>
      </c>
      <c r="AO29">
        <v>14</v>
      </c>
      <c r="AP29">
        <v>11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s">
        <v>61</v>
      </c>
      <c r="AY29" t="s">
        <v>57</v>
      </c>
      <c r="AZ29" t="s">
        <v>55</v>
      </c>
      <c r="BA29" t="s">
        <v>58</v>
      </c>
      <c r="BB29" t="s">
        <v>58</v>
      </c>
    </row>
    <row r="30" spans="1:54" x14ac:dyDescent="0.25">
      <c r="A30" t="s">
        <v>54</v>
      </c>
      <c r="B30" t="s">
        <v>54</v>
      </c>
      <c r="C30" t="s">
        <v>54</v>
      </c>
      <c r="D30" t="s">
        <v>171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169</v>
      </c>
      <c r="L30">
        <v>-1</v>
      </c>
      <c r="M30">
        <v>0</v>
      </c>
      <c r="N30">
        <v>-1</v>
      </c>
      <c r="O30">
        <v>0</v>
      </c>
      <c r="P30" t="s">
        <v>70</v>
      </c>
      <c r="Q30">
        <v>0</v>
      </c>
      <c r="R30">
        <v>0</v>
      </c>
      <c r="S30">
        <v>1200</v>
      </c>
      <c r="T30" t="s">
        <v>57</v>
      </c>
      <c r="U30">
        <v>0</v>
      </c>
      <c r="V30">
        <v>0</v>
      </c>
      <c r="W30">
        <v>0</v>
      </c>
      <c r="X30">
        <v>0</v>
      </c>
      <c r="Y30" t="s">
        <v>67</v>
      </c>
      <c r="Z30">
        <v>0</v>
      </c>
      <c r="AA30">
        <v>0</v>
      </c>
      <c r="AB30">
        <v>0</v>
      </c>
      <c r="AC30">
        <v>0</v>
      </c>
      <c r="AD30" t="s">
        <v>68</v>
      </c>
      <c r="AE30">
        <v>0</v>
      </c>
      <c r="AF30">
        <v>0</v>
      </c>
      <c r="AG30">
        <v>0</v>
      </c>
      <c r="AH30">
        <v>0</v>
      </c>
      <c r="AI30" t="b">
        <v>0</v>
      </c>
      <c r="AJ30" t="s">
        <v>58</v>
      </c>
      <c r="AK30" t="s">
        <v>58</v>
      </c>
      <c r="AL30" t="s">
        <v>66</v>
      </c>
      <c r="AM30">
        <v>14</v>
      </c>
      <c r="AN30">
        <v>1</v>
      </c>
      <c r="AO30">
        <v>6</v>
      </c>
      <c r="AP30">
        <v>11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s">
        <v>61</v>
      </c>
      <c r="AY30" t="s">
        <v>57</v>
      </c>
      <c r="AZ30" t="s">
        <v>55</v>
      </c>
      <c r="BA30" t="s">
        <v>58</v>
      </c>
      <c r="BB30" t="s">
        <v>58</v>
      </c>
    </row>
    <row r="31" spans="1:54" x14ac:dyDescent="0.25">
      <c r="A31" t="s">
        <v>54</v>
      </c>
      <c r="B31" t="s">
        <v>54</v>
      </c>
      <c r="C31" t="s">
        <v>54</v>
      </c>
      <c r="D31" t="s">
        <v>166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148</v>
      </c>
      <c r="L31">
        <v>-1</v>
      </c>
      <c r="M31">
        <v>0</v>
      </c>
      <c r="N31">
        <v>-1</v>
      </c>
      <c r="O31">
        <v>0</v>
      </c>
      <c r="P31" t="s">
        <v>70</v>
      </c>
      <c r="Q31">
        <v>0</v>
      </c>
      <c r="R31">
        <v>0</v>
      </c>
      <c r="S31">
        <v>1200</v>
      </c>
      <c r="T31" t="s">
        <v>57</v>
      </c>
      <c r="U31">
        <v>0</v>
      </c>
      <c r="V31">
        <v>0</v>
      </c>
      <c r="W31">
        <v>0</v>
      </c>
      <c r="X31">
        <v>0</v>
      </c>
      <c r="Y31" t="s">
        <v>67</v>
      </c>
      <c r="Z31">
        <v>0</v>
      </c>
      <c r="AA31">
        <v>0</v>
      </c>
      <c r="AB31">
        <v>0</v>
      </c>
      <c r="AC31">
        <v>0</v>
      </c>
      <c r="AD31" t="s">
        <v>60</v>
      </c>
      <c r="AE31">
        <v>0</v>
      </c>
      <c r="AF31">
        <v>0</v>
      </c>
      <c r="AG31">
        <v>0</v>
      </c>
      <c r="AH31">
        <v>0</v>
      </c>
      <c r="AI31" t="b">
        <v>0</v>
      </c>
      <c r="AJ31" t="s">
        <v>58</v>
      </c>
      <c r="AK31" t="s">
        <v>58</v>
      </c>
      <c r="AL31" t="s">
        <v>66</v>
      </c>
      <c r="AM31">
        <v>14</v>
      </c>
      <c r="AN31">
        <v>1</v>
      </c>
      <c r="AO31">
        <v>1</v>
      </c>
      <c r="AP31">
        <v>11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s">
        <v>61</v>
      </c>
      <c r="AY31" t="s">
        <v>57</v>
      </c>
      <c r="AZ31" t="s">
        <v>55</v>
      </c>
      <c r="BA31" t="s">
        <v>58</v>
      </c>
      <c r="BB31" t="s">
        <v>58</v>
      </c>
    </row>
    <row r="32" spans="1:54" x14ac:dyDescent="0.25">
      <c r="A32" t="s">
        <v>54</v>
      </c>
      <c r="B32" t="s">
        <v>54</v>
      </c>
      <c r="C32" t="s">
        <v>54</v>
      </c>
      <c r="D32" t="s">
        <v>158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143</v>
      </c>
      <c r="L32">
        <v>-1</v>
      </c>
      <c r="M32">
        <v>0</v>
      </c>
      <c r="N32">
        <v>-1</v>
      </c>
      <c r="O32">
        <v>0</v>
      </c>
      <c r="P32" t="s">
        <v>70</v>
      </c>
      <c r="Q32">
        <v>0</v>
      </c>
      <c r="R32">
        <v>0</v>
      </c>
      <c r="S32">
        <v>1200</v>
      </c>
      <c r="T32" t="s">
        <v>57</v>
      </c>
      <c r="U32">
        <v>0</v>
      </c>
      <c r="V32">
        <v>0</v>
      </c>
      <c r="W32">
        <v>0</v>
      </c>
      <c r="X32">
        <v>0</v>
      </c>
      <c r="Y32" t="s">
        <v>67</v>
      </c>
      <c r="Z32">
        <v>0</v>
      </c>
      <c r="AA32">
        <v>0</v>
      </c>
      <c r="AB32">
        <v>0</v>
      </c>
      <c r="AC32">
        <v>0</v>
      </c>
      <c r="AD32" t="s">
        <v>68</v>
      </c>
      <c r="AE32">
        <v>0</v>
      </c>
      <c r="AF32">
        <v>0</v>
      </c>
      <c r="AG32">
        <v>0</v>
      </c>
      <c r="AH32">
        <v>0</v>
      </c>
      <c r="AI32" t="b">
        <v>0</v>
      </c>
      <c r="AJ32" t="s">
        <v>58</v>
      </c>
      <c r="AK32" t="s">
        <v>58</v>
      </c>
      <c r="AL32" t="s">
        <v>66</v>
      </c>
      <c r="AM32">
        <v>14</v>
      </c>
      <c r="AN32">
        <v>2</v>
      </c>
      <c r="AO32">
        <v>4</v>
      </c>
      <c r="AP32">
        <v>11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s">
        <v>61</v>
      </c>
      <c r="AY32" t="s">
        <v>57</v>
      </c>
      <c r="AZ32" t="s">
        <v>55</v>
      </c>
      <c r="BA32" t="s">
        <v>58</v>
      </c>
      <c r="BB32" t="s">
        <v>58</v>
      </c>
    </row>
    <row r="33" spans="1:54" x14ac:dyDescent="0.25">
      <c r="A33" t="s">
        <v>54</v>
      </c>
      <c r="B33" t="s">
        <v>54</v>
      </c>
      <c r="C33" t="s">
        <v>54</v>
      </c>
      <c r="D33" t="s">
        <v>147</v>
      </c>
      <c r="E33" t="s">
        <v>54</v>
      </c>
      <c r="F33" t="s">
        <v>54</v>
      </c>
      <c r="G33" t="s">
        <v>54</v>
      </c>
      <c r="H33" t="s">
        <v>54</v>
      </c>
      <c r="I33" t="s">
        <v>54</v>
      </c>
      <c r="J33" t="s">
        <v>54</v>
      </c>
      <c r="K33" t="s">
        <v>143</v>
      </c>
      <c r="L33">
        <v>-1</v>
      </c>
      <c r="M33">
        <v>0</v>
      </c>
      <c r="N33">
        <v>-1</v>
      </c>
      <c r="O33">
        <v>0</v>
      </c>
      <c r="P33" t="s">
        <v>70</v>
      </c>
      <c r="Q33">
        <v>0</v>
      </c>
      <c r="R33">
        <v>0</v>
      </c>
      <c r="S33">
        <v>1200</v>
      </c>
      <c r="T33" t="s">
        <v>57</v>
      </c>
      <c r="U33">
        <v>0</v>
      </c>
      <c r="V33">
        <v>0</v>
      </c>
      <c r="W33">
        <v>0</v>
      </c>
      <c r="X33">
        <v>0</v>
      </c>
      <c r="Y33" t="s">
        <v>67</v>
      </c>
      <c r="Z33">
        <v>0</v>
      </c>
      <c r="AA33">
        <v>0</v>
      </c>
      <c r="AB33">
        <v>0</v>
      </c>
      <c r="AC33">
        <v>0</v>
      </c>
      <c r="AD33" t="s">
        <v>69</v>
      </c>
      <c r="AE33">
        <v>0</v>
      </c>
      <c r="AF33">
        <v>0</v>
      </c>
      <c r="AG33">
        <v>0</v>
      </c>
      <c r="AH33">
        <v>0</v>
      </c>
      <c r="AI33" t="b">
        <v>0</v>
      </c>
      <c r="AJ33" t="s">
        <v>58</v>
      </c>
      <c r="AK33" t="s">
        <v>58</v>
      </c>
      <c r="AL33" t="s">
        <v>66</v>
      </c>
      <c r="AM33">
        <v>14</v>
      </c>
      <c r="AN33">
        <v>1</v>
      </c>
      <c r="AO33">
        <v>10</v>
      </c>
      <c r="AP33">
        <v>11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s">
        <v>61</v>
      </c>
      <c r="AY33" t="s">
        <v>57</v>
      </c>
      <c r="AZ33" t="s">
        <v>55</v>
      </c>
      <c r="BA33" t="s">
        <v>58</v>
      </c>
      <c r="BB33" t="s">
        <v>58</v>
      </c>
    </row>
    <row r="34" spans="1:54" x14ac:dyDescent="0.25">
      <c r="A34" t="s">
        <v>54</v>
      </c>
      <c r="B34" t="s">
        <v>54</v>
      </c>
      <c r="C34" t="s">
        <v>54</v>
      </c>
      <c r="D34" t="s">
        <v>156</v>
      </c>
      <c r="E34" t="s">
        <v>54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  <c r="K34" t="s">
        <v>166</v>
      </c>
      <c r="L34">
        <v>-1</v>
      </c>
      <c r="M34">
        <v>0</v>
      </c>
      <c r="N34">
        <v>-1</v>
      </c>
      <c r="O34">
        <v>0</v>
      </c>
      <c r="P34" t="s">
        <v>70</v>
      </c>
      <c r="Q34">
        <v>0</v>
      </c>
      <c r="R34">
        <v>0</v>
      </c>
      <c r="S34">
        <v>780</v>
      </c>
      <c r="T34" t="s">
        <v>57</v>
      </c>
      <c r="U34">
        <v>0</v>
      </c>
      <c r="V34">
        <v>0</v>
      </c>
      <c r="W34">
        <v>0</v>
      </c>
      <c r="X34">
        <v>0</v>
      </c>
      <c r="Y34" t="s">
        <v>67</v>
      </c>
      <c r="Z34">
        <v>0</v>
      </c>
      <c r="AA34">
        <v>0</v>
      </c>
      <c r="AB34">
        <v>0</v>
      </c>
      <c r="AC34">
        <v>0</v>
      </c>
      <c r="AD34" t="s">
        <v>60</v>
      </c>
      <c r="AE34">
        <v>0</v>
      </c>
      <c r="AF34">
        <v>0</v>
      </c>
      <c r="AG34">
        <v>0</v>
      </c>
      <c r="AH34">
        <v>0</v>
      </c>
      <c r="AI34" t="b">
        <v>0</v>
      </c>
      <c r="AJ34" t="s">
        <v>58</v>
      </c>
      <c r="AK34" t="s">
        <v>58</v>
      </c>
      <c r="AL34" t="s">
        <v>71</v>
      </c>
      <c r="AM34">
        <v>14</v>
      </c>
      <c r="AN34">
        <v>0</v>
      </c>
      <c r="AO34">
        <v>0</v>
      </c>
      <c r="AP34">
        <v>11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s">
        <v>61</v>
      </c>
      <c r="AY34" t="s">
        <v>57</v>
      </c>
      <c r="AZ34" t="s">
        <v>55</v>
      </c>
      <c r="BA34" t="s">
        <v>58</v>
      </c>
      <c r="BB34" t="s">
        <v>58</v>
      </c>
    </row>
    <row r="35" spans="1:54" x14ac:dyDescent="0.25">
      <c r="A35" t="s">
        <v>54</v>
      </c>
      <c r="B35" t="s">
        <v>54</v>
      </c>
      <c r="C35" t="s">
        <v>54</v>
      </c>
      <c r="D35" t="s">
        <v>148</v>
      </c>
      <c r="E35" t="s">
        <v>54</v>
      </c>
      <c r="F35" t="s">
        <v>54</v>
      </c>
      <c r="G35" t="s">
        <v>54</v>
      </c>
      <c r="H35" t="s">
        <v>54</v>
      </c>
      <c r="I35" t="s">
        <v>54</v>
      </c>
      <c r="J35" t="s">
        <v>54</v>
      </c>
      <c r="K35" t="s">
        <v>162</v>
      </c>
      <c r="L35">
        <v>-1</v>
      </c>
      <c r="M35">
        <v>0</v>
      </c>
      <c r="N35">
        <v>-1</v>
      </c>
      <c r="O35">
        <v>0</v>
      </c>
      <c r="P35" t="s">
        <v>70</v>
      </c>
      <c r="Q35">
        <v>0</v>
      </c>
      <c r="R35">
        <v>0</v>
      </c>
      <c r="S35">
        <v>1200</v>
      </c>
      <c r="T35" t="s">
        <v>57</v>
      </c>
      <c r="U35">
        <v>0</v>
      </c>
      <c r="V35">
        <v>0</v>
      </c>
      <c r="W35">
        <v>0</v>
      </c>
      <c r="X35">
        <v>0</v>
      </c>
      <c r="Y35" t="s">
        <v>67</v>
      </c>
      <c r="Z35">
        <v>0</v>
      </c>
      <c r="AA35">
        <v>0</v>
      </c>
      <c r="AB35">
        <v>0</v>
      </c>
      <c r="AC35">
        <v>0</v>
      </c>
      <c r="AD35" t="s">
        <v>63</v>
      </c>
      <c r="AE35">
        <v>0</v>
      </c>
      <c r="AF35">
        <v>0</v>
      </c>
      <c r="AG35">
        <v>0</v>
      </c>
      <c r="AH35">
        <v>0</v>
      </c>
      <c r="AI35" t="b">
        <v>0</v>
      </c>
      <c r="AJ35" t="s">
        <v>58</v>
      </c>
      <c r="AK35" t="s">
        <v>58</v>
      </c>
      <c r="AL35" t="s">
        <v>66</v>
      </c>
      <c r="AM35">
        <v>14</v>
      </c>
      <c r="AN35">
        <v>2</v>
      </c>
      <c r="AO35">
        <v>10</v>
      </c>
      <c r="AP35">
        <v>11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s">
        <v>61</v>
      </c>
      <c r="AY35" t="s">
        <v>57</v>
      </c>
      <c r="AZ35" t="s">
        <v>55</v>
      </c>
      <c r="BA35" t="s">
        <v>58</v>
      </c>
      <c r="BB35" t="s">
        <v>58</v>
      </c>
    </row>
    <row r="36" spans="1:54" x14ac:dyDescent="0.25">
      <c r="A36" t="s">
        <v>54</v>
      </c>
      <c r="B36" t="s">
        <v>54</v>
      </c>
      <c r="C36" t="s">
        <v>54</v>
      </c>
      <c r="D36" t="s">
        <v>148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147</v>
      </c>
      <c r="L36">
        <v>-1</v>
      </c>
      <c r="M36">
        <v>0</v>
      </c>
      <c r="N36">
        <v>-1</v>
      </c>
      <c r="O36">
        <v>0</v>
      </c>
      <c r="P36" t="s">
        <v>70</v>
      </c>
      <c r="Q36">
        <v>0</v>
      </c>
      <c r="R36">
        <v>0</v>
      </c>
      <c r="S36">
        <v>780</v>
      </c>
      <c r="T36" t="s">
        <v>57</v>
      </c>
      <c r="U36">
        <v>0</v>
      </c>
      <c r="V36">
        <v>0</v>
      </c>
      <c r="W36">
        <v>0</v>
      </c>
      <c r="X36">
        <v>0</v>
      </c>
      <c r="Y36" t="s">
        <v>67</v>
      </c>
      <c r="Z36">
        <v>0</v>
      </c>
      <c r="AA36">
        <v>0</v>
      </c>
      <c r="AB36">
        <v>0</v>
      </c>
      <c r="AC36">
        <v>0</v>
      </c>
      <c r="AD36" t="s">
        <v>60</v>
      </c>
      <c r="AE36">
        <v>0</v>
      </c>
      <c r="AF36">
        <v>0</v>
      </c>
      <c r="AG36">
        <v>0</v>
      </c>
      <c r="AH36">
        <v>0</v>
      </c>
      <c r="AI36" t="b">
        <v>0</v>
      </c>
      <c r="AJ36" t="s">
        <v>58</v>
      </c>
      <c r="AK36" t="s">
        <v>58</v>
      </c>
      <c r="AL36" t="s">
        <v>71</v>
      </c>
      <c r="AM36">
        <v>14</v>
      </c>
      <c r="AN36">
        <v>0</v>
      </c>
      <c r="AO36">
        <v>1</v>
      </c>
      <c r="AP36">
        <v>11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s">
        <v>61</v>
      </c>
      <c r="AY36" t="s">
        <v>57</v>
      </c>
      <c r="AZ36" t="s">
        <v>55</v>
      </c>
      <c r="BA36" t="s">
        <v>58</v>
      </c>
      <c r="BB36" t="s">
        <v>58</v>
      </c>
    </row>
    <row r="37" spans="1:54" x14ac:dyDescent="0.25">
      <c r="A37" t="s">
        <v>54</v>
      </c>
      <c r="B37" t="s">
        <v>54</v>
      </c>
      <c r="C37" t="s">
        <v>54</v>
      </c>
      <c r="D37" t="s">
        <v>147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169</v>
      </c>
      <c r="L37">
        <v>-1</v>
      </c>
      <c r="M37">
        <v>0</v>
      </c>
      <c r="N37">
        <v>-1</v>
      </c>
      <c r="O37">
        <v>0</v>
      </c>
      <c r="P37" t="s">
        <v>70</v>
      </c>
      <c r="Q37">
        <v>0</v>
      </c>
      <c r="R37">
        <v>0</v>
      </c>
      <c r="S37">
        <v>1200</v>
      </c>
      <c r="T37" t="s">
        <v>57</v>
      </c>
      <c r="U37">
        <v>0</v>
      </c>
      <c r="V37">
        <v>0</v>
      </c>
      <c r="W37">
        <v>0</v>
      </c>
      <c r="X37">
        <v>0</v>
      </c>
      <c r="Y37" t="s">
        <v>67</v>
      </c>
      <c r="Z37">
        <v>0</v>
      </c>
      <c r="AA37">
        <v>0</v>
      </c>
      <c r="AB37">
        <v>0</v>
      </c>
      <c r="AC37">
        <v>0</v>
      </c>
      <c r="AD37" t="s">
        <v>68</v>
      </c>
      <c r="AE37">
        <v>0</v>
      </c>
      <c r="AF37">
        <v>0</v>
      </c>
      <c r="AG37">
        <v>0</v>
      </c>
      <c r="AH37">
        <v>0</v>
      </c>
      <c r="AI37" t="b">
        <v>0</v>
      </c>
      <c r="AJ37" t="s">
        <v>58</v>
      </c>
      <c r="AK37" t="s">
        <v>58</v>
      </c>
      <c r="AL37" t="s">
        <v>66</v>
      </c>
      <c r="AM37">
        <v>14</v>
      </c>
      <c r="AN37">
        <v>2</v>
      </c>
      <c r="AO37">
        <v>5</v>
      </c>
      <c r="AP37">
        <v>11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s">
        <v>61</v>
      </c>
      <c r="AY37" t="s">
        <v>57</v>
      </c>
      <c r="AZ37" t="s">
        <v>55</v>
      </c>
      <c r="BA37" t="s">
        <v>58</v>
      </c>
      <c r="BB37" t="s">
        <v>58</v>
      </c>
    </row>
    <row r="38" spans="1:54" x14ac:dyDescent="0.25">
      <c r="A38" t="s">
        <v>54</v>
      </c>
      <c r="B38" t="s">
        <v>54</v>
      </c>
      <c r="C38" t="s">
        <v>54</v>
      </c>
      <c r="D38" t="s">
        <v>149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155</v>
      </c>
      <c r="L38">
        <v>-1</v>
      </c>
      <c r="M38">
        <v>0</v>
      </c>
      <c r="N38">
        <v>-1</v>
      </c>
      <c r="O38">
        <v>0</v>
      </c>
      <c r="P38" t="s">
        <v>70</v>
      </c>
      <c r="Q38">
        <v>0</v>
      </c>
      <c r="R38">
        <v>0</v>
      </c>
      <c r="S38">
        <v>1140</v>
      </c>
      <c r="T38" t="s">
        <v>57</v>
      </c>
      <c r="U38">
        <v>0</v>
      </c>
      <c r="V38">
        <v>0</v>
      </c>
      <c r="W38">
        <v>0</v>
      </c>
      <c r="X38">
        <v>0</v>
      </c>
      <c r="Y38" t="s">
        <v>67</v>
      </c>
      <c r="Z38">
        <v>0</v>
      </c>
      <c r="AA38">
        <v>0</v>
      </c>
      <c r="AB38">
        <v>0</v>
      </c>
      <c r="AC38">
        <v>0</v>
      </c>
      <c r="AD38" t="s">
        <v>68</v>
      </c>
      <c r="AE38">
        <v>0</v>
      </c>
      <c r="AF38">
        <v>0</v>
      </c>
      <c r="AG38">
        <v>0</v>
      </c>
      <c r="AH38">
        <v>0</v>
      </c>
      <c r="AI38" t="b">
        <v>0</v>
      </c>
      <c r="AJ38" t="s">
        <v>58</v>
      </c>
      <c r="AK38" t="s">
        <v>58</v>
      </c>
      <c r="AL38" t="s">
        <v>66</v>
      </c>
      <c r="AM38">
        <v>14</v>
      </c>
      <c r="AN38">
        <v>2</v>
      </c>
      <c r="AO38">
        <v>3</v>
      </c>
      <c r="AP38">
        <v>11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s">
        <v>61</v>
      </c>
      <c r="AY38" t="s">
        <v>57</v>
      </c>
      <c r="AZ38" t="s">
        <v>55</v>
      </c>
      <c r="BA38" t="s">
        <v>58</v>
      </c>
      <c r="BB38" t="s">
        <v>58</v>
      </c>
    </row>
    <row r="39" spans="1:54" x14ac:dyDescent="0.25">
      <c r="A39" t="s">
        <v>54</v>
      </c>
      <c r="B39" t="s">
        <v>54</v>
      </c>
      <c r="C39" t="s">
        <v>54</v>
      </c>
      <c r="D39" t="s">
        <v>157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167</v>
      </c>
      <c r="L39">
        <v>-1</v>
      </c>
      <c r="M39">
        <v>0</v>
      </c>
      <c r="N39">
        <v>-1</v>
      </c>
      <c r="O39">
        <v>0</v>
      </c>
      <c r="P39" t="s">
        <v>70</v>
      </c>
      <c r="Q39">
        <v>0</v>
      </c>
      <c r="R39">
        <v>0</v>
      </c>
      <c r="S39">
        <v>1260</v>
      </c>
      <c r="T39" t="s">
        <v>57</v>
      </c>
      <c r="U39">
        <v>0</v>
      </c>
      <c r="V39">
        <v>0</v>
      </c>
      <c r="W39">
        <v>0</v>
      </c>
      <c r="X39">
        <v>0</v>
      </c>
      <c r="Y39" t="s">
        <v>67</v>
      </c>
      <c r="Z39">
        <v>0</v>
      </c>
      <c r="AA39">
        <v>0</v>
      </c>
      <c r="AB39">
        <v>0</v>
      </c>
      <c r="AC39">
        <v>0</v>
      </c>
      <c r="AD39" t="s">
        <v>65</v>
      </c>
      <c r="AE39">
        <v>0</v>
      </c>
      <c r="AF39">
        <v>0</v>
      </c>
      <c r="AG39">
        <v>0</v>
      </c>
      <c r="AH39">
        <v>0</v>
      </c>
      <c r="AI39" t="b">
        <v>0</v>
      </c>
      <c r="AJ39" t="s">
        <v>58</v>
      </c>
      <c r="AK39" t="s">
        <v>58</v>
      </c>
      <c r="AL39" t="s">
        <v>66</v>
      </c>
      <c r="AM39">
        <v>14</v>
      </c>
      <c r="AN39">
        <v>2</v>
      </c>
      <c r="AO39">
        <v>2</v>
      </c>
      <c r="AP39">
        <v>11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s">
        <v>61</v>
      </c>
      <c r="AY39" t="s">
        <v>57</v>
      </c>
      <c r="AZ39" t="s">
        <v>55</v>
      </c>
      <c r="BA39" t="s">
        <v>58</v>
      </c>
      <c r="BB39" t="s">
        <v>58</v>
      </c>
    </row>
    <row r="40" spans="1:54" x14ac:dyDescent="0.25">
      <c r="A40" t="s">
        <v>54</v>
      </c>
      <c r="B40" t="s">
        <v>54</v>
      </c>
      <c r="C40" t="s">
        <v>54</v>
      </c>
      <c r="D40" t="s">
        <v>160</v>
      </c>
      <c r="E40" t="s">
        <v>54</v>
      </c>
      <c r="F40" t="s">
        <v>54</v>
      </c>
      <c r="G40" t="s">
        <v>54</v>
      </c>
      <c r="H40" t="s">
        <v>54</v>
      </c>
      <c r="I40" t="s">
        <v>54</v>
      </c>
      <c r="J40" t="s">
        <v>54</v>
      </c>
      <c r="K40" t="s">
        <v>144</v>
      </c>
      <c r="L40">
        <v>-1</v>
      </c>
      <c r="M40">
        <v>0</v>
      </c>
      <c r="N40">
        <v>-1</v>
      </c>
      <c r="O40">
        <v>0</v>
      </c>
      <c r="P40" t="s">
        <v>70</v>
      </c>
      <c r="Q40">
        <v>0</v>
      </c>
      <c r="R40">
        <v>0</v>
      </c>
      <c r="S40">
        <v>1200</v>
      </c>
      <c r="T40" t="s">
        <v>57</v>
      </c>
      <c r="U40">
        <v>0</v>
      </c>
      <c r="V40">
        <v>0</v>
      </c>
      <c r="W40">
        <v>0</v>
      </c>
      <c r="X40">
        <v>0</v>
      </c>
      <c r="Y40" t="s">
        <v>67</v>
      </c>
      <c r="Z40">
        <v>0</v>
      </c>
      <c r="AA40">
        <v>0</v>
      </c>
      <c r="AB40">
        <v>0</v>
      </c>
      <c r="AC40">
        <v>0</v>
      </c>
      <c r="AD40" t="s">
        <v>63</v>
      </c>
      <c r="AE40">
        <v>0</v>
      </c>
      <c r="AF40">
        <v>0</v>
      </c>
      <c r="AG40">
        <v>0</v>
      </c>
      <c r="AH40">
        <v>0</v>
      </c>
      <c r="AI40" t="b">
        <v>0</v>
      </c>
      <c r="AJ40" t="s">
        <v>58</v>
      </c>
      <c r="AK40" t="s">
        <v>58</v>
      </c>
      <c r="AL40" t="s">
        <v>66</v>
      </c>
      <c r="AM40">
        <v>14</v>
      </c>
      <c r="AN40">
        <v>2</v>
      </c>
      <c r="AO40">
        <v>11</v>
      </c>
      <c r="AP40">
        <v>11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s">
        <v>61</v>
      </c>
      <c r="AY40" t="s">
        <v>57</v>
      </c>
      <c r="AZ40" t="s">
        <v>55</v>
      </c>
      <c r="BA40" t="s">
        <v>58</v>
      </c>
      <c r="BB40" t="s">
        <v>58</v>
      </c>
    </row>
    <row r="41" spans="1:54" x14ac:dyDescent="0.25">
      <c r="A41" t="s">
        <v>54</v>
      </c>
      <c r="B41" t="s">
        <v>54</v>
      </c>
      <c r="C41" t="s">
        <v>54</v>
      </c>
      <c r="D41" t="s">
        <v>146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 t="s">
        <v>168</v>
      </c>
      <c r="L41">
        <v>-1</v>
      </c>
      <c r="M41">
        <v>0</v>
      </c>
      <c r="N41">
        <v>-1</v>
      </c>
      <c r="O41">
        <v>0</v>
      </c>
      <c r="P41" t="s">
        <v>70</v>
      </c>
      <c r="Q41">
        <v>0</v>
      </c>
      <c r="R41">
        <v>0</v>
      </c>
      <c r="S41">
        <v>1380</v>
      </c>
      <c r="T41" t="s">
        <v>57</v>
      </c>
      <c r="U41">
        <v>0</v>
      </c>
      <c r="V41">
        <v>0</v>
      </c>
      <c r="W41">
        <v>0</v>
      </c>
      <c r="X41">
        <v>0</v>
      </c>
      <c r="Y41" t="s">
        <v>67</v>
      </c>
      <c r="Z41">
        <v>0</v>
      </c>
      <c r="AA41">
        <v>0</v>
      </c>
      <c r="AB41">
        <v>0</v>
      </c>
      <c r="AC41">
        <v>0</v>
      </c>
      <c r="AD41" t="s">
        <v>63</v>
      </c>
      <c r="AE41">
        <v>0</v>
      </c>
      <c r="AF41">
        <v>0</v>
      </c>
      <c r="AG41">
        <v>0</v>
      </c>
      <c r="AH41">
        <v>0</v>
      </c>
      <c r="AI41" t="b">
        <v>0</v>
      </c>
      <c r="AJ41" t="s">
        <v>58</v>
      </c>
      <c r="AK41" t="s">
        <v>58</v>
      </c>
      <c r="AL41" t="s">
        <v>66</v>
      </c>
      <c r="AM41">
        <v>14</v>
      </c>
      <c r="AN41">
        <v>2</v>
      </c>
      <c r="AO41">
        <v>15</v>
      </c>
      <c r="AP41">
        <v>11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s">
        <v>61</v>
      </c>
      <c r="AY41" t="s">
        <v>57</v>
      </c>
      <c r="AZ41" t="s">
        <v>55</v>
      </c>
      <c r="BA41" t="s">
        <v>58</v>
      </c>
      <c r="BB41" t="s">
        <v>58</v>
      </c>
    </row>
    <row r="42" spans="1:54" x14ac:dyDescent="0.25">
      <c r="A42" t="s">
        <v>54</v>
      </c>
      <c r="B42" t="s">
        <v>54</v>
      </c>
      <c r="C42" t="s">
        <v>54</v>
      </c>
      <c r="D42" t="s">
        <v>172</v>
      </c>
      <c r="E42" t="s">
        <v>54</v>
      </c>
      <c r="F42" t="s">
        <v>54</v>
      </c>
      <c r="G42" t="s">
        <v>54</v>
      </c>
      <c r="H42" t="s">
        <v>54</v>
      </c>
      <c r="I42" t="s">
        <v>54</v>
      </c>
      <c r="J42" t="s">
        <v>54</v>
      </c>
      <c r="K42" t="s">
        <v>153</v>
      </c>
      <c r="L42">
        <v>-1</v>
      </c>
      <c r="M42">
        <v>0</v>
      </c>
      <c r="N42">
        <v>-1</v>
      </c>
      <c r="O42">
        <v>0</v>
      </c>
      <c r="P42" t="s">
        <v>70</v>
      </c>
      <c r="Q42">
        <v>0</v>
      </c>
      <c r="R42">
        <v>0</v>
      </c>
      <c r="S42">
        <v>1200</v>
      </c>
      <c r="T42" t="s">
        <v>57</v>
      </c>
      <c r="U42">
        <v>0</v>
      </c>
      <c r="V42">
        <v>0</v>
      </c>
      <c r="W42">
        <v>0</v>
      </c>
      <c r="X42">
        <v>0</v>
      </c>
      <c r="Y42" t="s">
        <v>67</v>
      </c>
      <c r="Z42">
        <v>0</v>
      </c>
      <c r="AA42">
        <v>0</v>
      </c>
      <c r="AB42">
        <v>0</v>
      </c>
      <c r="AC42">
        <v>0</v>
      </c>
      <c r="AD42" t="s">
        <v>68</v>
      </c>
      <c r="AE42">
        <v>0</v>
      </c>
      <c r="AF42">
        <v>0</v>
      </c>
      <c r="AG42">
        <v>0</v>
      </c>
      <c r="AH42">
        <v>0</v>
      </c>
      <c r="AI42" t="b">
        <v>0</v>
      </c>
      <c r="AJ42" t="s">
        <v>58</v>
      </c>
      <c r="AK42" t="s">
        <v>58</v>
      </c>
      <c r="AL42" t="s">
        <v>66</v>
      </c>
      <c r="AM42">
        <v>14</v>
      </c>
      <c r="AN42">
        <v>2</v>
      </c>
      <c r="AO42">
        <v>6</v>
      </c>
      <c r="AP42">
        <v>11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s">
        <v>61</v>
      </c>
      <c r="AY42" t="s">
        <v>57</v>
      </c>
      <c r="AZ42" t="s">
        <v>55</v>
      </c>
      <c r="BA42" t="s">
        <v>58</v>
      </c>
      <c r="BB42" t="s">
        <v>58</v>
      </c>
    </row>
    <row r="43" spans="1:54" x14ac:dyDescent="0.25">
      <c r="A43" t="s">
        <v>54</v>
      </c>
      <c r="B43" t="s">
        <v>54</v>
      </c>
      <c r="C43" t="s">
        <v>54</v>
      </c>
      <c r="D43" t="s">
        <v>153</v>
      </c>
      <c r="E43" t="s">
        <v>54</v>
      </c>
      <c r="F43" t="s">
        <v>54</v>
      </c>
      <c r="G43" t="s">
        <v>54</v>
      </c>
      <c r="H43" t="s">
        <v>54</v>
      </c>
      <c r="I43" t="s">
        <v>54</v>
      </c>
      <c r="J43" t="s">
        <v>54</v>
      </c>
      <c r="K43" t="s">
        <v>163</v>
      </c>
      <c r="L43">
        <v>-1</v>
      </c>
      <c r="M43">
        <v>0</v>
      </c>
      <c r="N43">
        <v>-1</v>
      </c>
      <c r="O43">
        <v>0</v>
      </c>
      <c r="P43" t="s">
        <v>70</v>
      </c>
      <c r="Q43">
        <v>0</v>
      </c>
      <c r="R43">
        <v>0</v>
      </c>
      <c r="S43">
        <v>1140</v>
      </c>
      <c r="T43" t="s">
        <v>57</v>
      </c>
      <c r="U43">
        <v>0</v>
      </c>
      <c r="V43">
        <v>0</v>
      </c>
      <c r="W43">
        <v>0</v>
      </c>
      <c r="X43">
        <v>0</v>
      </c>
      <c r="Y43" t="s">
        <v>67</v>
      </c>
      <c r="Z43">
        <v>0</v>
      </c>
      <c r="AA43">
        <v>0</v>
      </c>
      <c r="AB43">
        <v>0</v>
      </c>
      <c r="AC43">
        <v>0</v>
      </c>
      <c r="AD43" t="s">
        <v>63</v>
      </c>
      <c r="AE43">
        <v>0</v>
      </c>
      <c r="AF43">
        <v>0</v>
      </c>
      <c r="AG43">
        <v>0</v>
      </c>
      <c r="AH43">
        <v>0</v>
      </c>
      <c r="AI43" t="b">
        <v>0</v>
      </c>
      <c r="AJ43" t="s">
        <v>58</v>
      </c>
      <c r="AK43" t="s">
        <v>58</v>
      </c>
      <c r="AL43" t="s">
        <v>66</v>
      </c>
      <c r="AM43">
        <v>14</v>
      </c>
      <c r="AN43">
        <v>1</v>
      </c>
      <c r="AO43">
        <v>11</v>
      </c>
      <c r="AP43">
        <v>11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s">
        <v>61</v>
      </c>
      <c r="AY43" t="s">
        <v>57</v>
      </c>
      <c r="AZ43" t="s">
        <v>55</v>
      </c>
      <c r="BA43" t="s">
        <v>58</v>
      </c>
      <c r="BB43" t="s">
        <v>58</v>
      </c>
    </row>
    <row r="44" spans="1:54" x14ac:dyDescent="0.25">
      <c r="A44" t="s">
        <v>54</v>
      </c>
      <c r="B44" t="s">
        <v>54</v>
      </c>
      <c r="C44" t="s">
        <v>54</v>
      </c>
      <c r="D44" t="s">
        <v>173</v>
      </c>
      <c r="E44" t="s">
        <v>54</v>
      </c>
      <c r="F44" t="s">
        <v>54</v>
      </c>
      <c r="G44" t="s">
        <v>54</v>
      </c>
      <c r="H44" t="s">
        <v>54</v>
      </c>
      <c r="I44" t="s">
        <v>54</v>
      </c>
      <c r="J44" t="s">
        <v>54</v>
      </c>
      <c r="K44" t="s">
        <v>170</v>
      </c>
      <c r="L44">
        <v>-1</v>
      </c>
      <c r="M44">
        <v>0</v>
      </c>
      <c r="N44">
        <v>-1</v>
      </c>
      <c r="O44">
        <v>0</v>
      </c>
      <c r="P44" t="s">
        <v>70</v>
      </c>
      <c r="Q44">
        <v>0</v>
      </c>
      <c r="R44">
        <v>0</v>
      </c>
      <c r="S44">
        <v>1200</v>
      </c>
      <c r="T44" t="s">
        <v>57</v>
      </c>
      <c r="U44">
        <v>0</v>
      </c>
      <c r="V44">
        <v>0</v>
      </c>
      <c r="W44">
        <v>0</v>
      </c>
      <c r="X44">
        <v>0</v>
      </c>
      <c r="Y44" t="s">
        <v>67</v>
      </c>
      <c r="Z44">
        <v>0</v>
      </c>
      <c r="AA44">
        <v>0</v>
      </c>
      <c r="AB44">
        <v>0</v>
      </c>
      <c r="AC44">
        <v>0</v>
      </c>
      <c r="AD44" t="s">
        <v>68</v>
      </c>
      <c r="AE44">
        <v>0</v>
      </c>
      <c r="AF44">
        <v>0</v>
      </c>
      <c r="AG44">
        <v>0</v>
      </c>
      <c r="AH44">
        <v>0</v>
      </c>
      <c r="AI44" t="b">
        <v>0</v>
      </c>
      <c r="AJ44" t="s">
        <v>58</v>
      </c>
      <c r="AK44" t="s">
        <v>58</v>
      </c>
      <c r="AL44" t="s">
        <v>66</v>
      </c>
      <c r="AM44">
        <v>14</v>
      </c>
      <c r="AN44">
        <v>2</v>
      </c>
      <c r="AO44">
        <v>7</v>
      </c>
      <c r="AP44">
        <v>11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s">
        <v>61</v>
      </c>
      <c r="AY44" t="s">
        <v>57</v>
      </c>
      <c r="AZ44" t="s">
        <v>55</v>
      </c>
      <c r="BA44" t="s">
        <v>58</v>
      </c>
      <c r="BB44" t="s">
        <v>58</v>
      </c>
    </row>
    <row r="45" spans="1:54" x14ac:dyDescent="0.25">
      <c r="A45" t="s">
        <v>54</v>
      </c>
      <c r="B45" t="s">
        <v>54</v>
      </c>
      <c r="C45" t="s">
        <v>54</v>
      </c>
      <c r="D45" t="s">
        <v>174</v>
      </c>
      <c r="E45" t="s">
        <v>54</v>
      </c>
      <c r="F45" t="s">
        <v>54</v>
      </c>
      <c r="G45" t="s">
        <v>54</v>
      </c>
      <c r="H45" t="s">
        <v>54</v>
      </c>
      <c r="I45" t="s">
        <v>54</v>
      </c>
      <c r="J45" t="s">
        <v>54</v>
      </c>
      <c r="K45" t="s">
        <v>156</v>
      </c>
      <c r="L45">
        <v>-1</v>
      </c>
      <c r="M45">
        <v>0</v>
      </c>
      <c r="N45">
        <v>-1</v>
      </c>
      <c r="O45">
        <v>0</v>
      </c>
      <c r="P45" t="s">
        <v>70</v>
      </c>
      <c r="Q45">
        <v>0</v>
      </c>
      <c r="R45">
        <v>0</v>
      </c>
      <c r="S45">
        <v>1200</v>
      </c>
      <c r="T45" t="s">
        <v>57</v>
      </c>
      <c r="U45">
        <v>0</v>
      </c>
      <c r="V45">
        <v>0</v>
      </c>
      <c r="W45">
        <v>0</v>
      </c>
      <c r="X45">
        <v>0</v>
      </c>
      <c r="Y45" t="s">
        <v>67</v>
      </c>
      <c r="Z45">
        <v>0</v>
      </c>
      <c r="AA45">
        <v>0</v>
      </c>
      <c r="AB45">
        <v>0</v>
      </c>
      <c r="AC45">
        <v>0</v>
      </c>
      <c r="AD45" t="s">
        <v>63</v>
      </c>
      <c r="AE45">
        <v>0</v>
      </c>
      <c r="AF45">
        <v>0</v>
      </c>
      <c r="AG45">
        <v>0</v>
      </c>
      <c r="AH45">
        <v>0</v>
      </c>
      <c r="AI45" t="b">
        <v>0</v>
      </c>
      <c r="AJ45" t="s">
        <v>58</v>
      </c>
      <c r="AK45" t="s">
        <v>58</v>
      </c>
      <c r="AL45" t="s">
        <v>66</v>
      </c>
      <c r="AM45">
        <v>14</v>
      </c>
      <c r="AN45">
        <v>1</v>
      </c>
      <c r="AO45">
        <v>12</v>
      </c>
      <c r="AP45">
        <v>11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s">
        <v>61</v>
      </c>
      <c r="AY45" t="s">
        <v>57</v>
      </c>
      <c r="AZ45" t="s">
        <v>55</v>
      </c>
      <c r="BA45" t="s">
        <v>58</v>
      </c>
      <c r="BB45" t="s">
        <v>58</v>
      </c>
    </row>
    <row r="46" spans="1:54" x14ac:dyDescent="0.25">
      <c r="A46" t="s">
        <v>54</v>
      </c>
      <c r="B46" t="s">
        <v>54</v>
      </c>
      <c r="C46" t="s">
        <v>54</v>
      </c>
      <c r="D46" t="s">
        <v>154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54</v>
      </c>
      <c r="K46" t="s">
        <v>162</v>
      </c>
      <c r="L46">
        <v>90323</v>
      </c>
      <c r="M46">
        <v>0</v>
      </c>
      <c r="N46">
        <v>90322</v>
      </c>
      <c r="O46">
        <v>0</v>
      </c>
      <c r="P46" t="s">
        <v>70</v>
      </c>
      <c r="Q46">
        <v>0</v>
      </c>
      <c r="R46">
        <v>0</v>
      </c>
      <c r="S46">
        <v>1260</v>
      </c>
      <c r="T46" t="s">
        <v>57</v>
      </c>
      <c r="U46">
        <v>0</v>
      </c>
      <c r="V46">
        <v>0</v>
      </c>
      <c r="W46">
        <v>0</v>
      </c>
      <c r="X46">
        <v>0</v>
      </c>
      <c r="Y46" t="s">
        <v>67</v>
      </c>
      <c r="Z46">
        <v>0</v>
      </c>
      <c r="AA46">
        <v>0</v>
      </c>
      <c r="AB46">
        <v>0</v>
      </c>
      <c r="AC46">
        <v>0</v>
      </c>
      <c r="AD46" t="s">
        <v>63</v>
      </c>
      <c r="AE46">
        <v>0</v>
      </c>
      <c r="AF46">
        <v>0</v>
      </c>
      <c r="AG46">
        <v>0</v>
      </c>
      <c r="AH46">
        <v>0</v>
      </c>
      <c r="AI46" t="b">
        <v>0</v>
      </c>
      <c r="AJ46" t="s">
        <v>58</v>
      </c>
      <c r="AK46" t="s">
        <v>58</v>
      </c>
      <c r="AL46" t="s">
        <v>66</v>
      </c>
      <c r="AM46">
        <v>14</v>
      </c>
      <c r="AN46">
        <v>0</v>
      </c>
      <c r="AO46">
        <v>14</v>
      </c>
      <c r="AP46">
        <v>11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s">
        <v>61</v>
      </c>
      <c r="AY46" t="s">
        <v>57</v>
      </c>
      <c r="AZ46" t="s">
        <v>55</v>
      </c>
      <c r="BA46" t="s">
        <v>58</v>
      </c>
      <c r="BB46" t="s">
        <v>58</v>
      </c>
    </row>
    <row r="47" spans="1:54" x14ac:dyDescent="0.25">
      <c r="A47" t="s">
        <v>54</v>
      </c>
      <c r="B47" t="s">
        <v>54</v>
      </c>
      <c r="C47" t="s">
        <v>54</v>
      </c>
      <c r="D47" t="s">
        <v>162</v>
      </c>
      <c r="E47" t="s">
        <v>54</v>
      </c>
      <c r="F47" t="s">
        <v>54</v>
      </c>
      <c r="G47" t="s">
        <v>54</v>
      </c>
      <c r="H47" t="s">
        <v>54</v>
      </c>
      <c r="I47" t="s">
        <v>54</v>
      </c>
      <c r="J47" t="s">
        <v>54</v>
      </c>
      <c r="K47" t="s">
        <v>157</v>
      </c>
      <c r="L47">
        <v>-1</v>
      </c>
      <c r="M47">
        <v>0</v>
      </c>
      <c r="N47">
        <v>-1</v>
      </c>
      <c r="O47">
        <v>0</v>
      </c>
      <c r="P47" t="s">
        <v>70</v>
      </c>
      <c r="Q47">
        <v>0</v>
      </c>
      <c r="R47">
        <v>0</v>
      </c>
      <c r="S47">
        <v>1140</v>
      </c>
      <c r="T47" t="s">
        <v>57</v>
      </c>
      <c r="U47">
        <v>0</v>
      </c>
      <c r="V47">
        <v>0</v>
      </c>
      <c r="W47">
        <v>0</v>
      </c>
      <c r="X47">
        <v>0</v>
      </c>
      <c r="Y47" t="s">
        <v>67</v>
      </c>
      <c r="Z47">
        <v>0</v>
      </c>
      <c r="AA47">
        <v>0</v>
      </c>
      <c r="AB47">
        <v>0</v>
      </c>
      <c r="AC47">
        <v>0</v>
      </c>
      <c r="AD47" t="s">
        <v>69</v>
      </c>
      <c r="AE47">
        <v>0</v>
      </c>
      <c r="AF47">
        <v>0</v>
      </c>
      <c r="AG47">
        <v>0</v>
      </c>
      <c r="AH47">
        <v>0</v>
      </c>
      <c r="AI47" t="b">
        <v>0</v>
      </c>
      <c r="AJ47" t="s">
        <v>58</v>
      </c>
      <c r="AK47" t="s">
        <v>58</v>
      </c>
      <c r="AL47" t="s">
        <v>66</v>
      </c>
      <c r="AM47">
        <v>14</v>
      </c>
      <c r="AN47">
        <v>1</v>
      </c>
      <c r="AO47">
        <v>8</v>
      </c>
      <c r="AP47">
        <v>11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s">
        <v>61</v>
      </c>
      <c r="AY47" t="s">
        <v>57</v>
      </c>
      <c r="AZ47" t="s">
        <v>55</v>
      </c>
      <c r="BA47" t="s">
        <v>58</v>
      </c>
      <c r="BB47" t="s">
        <v>58</v>
      </c>
    </row>
    <row r="48" spans="1:54" x14ac:dyDescent="0.25">
      <c r="A48" t="s">
        <v>54</v>
      </c>
      <c r="B48" t="s">
        <v>54</v>
      </c>
      <c r="C48" t="s">
        <v>54</v>
      </c>
      <c r="D48" t="s">
        <v>158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172</v>
      </c>
      <c r="L48">
        <v>-1</v>
      </c>
      <c r="M48">
        <v>0</v>
      </c>
      <c r="N48">
        <v>-1</v>
      </c>
      <c r="O48">
        <v>0</v>
      </c>
      <c r="P48" t="s">
        <v>70</v>
      </c>
      <c r="Q48">
        <v>0</v>
      </c>
      <c r="R48">
        <v>0</v>
      </c>
      <c r="S48">
        <v>1140</v>
      </c>
      <c r="T48" t="s">
        <v>57</v>
      </c>
      <c r="U48">
        <v>0</v>
      </c>
      <c r="V48">
        <v>0</v>
      </c>
      <c r="W48">
        <v>0</v>
      </c>
      <c r="X48">
        <v>0</v>
      </c>
      <c r="Y48" t="s">
        <v>65</v>
      </c>
      <c r="Z48">
        <v>0</v>
      </c>
      <c r="AA48">
        <v>0</v>
      </c>
      <c r="AB48">
        <v>0</v>
      </c>
      <c r="AC48">
        <v>0</v>
      </c>
      <c r="AD48" t="s">
        <v>65</v>
      </c>
      <c r="AE48">
        <v>0</v>
      </c>
      <c r="AF48">
        <v>0</v>
      </c>
      <c r="AG48">
        <v>0</v>
      </c>
      <c r="AH48">
        <v>0</v>
      </c>
      <c r="AI48" t="b">
        <v>0</v>
      </c>
      <c r="AJ48" t="s">
        <v>58</v>
      </c>
      <c r="AK48" t="s">
        <v>58</v>
      </c>
      <c r="AL48" t="s">
        <v>71</v>
      </c>
      <c r="AM48">
        <v>14</v>
      </c>
      <c r="AN48">
        <v>0</v>
      </c>
      <c r="AO48">
        <v>13</v>
      </c>
      <c r="AP48">
        <v>11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s">
        <v>61</v>
      </c>
      <c r="AY48" t="s">
        <v>57</v>
      </c>
      <c r="AZ48" t="s">
        <v>55</v>
      </c>
      <c r="BA48" t="s">
        <v>58</v>
      </c>
      <c r="BB48" t="s">
        <v>58</v>
      </c>
    </row>
    <row r="49" spans="1:54" x14ac:dyDescent="0.25">
      <c r="A49" t="s">
        <v>54</v>
      </c>
      <c r="B49" t="s">
        <v>54</v>
      </c>
      <c r="C49" t="s">
        <v>54</v>
      </c>
      <c r="D49" t="s">
        <v>157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162</v>
      </c>
      <c r="L49">
        <v>-1</v>
      </c>
      <c r="M49">
        <v>0</v>
      </c>
      <c r="N49">
        <v>-1</v>
      </c>
      <c r="O49">
        <v>0</v>
      </c>
      <c r="P49" t="s">
        <v>70</v>
      </c>
      <c r="Q49">
        <v>0</v>
      </c>
      <c r="R49">
        <v>0</v>
      </c>
      <c r="S49">
        <v>975</v>
      </c>
      <c r="T49" t="s">
        <v>57</v>
      </c>
      <c r="U49">
        <v>0</v>
      </c>
      <c r="V49">
        <v>0</v>
      </c>
      <c r="W49">
        <v>0</v>
      </c>
      <c r="X49">
        <v>0</v>
      </c>
      <c r="Y49" t="s">
        <v>67</v>
      </c>
      <c r="Z49">
        <v>0</v>
      </c>
      <c r="AA49">
        <v>0</v>
      </c>
      <c r="AB49">
        <v>0</v>
      </c>
      <c r="AC49">
        <v>0</v>
      </c>
      <c r="AD49" t="s">
        <v>60</v>
      </c>
      <c r="AE49">
        <v>0</v>
      </c>
      <c r="AF49">
        <v>0</v>
      </c>
      <c r="AG49">
        <v>0</v>
      </c>
      <c r="AH49">
        <v>0</v>
      </c>
      <c r="AI49" t="b">
        <v>0</v>
      </c>
      <c r="AJ49" t="s">
        <v>58</v>
      </c>
      <c r="AK49" t="s">
        <v>58</v>
      </c>
      <c r="AL49" t="s">
        <v>71</v>
      </c>
      <c r="AM49">
        <v>14</v>
      </c>
      <c r="AN49">
        <v>0</v>
      </c>
      <c r="AO49">
        <v>9</v>
      </c>
      <c r="AP49">
        <v>11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s">
        <v>61</v>
      </c>
      <c r="AY49" t="s">
        <v>57</v>
      </c>
      <c r="AZ49" t="s">
        <v>55</v>
      </c>
      <c r="BA49" t="s">
        <v>58</v>
      </c>
      <c r="BB49" t="s">
        <v>58</v>
      </c>
    </row>
    <row r="50" spans="1:54" x14ac:dyDescent="0.25">
      <c r="A50" t="s">
        <v>54</v>
      </c>
      <c r="B50" t="s">
        <v>54</v>
      </c>
      <c r="C50" t="s">
        <v>54</v>
      </c>
      <c r="D50" t="s">
        <v>173</v>
      </c>
      <c r="E50" t="s">
        <v>54</v>
      </c>
      <c r="F50" t="s">
        <v>54</v>
      </c>
      <c r="G50" t="s">
        <v>54</v>
      </c>
      <c r="H50" t="s">
        <v>54</v>
      </c>
      <c r="I50" t="s">
        <v>54</v>
      </c>
      <c r="J50" t="s">
        <v>54</v>
      </c>
      <c r="K50" t="s">
        <v>165</v>
      </c>
      <c r="L50">
        <v>-1</v>
      </c>
      <c r="M50">
        <v>0</v>
      </c>
      <c r="N50">
        <v>-1</v>
      </c>
      <c r="O50">
        <v>0</v>
      </c>
      <c r="P50" t="s">
        <v>70</v>
      </c>
      <c r="Q50">
        <v>0</v>
      </c>
      <c r="R50">
        <v>0</v>
      </c>
      <c r="S50">
        <v>780</v>
      </c>
      <c r="T50" t="s">
        <v>57</v>
      </c>
      <c r="U50">
        <v>0</v>
      </c>
      <c r="V50">
        <v>0</v>
      </c>
      <c r="W50">
        <v>0</v>
      </c>
      <c r="X50">
        <v>0</v>
      </c>
      <c r="Y50" t="s">
        <v>67</v>
      </c>
      <c r="Z50">
        <v>0</v>
      </c>
      <c r="AA50">
        <v>0</v>
      </c>
      <c r="AB50">
        <v>0</v>
      </c>
      <c r="AC50">
        <v>0</v>
      </c>
      <c r="AD50" t="s">
        <v>60</v>
      </c>
      <c r="AE50">
        <v>0</v>
      </c>
      <c r="AF50">
        <v>0</v>
      </c>
      <c r="AG50">
        <v>0</v>
      </c>
      <c r="AH50">
        <v>0</v>
      </c>
      <c r="AI50" t="b">
        <v>0</v>
      </c>
      <c r="AJ50" t="s">
        <v>58</v>
      </c>
      <c r="AK50" t="s">
        <v>58</v>
      </c>
      <c r="AL50" t="s">
        <v>71</v>
      </c>
      <c r="AM50">
        <v>14</v>
      </c>
      <c r="AN50">
        <v>0</v>
      </c>
      <c r="AO50">
        <v>2</v>
      </c>
      <c r="AP50">
        <v>11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s">
        <v>61</v>
      </c>
      <c r="AY50" t="s">
        <v>57</v>
      </c>
      <c r="AZ50" t="s">
        <v>55</v>
      </c>
      <c r="BA50" t="s">
        <v>58</v>
      </c>
      <c r="BB50" t="s">
        <v>58</v>
      </c>
    </row>
    <row r="51" spans="1:54" x14ac:dyDescent="0.25">
      <c r="A51" t="s">
        <v>54</v>
      </c>
      <c r="B51" t="s">
        <v>54</v>
      </c>
      <c r="C51" t="s">
        <v>54</v>
      </c>
      <c r="D51" t="s">
        <v>152</v>
      </c>
      <c r="E51" t="s">
        <v>54</v>
      </c>
      <c r="F51" t="s">
        <v>54</v>
      </c>
      <c r="G51" t="s">
        <v>54</v>
      </c>
      <c r="H51" t="s">
        <v>54</v>
      </c>
      <c r="I51" t="s">
        <v>54</v>
      </c>
      <c r="J51" t="s">
        <v>54</v>
      </c>
      <c r="K51" t="s">
        <v>145</v>
      </c>
      <c r="L51">
        <v>-1</v>
      </c>
      <c r="M51">
        <v>0</v>
      </c>
      <c r="N51">
        <v>-1</v>
      </c>
      <c r="O51">
        <v>0</v>
      </c>
      <c r="P51" t="s">
        <v>70</v>
      </c>
      <c r="Q51">
        <v>0</v>
      </c>
      <c r="R51">
        <v>0</v>
      </c>
      <c r="S51">
        <v>1140</v>
      </c>
      <c r="T51" t="s">
        <v>57</v>
      </c>
      <c r="U51">
        <v>0</v>
      </c>
      <c r="V51">
        <v>0</v>
      </c>
      <c r="W51">
        <v>0</v>
      </c>
      <c r="X51">
        <v>0</v>
      </c>
      <c r="Y51" t="s">
        <v>67</v>
      </c>
      <c r="Z51">
        <v>0</v>
      </c>
      <c r="AA51">
        <v>0</v>
      </c>
      <c r="AB51">
        <v>0</v>
      </c>
      <c r="AC51">
        <v>0</v>
      </c>
      <c r="AD51" t="s">
        <v>69</v>
      </c>
      <c r="AE51">
        <v>0</v>
      </c>
      <c r="AF51">
        <v>0</v>
      </c>
      <c r="AG51">
        <v>0</v>
      </c>
      <c r="AH51">
        <v>0</v>
      </c>
      <c r="AI51" t="b">
        <v>0</v>
      </c>
      <c r="AJ51" t="s">
        <v>58</v>
      </c>
      <c r="AK51" t="s">
        <v>58</v>
      </c>
      <c r="AL51" t="s">
        <v>66</v>
      </c>
      <c r="AM51">
        <v>14</v>
      </c>
      <c r="AN51">
        <v>2</v>
      </c>
      <c r="AO51">
        <v>8</v>
      </c>
      <c r="AP51">
        <v>11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s">
        <v>61</v>
      </c>
      <c r="AY51" t="s">
        <v>57</v>
      </c>
      <c r="AZ51" t="s">
        <v>55</v>
      </c>
      <c r="BA51" t="s">
        <v>58</v>
      </c>
      <c r="BB51" t="s">
        <v>58</v>
      </c>
    </row>
    <row r="52" spans="1:54" x14ac:dyDescent="0.25">
      <c r="A52" t="s">
        <v>54</v>
      </c>
      <c r="B52" t="s">
        <v>54</v>
      </c>
      <c r="C52" t="s">
        <v>54</v>
      </c>
      <c r="D52" t="s">
        <v>174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159</v>
      </c>
      <c r="L52">
        <v>-1</v>
      </c>
      <c r="M52">
        <v>0</v>
      </c>
      <c r="N52">
        <v>-1</v>
      </c>
      <c r="O52">
        <v>0</v>
      </c>
      <c r="P52" t="s">
        <v>70</v>
      </c>
      <c r="Q52">
        <v>0</v>
      </c>
      <c r="R52">
        <v>0</v>
      </c>
      <c r="S52">
        <v>780</v>
      </c>
      <c r="T52" t="s">
        <v>57</v>
      </c>
      <c r="U52">
        <v>0</v>
      </c>
      <c r="V52">
        <v>0</v>
      </c>
      <c r="W52">
        <v>0</v>
      </c>
      <c r="X52">
        <v>0</v>
      </c>
      <c r="Y52" t="s">
        <v>67</v>
      </c>
      <c r="Z52">
        <v>0</v>
      </c>
      <c r="AA52">
        <v>0</v>
      </c>
      <c r="AB52">
        <v>0</v>
      </c>
      <c r="AC52">
        <v>0</v>
      </c>
      <c r="AD52" t="s">
        <v>60</v>
      </c>
      <c r="AE52">
        <v>0</v>
      </c>
      <c r="AF52">
        <v>0</v>
      </c>
      <c r="AG52">
        <v>0</v>
      </c>
      <c r="AH52">
        <v>0</v>
      </c>
      <c r="AI52" t="b">
        <v>0</v>
      </c>
      <c r="AJ52" t="s">
        <v>58</v>
      </c>
      <c r="AK52" t="s">
        <v>58</v>
      </c>
      <c r="AL52" t="s">
        <v>71</v>
      </c>
      <c r="AM52">
        <v>14</v>
      </c>
      <c r="AN52">
        <v>0</v>
      </c>
      <c r="AO52">
        <v>3</v>
      </c>
      <c r="AP52">
        <v>11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s">
        <v>61</v>
      </c>
      <c r="AY52" t="s">
        <v>57</v>
      </c>
      <c r="AZ52" t="s">
        <v>55</v>
      </c>
      <c r="BA52" t="s">
        <v>58</v>
      </c>
      <c r="BB52" t="s">
        <v>58</v>
      </c>
    </row>
    <row r="53" spans="1:54" x14ac:dyDescent="0.25">
      <c r="A53" t="s">
        <v>54</v>
      </c>
      <c r="B53" t="s">
        <v>54</v>
      </c>
      <c r="C53" t="s">
        <v>54</v>
      </c>
      <c r="D53" t="s">
        <v>163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166</v>
      </c>
      <c r="L53">
        <v>-1</v>
      </c>
      <c r="M53">
        <v>0</v>
      </c>
      <c r="N53">
        <v>-1</v>
      </c>
      <c r="O53">
        <v>0</v>
      </c>
      <c r="P53" t="s">
        <v>70</v>
      </c>
      <c r="Q53">
        <v>0</v>
      </c>
      <c r="R53">
        <v>0</v>
      </c>
      <c r="S53">
        <v>1200</v>
      </c>
      <c r="T53" t="s">
        <v>57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0</v>
      </c>
      <c r="AA53">
        <v>0</v>
      </c>
      <c r="AB53">
        <v>0</v>
      </c>
      <c r="AC53">
        <v>0</v>
      </c>
      <c r="AD53" t="s">
        <v>60</v>
      </c>
      <c r="AE53">
        <v>0</v>
      </c>
      <c r="AF53">
        <v>0</v>
      </c>
      <c r="AG53">
        <v>0</v>
      </c>
      <c r="AH53">
        <v>0</v>
      </c>
      <c r="AI53" t="b">
        <v>0</v>
      </c>
      <c r="AJ53" t="s">
        <v>58</v>
      </c>
      <c r="AK53" t="s">
        <v>58</v>
      </c>
      <c r="AL53" t="s">
        <v>66</v>
      </c>
      <c r="AM53">
        <v>14</v>
      </c>
      <c r="AN53">
        <v>2</v>
      </c>
      <c r="AO53">
        <v>1</v>
      </c>
      <c r="AP53">
        <v>11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s">
        <v>61</v>
      </c>
      <c r="AY53" t="s">
        <v>57</v>
      </c>
      <c r="AZ53" t="s">
        <v>55</v>
      </c>
      <c r="BA53" t="s">
        <v>58</v>
      </c>
      <c r="BB53" t="s">
        <v>58</v>
      </c>
    </row>
    <row r="54" spans="1:54" x14ac:dyDescent="0.25">
      <c r="A54" t="s">
        <v>54</v>
      </c>
      <c r="B54" t="s">
        <v>54</v>
      </c>
      <c r="C54" t="s">
        <v>54</v>
      </c>
      <c r="D54" t="s">
        <v>164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149</v>
      </c>
      <c r="L54">
        <v>-1</v>
      </c>
      <c r="M54">
        <v>0</v>
      </c>
      <c r="N54">
        <v>-1</v>
      </c>
      <c r="O54">
        <v>0</v>
      </c>
      <c r="P54" t="s">
        <v>70</v>
      </c>
      <c r="Q54">
        <v>0</v>
      </c>
      <c r="R54">
        <v>0</v>
      </c>
      <c r="S54">
        <v>780</v>
      </c>
      <c r="T54" t="s">
        <v>57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>
        <v>0</v>
      </c>
      <c r="AC54">
        <v>0</v>
      </c>
      <c r="AD54" t="s">
        <v>60</v>
      </c>
      <c r="AE54">
        <v>0</v>
      </c>
      <c r="AF54">
        <v>0</v>
      </c>
      <c r="AG54">
        <v>0</v>
      </c>
      <c r="AH54">
        <v>0</v>
      </c>
      <c r="AI54" t="b">
        <v>0</v>
      </c>
      <c r="AJ54" t="s">
        <v>58</v>
      </c>
      <c r="AK54" t="s">
        <v>58</v>
      </c>
      <c r="AL54" t="s">
        <v>71</v>
      </c>
      <c r="AM54">
        <v>14</v>
      </c>
      <c r="AN54">
        <v>0</v>
      </c>
      <c r="AO54">
        <v>4</v>
      </c>
      <c r="AP54">
        <v>11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s">
        <v>61</v>
      </c>
      <c r="AY54" t="s">
        <v>57</v>
      </c>
      <c r="AZ54" t="s">
        <v>55</v>
      </c>
      <c r="BA54" t="s">
        <v>58</v>
      </c>
      <c r="BB54" t="s">
        <v>58</v>
      </c>
    </row>
    <row r="55" spans="1:54" x14ac:dyDescent="0.25">
      <c r="A55" t="s">
        <v>54</v>
      </c>
      <c r="B55" t="s">
        <v>54</v>
      </c>
      <c r="C55" t="s">
        <v>54</v>
      </c>
      <c r="D55" t="s">
        <v>154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161</v>
      </c>
      <c r="L55">
        <v>-1</v>
      </c>
      <c r="M55">
        <v>0</v>
      </c>
      <c r="N55">
        <v>-1</v>
      </c>
      <c r="O55">
        <v>0</v>
      </c>
      <c r="P55" t="s">
        <v>70</v>
      </c>
      <c r="Q55">
        <v>0</v>
      </c>
      <c r="R55">
        <v>0</v>
      </c>
      <c r="S55">
        <v>1140</v>
      </c>
      <c r="T55" t="s">
        <v>57</v>
      </c>
      <c r="U55">
        <v>0</v>
      </c>
      <c r="V55">
        <v>0</v>
      </c>
      <c r="W55">
        <v>0</v>
      </c>
      <c r="X55">
        <v>0</v>
      </c>
      <c r="Y55" t="s">
        <v>67</v>
      </c>
      <c r="Z55">
        <v>0</v>
      </c>
      <c r="AA55">
        <v>0</v>
      </c>
      <c r="AB55">
        <v>0</v>
      </c>
      <c r="AC55">
        <v>0</v>
      </c>
      <c r="AD55" t="s">
        <v>63</v>
      </c>
      <c r="AE55">
        <v>0</v>
      </c>
      <c r="AF55">
        <v>0</v>
      </c>
      <c r="AG55">
        <v>0</v>
      </c>
      <c r="AH55">
        <v>0</v>
      </c>
      <c r="AI55" t="b">
        <v>0</v>
      </c>
      <c r="AJ55" t="s">
        <v>58</v>
      </c>
      <c r="AK55" t="s">
        <v>58</v>
      </c>
      <c r="AL55" t="s">
        <v>66</v>
      </c>
      <c r="AM55">
        <v>14</v>
      </c>
      <c r="AN55">
        <v>2</v>
      </c>
      <c r="AO55">
        <v>9</v>
      </c>
      <c r="AP55">
        <v>11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s">
        <v>61</v>
      </c>
      <c r="AY55" t="s">
        <v>57</v>
      </c>
      <c r="AZ55" t="s">
        <v>55</v>
      </c>
      <c r="BA55" t="s">
        <v>58</v>
      </c>
      <c r="BB55" t="s">
        <v>58</v>
      </c>
    </row>
    <row r="56" spans="1:54" x14ac:dyDescent="0.25">
      <c r="A56" t="s">
        <v>54</v>
      </c>
      <c r="B56" t="s">
        <v>54</v>
      </c>
      <c r="C56" t="s">
        <v>54</v>
      </c>
      <c r="D56" t="s">
        <v>149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  <c r="J56" t="s">
        <v>54</v>
      </c>
      <c r="K56" t="s">
        <v>158</v>
      </c>
      <c r="L56">
        <v>-1</v>
      </c>
      <c r="M56">
        <v>0</v>
      </c>
      <c r="N56">
        <v>-1</v>
      </c>
      <c r="O56">
        <v>0</v>
      </c>
      <c r="P56" t="s">
        <v>70</v>
      </c>
      <c r="Q56">
        <v>0</v>
      </c>
      <c r="R56">
        <v>0</v>
      </c>
      <c r="S56">
        <v>780</v>
      </c>
      <c r="T56" t="s">
        <v>57</v>
      </c>
      <c r="U56">
        <v>0</v>
      </c>
      <c r="V56">
        <v>0</v>
      </c>
      <c r="W56">
        <v>0</v>
      </c>
      <c r="X56">
        <v>0</v>
      </c>
      <c r="Y56" t="s">
        <v>67</v>
      </c>
      <c r="Z56">
        <v>0</v>
      </c>
      <c r="AA56">
        <v>0</v>
      </c>
      <c r="AB56">
        <v>0</v>
      </c>
      <c r="AC56">
        <v>0</v>
      </c>
      <c r="AD56" t="s">
        <v>60</v>
      </c>
      <c r="AE56">
        <v>0</v>
      </c>
      <c r="AF56">
        <v>0</v>
      </c>
      <c r="AG56">
        <v>0</v>
      </c>
      <c r="AH56">
        <v>0</v>
      </c>
      <c r="AI56" t="b">
        <v>0</v>
      </c>
      <c r="AJ56" t="s">
        <v>58</v>
      </c>
      <c r="AK56" t="s">
        <v>58</v>
      </c>
      <c r="AL56" t="s">
        <v>71</v>
      </c>
      <c r="AM56">
        <v>14</v>
      </c>
      <c r="AN56">
        <v>1</v>
      </c>
      <c r="AO56">
        <v>0</v>
      </c>
      <c r="AP56">
        <v>11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s">
        <v>61</v>
      </c>
      <c r="AY56" t="s">
        <v>57</v>
      </c>
      <c r="AZ56" t="s">
        <v>55</v>
      </c>
      <c r="BA56" t="s">
        <v>58</v>
      </c>
      <c r="BB56" t="s">
        <v>58</v>
      </c>
    </row>
    <row r="57" spans="1:54" x14ac:dyDescent="0.25">
      <c r="A57" t="s">
        <v>54</v>
      </c>
      <c r="B57" t="s">
        <v>54</v>
      </c>
      <c r="C57" t="s">
        <v>54</v>
      </c>
      <c r="D57" t="s">
        <v>155</v>
      </c>
      <c r="E57" t="s">
        <v>54</v>
      </c>
      <c r="F57" t="s">
        <v>54</v>
      </c>
      <c r="G57" t="s">
        <v>54</v>
      </c>
      <c r="H57" t="s">
        <v>54</v>
      </c>
      <c r="I57" t="s">
        <v>54</v>
      </c>
      <c r="J57" t="s">
        <v>54</v>
      </c>
      <c r="K57" t="s">
        <v>143</v>
      </c>
      <c r="L57">
        <v>-1</v>
      </c>
      <c r="M57">
        <v>0</v>
      </c>
      <c r="N57">
        <v>-1</v>
      </c>
      <c r="O57">
        <v>0</v>
      </c>
      <c r="P57" t="s">
        <v>70</v>
      </c>
      <c r="Q57">
        <v>0</v>
      </c>
      <c r="R57">
        <v>0</v>
      </c>
      <c r="S57">
        <v>780</v>
      </c>
      <c r="T57" t="s">
        <v>57</v>
      </c>
      <c r="U57">
        <v>0</v>
      </c>
      <c r="V57">
        <v>0</v>
      </c>
      <c r="W57">
        <v>0</v>
      </c>
      <c r="X57">
        <v>0</v>
      </c>
      <c r="Y57" t="s">
        <v>67</v>
      </c>
      <c r="Z57">
        <v>0</v>
      </c>
      <c r="AA57">
        <v>0</v>
      </c>
      <c r="AB57">
        <v>0</v>
      </c>
      <c r="AC57">
        <v>0</v>
      </c>
      <c r="AD57" t="s">
        <v>60</v>
      </c>
      <c r="AE57">
        <v>0</v>
      </c>
      <c r="AF57">
        <v>0</v>
      </c>
      <c r="AG57">
        <v>0</v>
      </c>
      <c r="AH57">
        <v>0</v>
      </c>
      <c r="AI57" t="b">
        <v>0</v>
      </c>
      <c r="AJ57" t="s">
        <v>58</v>
      </c>
      <c r="AK57" t="s">
        <v>58</v>
      </c>
      <c r="AL57" t="s">
        <v>71</v>
      </c>
      <c r="AM57">
        <v>14</v>
      </c>
      <c r="AN57">
        <v>0</v>
      </c>
      <c r="AO57">
        <v>5</v>
      </c>
      <c r="AP57">
        <v>11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s">
        <v>61</v>
      </c>
      <c r="AY57" t="s">
        <v>57</v>
      </c>
      <c r="AZ57" t="s">
        <v>55</v>
      </c>
      <c r="BA57" t="s">
        <v>58</v>
      </c>
      <c r="BB57" t="s">
        <v>58</v>
      </c>
    </row>
    <row r="58" spans="1:54" x14ac:dyDescent="0.25">
      <c r="A58" t="s">
        <v>54</v>
      </c>
      <c r="B58" t="s">
        <v>54</v>
      </c>
      <c r="C58" t="s">
        <v>54</v>
      </c>
      <c r="D58" t="s">
        <v>153</v>
      </c>
      <c r="E58" t="s">
        <v>54</v>
      </c>
      <c r="F58" t="s">
        <v>54</v>
      </c>
      <c r="G58" t="s">
        <v>54</v>
      </c>
      <c r="H58" t="s">
        <v>54</v>
      </c>
      <c r="I58" t="s">
        <v>54</v>
      </c>
      <c r="J58" t="s">
        <v>54</v>
      </c>
      <c r="K58" t="s">
        <v>168</v>
      </c>
      <c r="L58">
        <v>-1</v>
      </c>
      <c r="M58">
        <v>0</v>
      </c>
      <c r="N58">
        <v>-1</v>
      </c>
      <c r="O58">
        <v>0</v>
      </c>
      <c r="P58" t="s">
        <v>70</v>
      </c>
      <c r="Q58">
        <v>0</v>
      </c>
      <c r="R58">
        <v>0</v>
      </c>
      <c r="S58">
        <v>965</v>
      </c>
      <c r="T58" t="s">
        <v>57</v>
      </c>
      <c r="U58">
        <v>0</v>
      </c>
      <c r="V58">
        <v>0</v>
      </c>
      <c r="W58">
        <v>0</v>
      </c>
      <c r="X58">
        <v>0</v>
      </c>
      <c r="Y58" t="s">
        <v>67</v>
      </c>
      <c r="Z58">
        <v>0</v>
      </c>
      <c r="AA58">
        <v>0</v>
      </c>
      <c r="AB58">
        <v>0</v>
      </c>
      <c r="AC58">
        <v>0</v>
      </c>
      <c r="AD58" t="s">
        <v>60</v>
      </c>
      <c r="AE58">
        <v>0</v>
      </c>
      <c r="AF58">
        <v>0</v>
      </c>
      <c r="AG58">
        <v>0</v>
      </c>
      <c r="AH58">
        <v>0</v>
      </c>
      <c r="AI58" t="b">
        <v>0</v>
      </c>
      <c r="AJ58" t="s">
        <v>58</v>
      </c>
      <c r="AK58" t="s">
        <v>58</v>
      </c>
      <c r="AL58" t="s">
        <v>71</v>
      </c>
      <c r="AM58">
        <v>14</v>
      </c>
      <c r="AN58">
        <v>0</v>
      </c>
      <c r="AO58">
        <v>8</v>
      </c>
      <c r="AP58">
        <v>11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s">
        <v>61</v>
      </c>
      <c r="AY58" t="s">
        <v>57</v>
      </c>
      <c r="AZ58" t="s">
        <v>55</v>
      </c>
      <c r="BA58" t="s">
        <v>58</v>
      </c>
      <c r="BB58" t="s">
        <v>58</v>
      </c>
    </row>
    <row r="59" spans="1:54" x14ac:dyDescent="0.25">
      <c r="A59" t="s">
        <v>54</v>
      </c>
      <c r="B59" t="s">
        <v>54</v>
      </c>
      <c r="C59" t="s">
        <v>54</v>
      </c>
      <c r="D59" t="s">
        <v>151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152</v>
      </c>
      <c r="L59">
        <v>-1</v>
      </c>
      <c r="M59">
        <v>0</v>
      </c>
      <c r="N59">
        <v>-1</v>
      </c>
      <c r="O59">
        <v>0</v>
      </c>
      <c r="P59" t="s">
        <v>70</v>
      </c>
      <c r="Q59">
        <v>0</v>
      </c>
      <c r="R59">
        <v>0</v>
      </c>
      <c r="S59">
        <v>1335</v>
      </c>
      <c r="T59" t="s">
        <v>57</v>
      </c>
      <c r="U59">
        <v>0</v>
      </c>
      <c r="V59">
        <v>0</v>
      </c>
      <c r="W59">
        <v>0</v>
      </c>
      <c r="X59">
        <v>0</v>
      </c>
      <c r="Y59" t="s">
        <v>65</v>
      </c>
      <c r="Z59">
        <v>0</v>
      </c>
      <c r="AA59">
        <v>0</v>
      </c>
      <c r="AB59">
        <v>0</v>
      </c>
      <c r="AC59">
        <v>0</v>
      </c>
      <c r="AD59" t="s">
        <v>65</v>
      </c>
      <c r="AE59">
        <v>0</v>
      </c>
      <c r="AF59">
        <v>0</v>
      </c>
      <c r="AG59">
        <v>0</v>
      </c>
      <c r="AH59">
        <v>0</v>
      </c>
      <c r="AI59" t="b">
        <v>0</v>
      </c>
      <c r="AJ59" t="s">
        <v>58</v>
      </c>
      <c r="AK59" t="s">
        <v>58</v>
      </c>
      <c r="AL59" t="s">
        <v>71</v>
      </c>
      <c r="AM59">
        <v>14</v>
      </c>
      <c r="AN59">
        <v>0</v>
      </c>
      <c r="AO59">
        <v>14</v>
      </c>
      <c r="AP59">
        <v>11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s">
        <v>61</v>
      </c>
      <c r="AY59" t="s">
        <v>57</v>
      </c>
      <c r="AZ59" t="s">
        <v>55</v>
      </c>
      <c r="BA59" t="s">
        <v>58</v>
      </c>
      <c r="BB59" t="s">
        <v>58</v>
      </c>
    </row>
    <row r="60" spans="1:54" x14ac:dyDescent="0.25">
      <c r="A60" t="s">
        <v>54</v>
      </c>
      <c r="B60" t="s">
        <v>54</v>
      </c>
      <c r="C60" t="s">
        <v>54</v>
      </c>
      <c r="D60" t="s">
        <v>151</v>
      </c>
      <c r="E60" t="s">
        <v>54</v>
      </c>
      <c r="F60" t="s">
        <v>54</v>
      </c>
      <c r="G60" t="s">
        <v>54</v>
      </c>
      <c r="H60" t="s">
        <v>54</v>
      </c>
      <c r="I60" t="s">
        <v>54</v>
      </c>
      <c r="J60" t="s">
        <v>54</v>
      </c>
      <c r="K60" t="s">
        <v>150</v>
      </c>
      <c r="L60">
        <v>-1</v>
      </c>
      <c r="M60">
        <v>0</v>
      </c>
      <c r="N60">
        <v>-1</v>
      </c>
      <c r="O60">
        <v>0</v>
      </c>
      <c r="P60" t="s">
        <v>70</v>
      </c>
      <c r="Q60">
        <v>0</v>
      </c>
      <c r="R60">
        <v>0</v>
      </c>
      <c r="S60">
        <v>1320</v>
      </c>
      <c r="T60" t="s">
        <v>57</v>
      </c>
      <c r="U60">
        <v>0</v>
      </c>
      <c r="V60">
        <v>0</v>
      </c>
      <c r="W60">
        <v>0</v>
      </c>
      <c r="X60">
        <v>0</v>
      </c>
      <c r="Y60" t="s">
        <v>67</v>
      </c>
      <c r="Z60">
        <v>0</v>
      </c>
      <c r="AA60">
        <v>0</v>
      </c>
      <c r="AB60">
        <v>0</v>
      </c>
      <c r="AC60">
        <v>0</v>
      </c>
      <c r="AD60" t="s">
        <v>63</v>
      </c>
      <c r="AE60">
        <v>0</v>
      </c>
      <c r="AF60">
        <v>0</v>
      </c>
      <c r="AG60">
        <v>0</v>
      </c>
      <c r="AH60">
        <v>0</v>
      </c>
      <c r="AI60" t="b">
        <v>0</v>
      </c>
      <c r="AJ60" t="s">
        <v>58</v>
      </c>
      <c r="AK60" t="s">
        <v>58</v>
      </c>
      <c r="AL60" t="s">
        <v>66</v>
      </c>
      <c r="AM60">
        <v>14</v>
      </c>
      <c r="AN60">
        <v>2</v>
      </c>
      <c r="AO60">
        <v>13</v>
      </c>
      <c r="AP60">
        <v>11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s">
        <v>61</v>
      </c>
      <c r="AY60" t="s">
        <v>57</v>
      </c>
      <c r="AZ60" t="s">
        <v>55</v>
      </c>
      <c r="BA60" t="s">
        <v>58</v>
      </c>
      <c r="BB60" t="s">
        <v>58</v>
      </c>
    </row>
    <row r="61" spans="1:54" x14ac:dyDescent="0.25">
      <c r="A61" t="s">
        <v>54</v>
      </c>
      <c r="B61" t="s">
        <v>54</v>
      </c>
      <c r="C61" t="s">
        <v>54</v>
      </c>
      <c r="D61" t="s">
        <v>145</v>
      </c>
      <c r="E61" t="s">
        <v>54</v>
      </c>
      <c r="F61" t="s">
        <v>54</v>
      </c>
      <c r="G61" t="s">
        <v>54</v>
      </c>
      <c r="H61" t="s">
        <v>54</v>
      </c>
      <c r="I61" t="s">
        <v>54</v>
      </c>
      <c r="J61" t="s">
        <v>54</v>
      </c>
      <c r="K61" t="s">
        <v>170</v>
      </c>
      <c r="L61">
        <v>-1</v>
      </c>
      <c r="M61">
        <v>0</v>
      </c>
      <c r="N61">
        <v>-1</v>
      </c>
      <c r="O61">
        <v>0</v>
      </c>
      <c r="P61" t="s">
        <v>70</v>
      </c>
      <c r="Q61">
        <v>0</v>
      </c>
      <c r="R61">
        <v>0</v>
      </c>
      <c r="S61">
        <v>780</v>
      </c>
      <c r="T61" t="s">
        <v>57</v>
      </c>
      <c r="U61">
        <v>0</v>
      </c>
      <c r="V61">
        <v>0</v>
      </c>
      <c r="W61">
        <v>0</v>
      </c>
      <c r="X61">
        <v>0</v>
      </c>
      <c r="Y61" t="s">
        <v>67</v>
      </c>
      <c r="Z61">
        <v>0</v>
      </c>
      <c r="AA61">
        <v>0</v>
      </c>
      <c r="AB61">
        <v>0</v>
      </c>
      <c r="AC61">
        <v>0</v>
      </c>
      <c r="AD61" t="s">
        <v>60</v>
      </c>
      <c r="AE61">
        <v>0</v>
      </c>
      <c r="AF61">
        <v>0</v>
      </c>
      <c r="AG61">
        <v>0</v>
      </c>
      <c r="AH61">
        <v>0</v>
      </c>
      <c r="AI61" t="b">
        <v>0</v>
      </c>
      <c r="AJ61" t="s">
        <v>58</v>
      </c>
      <c r="AK61" t="s">
        <v>58</v>
      </c>
      <c r="AL61" t="s">
        <v>71</v>
      </c>
      <c r="AM61">
        <v>14</v>
      </c>
      <c r="AN61">
        <v>0</v>
      </c>
      <c r="AO61">
        <v>6</v>
      </c>
      <c r="AP61">
        <v>11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s">
        <v>61</v>
      </c>
      <c r="AY61" t="s">
        <v>57</v>
      </c>
      <c r="AZ61" t="s">
        <v>55</v>
      </c>
      <c r="BA61" t="s">
        <v>58</v>
      </c>
      <c r="BB61" t="s">
        <v>58</v>
      </c>
    </row>
    <row r="62" spans="1:54" x14ac:dyDescent="0.25">
      <c r="A62" t="s">
        <v>54</v>
      </c>
      <c r="B62" t="s">
        <v>54</v>
      </c>
      <c r="C62" t="s">
        <v>54</v>
      </c>
      <c r="D62" t="s">
        <v>164</v>
      </c>
      <c r="E62" t="s">
        <v>54</v>
      </c>
      <c r="F62" t="s">
        <v>54</v>
      </c>
      <c r="G62" t="s">
        <v>54</v>
      </c>
      <c r="H62" t="s">
        <v>54</v>
      </c>
      <c r="I62" t="s">
        <v>54</v>
      </c>
      <c r="J62" t="s">
        <v>54</v>
      </c>
      <c r="K62" t="s">
        <v>146</v>
      </c>
      <c r="L62">
        <v>-1</v>
      </c>
      <c r="M62">
        <v>0</v>
      </c>
      <c r="N62">
        <v>-1</v>
      </c>
      <c r="O62">
        <v>0</v>
      </c>
      <c r="P62" t="s">
        <v>70</v>
      </c>
      <c r="Q62">
        <v>0</v>
      </c>
      <c r="R62">
        <v>0</v>
      </c>
      <c r="S62">
        <v>1220</v>
      </c>
      <c r="T62" t="s">
        <v>57</v>
      </c>
      <c r="U62">
        <v>0</v>
      </c>
      <c r="V62">
        <v>0</v>
      </c>
      <c r="W62">
        <v>0</v>
      </c>
      <c r="X62">
        <v>0</v>
      </c>
      <c r="Y62" t="s">
        <v>60</v>
      </c>
      <c r="Z62">
        <v>0</v>
      </c>
      <c r="AA62">
        <v>0</v>
      </c>
      <c r="AB62">
        <v>0</v>
      </c>
      <c r="AC62">
        <v>0</v>
      </c>
      <c r="AD62" t="s">
        <v>60</v>
      </c>
      <c r="AE62">
        <v>0</v>
      </c>
      <c r="AF62">
        <v>0</v>
      </c>
      <c r="AG62">
        <v>0</v>
      </c>
      <c r="AH62">
        <v>0</v>
      </c>
      <c r="AI62" t="b">
        <v>0</v>
      </c>
      <c r="AJ62" t="s">
        <v>58</v>
      </c>
      <c r="AK62" t="s">
        <v>58</v>
      </c>
      <c r="AL62" t="s">
        <v>71</v>
      </c>
      <c r="AM62">
        <v>14</v>
      </c>
      <c r="AN62">
        <v>1</v>
      </c>
      <c r="AO62">
        <v>13</v>
      </c>
      <c r="AP62">
        <v>11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s">
        <v>61</v>
      </c>
      <c r="AY62" t="s">
        <v>57</v>
      </c>
      <c r="AZ62" t="s">
        <v>55</v>
      </c>
      <c r="BA62" t="s">
        <v>58</v>
      </c>
      <c r="BB62" t="s">
        <v>58</v>
      </c>
    </row>
    <row r="63" spans="1:54" x14ac:dyDescent="0.25">
      <c r="A63" t="s">
        <v>54</v>
      </c>
      <c r="B63" t="s">
        <v>54</v>
      </c>
      <c r="C63" t="s">
        <v>54</v>
      </c>
      <c r="D63" t="s">
        <v>146</v>
      </c>
      <c r="E63" t="s">
        <v>54</v>
      </c>
      <c r="F63" t="s">
        <v>54</v>
      </c>
      <c r="G63" t="s">
        <v>54</v>
      </c>
      <c r="H63" t="s">
        <v>54</v>
      </c>
      <c r="I63" t="s">
        <v>54</v>
      </c>
      <c r="J63" t="s">
        <v>54</v>
      </c>
      <c r="K63" t="s">
        <v>170</v>
      </c>
      <c r="L63">
        <v>-1</v>
      </c>
      <c r="M63">
        <v>0</v>
      </c>
      <c r="N63">
        <v>-1</v>
      </c>
      <c r="O63">
        <v>0</v>
      </c>
      <c r="P63" t="s">
        <v>70</v>
      </c>
      <c r="Q63">
        <v>0</v>
      </c>
      <c r="R63">
        <v>0</v>
      </c>
      <c r="S63">
        <v>1200</v>
      </c>
      <c r="T63" t="s">
        <v>57</v>
      </c>
      <c r="U63">
        <v>0</v>
      </c>
      <c r="V63">
        <v>0</v>
      </c>
      <c r="W63">
        <v>0</v>
      </c>
      <c r="X63">
        <v>0</v>
      </c>
      <c r="Y63" t="s">
        <v>67</v>
      </c>
      <c r="Z63">
        <v>0</v>
      </c>
      <c r="AA63">
        <v>0</v>
      </c>
      <c r="AB63">
        <v>0</v>
      </c>
      <c r="AC63">
        <v>0</v>
      </c>
      <c r="AD63" t="s">
        <v>60</v>
      </c>
      <c r="AE63">
        <v>0</v>
      </c>
      <c r="AF63">
        <v>0</v>
      </c>
      <c r="AG63">
        <v>0</v>
      </c>
      <c r="AH63">
        <v>0</v>
      </c>
      <c r="AI63" t="b">
        <v>0</v>
      </c>
      <c r="AJ63" t="s">
        <v>58</v>
      </c>
      <c r="AK63" t="s">
        <v>58</v>
      </c>
      <c r="AL63" t="s">
        <v>66</v>
      </c>
      <c r="AM63">
        <v>14</v>
      </c>
      <c r="AN63">
        <v>1</v>
      </c>
      <c r="AO63">
        <v>2</v>
      </c>
      <c r="AP63">
        <v>11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s">
        <v>61</v>
      </c>
      <c r="AY63" t="s">
        <v>57</v>
      </c>
      <c r="AZ63" t="s">
        <v>55</v>
      </c>
      <c r="BA63" t="s">
        <v>58</v>
      </c>
      <c r="BB63" t="s">
        <v>58</v>
      </c>
    </row>
    <row r="64" spans="1:54" x14ac:dyDescent="0.25">
      <c r="A64" t="s">
        <v>54</v>
      </c>
      <c r="B64" t="s">
        <v>54</v>
      </c>
      <c r="C64" t="s">
        <v>54</v>
      </c>
      <c r="D64" t="s">
        <v>144</v>
      </c>
      <c r="E64" t="s">
        <v>54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 t="s">
        <v>154</v>
      </c>
      <c r="L64">
        <v>-1</v>
      </c>
      <c r="M64">
        <v>0</v>
      </c>
      <c r="N64">
        <v>-1</v>
      </c>
      <c r="O64">
        <v>0</v>
      </c>
      <c r="P64" t="s">
        <v>70</v>
      </c>
      <c r="Q64">
        <v>0</v>
      </c>
      <c r="R64">
        <v>0</v>
      </c>
      <c r="S64">
        <v>975</v>
      </c>
      <c r="T64" t="s">
        <v>57</v>
      </c>
      <c r="U64">
        <v>0</v>
      </c>
      <c r="V64">
        <v>0</v>
      </c>
      <c r="W64">
        <v>0</v>
      </c>
      <c r="X64">
        <v>0</v>
      </c>
      <c r="Y64" t="s">
        <v>67</v>
      </c>
      <c r="Z64">
        <v>0</v>
      </c>
      <c r="AA64">
        <v>0</v>
      </c>
      <c r="AB64">
        <v>0</v>
      </c>
      <c r="AC64">
        <v>0</v>
      </c>
      <c r="AD64" t="s">
        <v>60</v>
      </c>
      <c r="AE64">
        <v>0</v>
      </c>
      <c r="AF64">
        <v>0</v>
      </c>
      <c r="AG64">
        <v>0</v>
      </c>
      <c r="AH64">
        <v>0</v>
      </c>
      <c r="AI64" t="b">
        <v>0</v>
      </c>
      <c r="AJ64" t="s">
        <v>58</v>
      </c>
      <c r="AK64" t="s">
        <v>58</v>
      </c>
      <c r="AL64" t="s">
        <v>71</v>
      </c>
      <c r="AM64">
        <v>14</v>
      </c>
      <c r="AN64">
        <v>0</v>
      </c>
      <c r="AO64">
        <v>10</v>
      </c>
      <c r="AP64">
        <v>11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s">
        <v>61</v>
      </c>
      <c r="AY64" t="s">
        <v>57</v>
      </c>
      <c r="AZ64" t="s">
        <v>55</v>
      </c>
      <c r="BA64" t="s">
        <v>58</v>
      </c>
      <c r="BB64" t="s">
        <v>58</v>
      </c>
    </row>
    <row r="65" spans="1:54" x14ac:dyDescent="0.25">
      <c r="A65" t="s">
        <v>54</v>
      </c>
      <c r="B65" t="s">
        <v>54</v>
      </c>
      <c r="C65" t="s">
        <v>54</v>
      </c>
      <c r="D65" t="s">
        <v>145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 t="s">
        <v>148</v>
      </c>
      <c r="L65">
        <v>-1</v>
      </c>
      <c r="M65">
        <v>0</v>
      </c>
      <c r="N65">
        <v>-1</v>
      </c>
      <c r="O65">
        <v>0</v>
      </c>
      <c r="P65" t="s">
        <v>70</v>
      </c>
      <c r="Q65">
        <v>0</v>
      </c>
      <c r="R65">
        <v>0</v>
      </c>
      <c r="S65">
        <v>965</v>
      </c>
      <c r="T65" t="s">
        <v>57</v>
      </c>
      <c r="U65">
        <v>0</v>
      </c>
      <c r="V65">
        <v>0</v>
      </c>
      <c r="W65">
        <v>0</v>
      </c>
      <c r="X65">
        <v>0</v>
      </c>
      <c r="Y65" t="s">
        <v>67</v>
      </c>
      <c r="Z65">
        <v>0</v>
      </c>
      <c r="AA65">
        <v>0</v>
      </c>
      <c r="AB65">
        <v>0</v>
      </c>
      <c r="AC65">
        <v>0</v>
      </c>
      <c r="AD65" t="s">
        <v>60</v>
      </c>
      <c r="AE65">
        <v>0</v>
      </c>
      <c r="AF65">
        <v>0</v>
      </c>
      <c r="AG65">
        <v>0</v>
      </c>
      <c r="AH65">
        <v>0</v>
      </c>
      <c r="AI65" t="b">
        <v>0</v>
      </c>
      <c r="AJ65" t="s">
        <v>58</v>
      </c>
      <c r="AK65" t="s">
        <v>58</v>
      </c>
      <c r="AL65" t="s">
        <v>71</v>
      </c>
      <c r="AM65">
        <v>14</v>
      </c>
      <c r="AN65">
        <v>1</v>
      </c>
      <c r="AO65">
        <v>8</v>
      </c>
      <c r="AP65">
        <v>11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s">
        <v>61</v>
      </c>
      <c r="AY65" t="s">
        <v>57</v>
      </c>
      <c r="AZ65" t="s">
        <v>55</v>
      </c>
      <c r="BA65" t="s">
        <v>58</v>
      </c>
      <c r="BB65" t="s">
        <v>58</v>
      </c>
    </row>
    <row r="66" spans="1:54" x14ac:dyDescent="0.25">
      <c r="A66" t="s">
        <v>54</v>
      </c>
      <c r="B66" t="s">
        <v>54</v>
      </c>
      <c r="C66" t="s">
        <v>54</v>
      </c>
      <c r="D66" t="s">
        <v>170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54</v>
      </c>
      <c r="K66" t="s">
        <v>143</v>
      </c>
      <c r="L66">
        <v>-1</v>
      </c>
      <c r="M66">
        <v>0</v>
      </c>
      <c r="N66">
        <v>-1</v>
      </c>
      <c r="O66">
        <v>0</v>
      </c>
      <c r="P66" t="s">
        <v>70</v>
      </c>
      <c r="Q66">
        <v>0</v>
      </c>
      <c r="R66">
        <v>0</v>
      </c>
      <c r="S66">
        <v>780</v>
      </c>
      <c r="T66" t="s">
        <v>57</v>
      </c>
      <c r="U66">
        <v>0</v>
      </c>
      <c r="V66">
        <v>0</v>
      </c>
      <c r="W66">
        <v>0</v>
      </c>
      <c r="X66">
        <v>0</v>
      </c>
      <c r="Y66" t="s">
        <v>67</v>
      </c>
      <c r="Z66">
        <v>0</v>
      </c>
      <c r="AA66">
        <v>0</v>
      </c>
      <c r="AB66">
        <v>0</v>
      </c>
      <c r="AC66">
        <v>0</v>
      </c>
      <c r="AD66" t="s">
        <v>60</v>
      </c>
      <c r="AE66">
        <v>0</v>
      </c>
      <c r="AF66">
        <v>0</v>
      </c>
      <c r="AG66">
        <v>0</v>
      </c>
      <c r="AH66">
        <v>0</v>
      </c>
      <c r="AI66" t="b">
        <v>0</v>
      </c>
      <c r="AJ66" t="s">
        <v>58</v>
      </c>
      <c r="AK66" t="s">
        <v>58</v>
      </c>
      <c r="AL66" t="s">
        <v>71</v>
      </c>
      <c r="AM66">
        <v>14</v>
      </c>
      <c r="AN66">
        <v>2</v>
      </c>
      <c r="AO66">
        <v>0</v>
      </c>
      <c r="AP66">
        <v>11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s">
        <v>61</v>
      </c>
      <c r="AY66" t="s">
        <v>57</v>
      </c>
      <c r="AZ66" t="s">
        <v>55</v>
      </c>
      <c r="BA66" t="s">
        <v>58</v>
      </c>
      <c r="BB66" t="s">
        <v>58</v>
      </c>
    </row>
    <row r="67" spans="1:54" x14ac:dyDescent="0.25">
      <c r="A67" t="s">
        <v>54</v>
      </c>
      <c r="B67" t="s">
        <v>54</v>
      </c>
      <c r="C67" t="s">
        <v>54</v>
      </c>
      <c r="D67" t="s">
        <v>166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 t="s">
        <v>153</v>
      </c>
      <c r="L67">
        <v>-1</v>
      </c>
      <c r="M67">
        <v>0</v>
      </c>
      <c r="N67">
        <v>-1</v>
      </c>
      <c r="O67">
        <v>0</v>
      </c>
      <c r="P67" t="s">
        <v>70</v>
      </c>
      <c r="Q67">
        <v>0</v>
      </c>
      <c r="R67">
        <v>0</v>
      </c>
      <c r="S67">
        <v>780</v>
      </c>
      <c r="T67" t="s">
        <v>57</v>
      </c>
      <c r="U67">
        <v>0</v>
      </c>
      <c r="V67">
        <v>0</v>
      </c>
      <c r="W67">
        <v>0</v>
      </c>
      <c r="X67">
        <v>0</v>
      </c>
      <c r="Y67" t="s">
        <v>67</v>
      </c>
      <c r="Z67">
        <v>0</v>
      </c>
      <c r="AA67">
        <v>0</v>
      </c>
      <c r="AB67">
        <v>0</v>
      </c>
      <c r="AC67">
        <v>0</v>
      </c>
      <c r="AD67" t="s">
        <v>60</v>
      </c>
      <c r="AE67">
        <v>0</v>
      </c>
      <c r="AF67">
        <v>0</v>
      </c>
      <c r="AG67">
        <v>0</v>
      </c>
      <c r="AH67">
        <v>0</v>
      </c>
      <c r="AI67" t="b">
        <v>0</v>
      </c>
      <c r="AJ67" t="s">
        <v>58</v>
      </c>
      <c r="AK67" t="s">
        <v>58</v>
      </c>
      <c r="AL67" t="s">
        <v>71</v>
      </c>
      <c r="AM67">
        <v>14</v>
      </c>
      <c r="AN67">
        <v>1</v>
      </c>
      <c r="AO67">
        <v>1</v>
      </c>
      <c r="AP67">
        <v>11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s">
        <v>61</v>
      </c>
      <c r="AY67" t="s">
        <v>57</v>
      </c>
      <c r="AZ67" t="s">
        <v>55</v>
      </c>
      <c r="BA67" t="s">
        <v>58</v>
      </c>
      <c r="BB67" t="s">
        <v>58</v>
      </c>
    </row>
    <row r="68" spans="1:54" x14ac:dyDescent="0.25">
      <c r="A68" t="s">
        <v>54</v>
      </c>
      <c r="B68" t="s">
        <v>54</v>
      </c>
      <c r="C68" t="s">
        <v>54</v>
      </c>
      <c r="D68" t="s">
        <v>162</v>
      </c>
      <c r="E68" t="s">
        <v>54</v>
      </c>
      <c r="F68" t="s">
        <v>54</v>
      </c>
      <c r="G68" t="s">
        <v>54</v>
      </c>
      <c r="H68" t="s">
        <v>54</v>
      </c>
      <c r="I68" t="s">
        <v>54</v>
      </c>
      <c r="J68" t="s">
        <v>54</v>
      </c>
      <c r="K68" t="s">
        <v>173</v>
      </c>
      <c r="L68">
        <v>-1</v>
      </c>
      <c r="M68">
        <v>0</v>
      </c>
      <c r="N68">
        <v>-1</v>
      </c>
      <c r="O68">
        <v>0</v>
      </c>
      <c r="P68" t="s">
        <v>70</v>
      </c>
      <c r="Q68">
        <v>0</v>
      </c>
      <c r="R68">
        <v>0</v>
      </c>
      <c r="S68">
        <v>975</v>
      </c>
      <c r="T68" t="s">
        <v>57</v>
      </c>
      <c r="U68">
        <v>0</v>
      </c>
      <c r="V68">
        <v>0</v>
      </c>
      <c r="W68">
        <v>0</v>
      </c>
      <c r="X68">
        <v>0</v>
      </c>
      <c r="Y68" t="s">
        <v>67</v>
      </c>
      <c r="Z68">
        <v>0</v>
      </c>
      <c r="AA68">
        <v>0</v>
      </c>
      <c r="AB68">
        <v>0</v>
      </c>
      <c r="AC68">
        <v>0</v>
      </c>
      <c r="AD68" t="s">
        <v>60</v>
      </c>
      <c r="AE68">
        <v>0</v>
      </c>
      <c r="AF68">
        <v>0</v>
      </c>
      <c r="AG68">
        <v>0</v>
      </c>
      <c r="AH68">
        <v>0</v>
      </c>
      <c r="AI68" t="b">
        <v>0</v>
      </c>
      <c r="AJ68" t="s">
        <v>58</v>
      </c>
      <c r="AK68" t="s">
        <v>58</v>
      </c>
      <c r="AL68" t="s">
        <v>71</v>
      </c>
      <c r="AM68">
        <v>14</v>
      </c>
      <c r="AN68">
        <v>1</v>
      </c>
      <c r="AO68">
        <v>10</v>
      </c>
      <c r="AP68">
        <v>11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s">
        <v>61</v>
      </c>
      <c r="AY68" t="s">
        <v>57</v>
      </c>
      <c r="AZ68" t="s">
        <v>55</v>
      </c>
      <c r="BA68" t="s">
        <v>58</v>
      </c>
      <c r="BB68" t="s">
        <v>58</v>
      </c>
    </row>
    <row r="69" spans="1:54" x14ac:dyDescent="0.25">
      <c r="A69" t="s">
        <v>54</v>
      </c>
      <c r="B69" t="s">
        <v>54</v>
      </c>
      <c r="C69" t="s">
        <v>54</v>
      </c>
      <c r="D69" t="s">
        <v>169</v>
      </c>
      <c r="E69" t="s">
        <v>54</v>
      </c>
      <c r="F69" t="s">
        <v>54</v>
      </c>
      <c r="G69" t="s">
        <v>54</v>
      </c>
      <c r="H69" t="s">
        <v>54</v>
      </c>
      <c r="I69" t="s">
        <v>54</v>
      </c>
      <c r="J69" t="s">
        <v>54</v>
      </c>
      <c r="K69" t="s">
        <v>155</v>
      </c>
      <c r="L69">
        <v>-1</v>
      </c>
      <c r="M69">
        <v>0</v>
      </c>
      <c r="N69">
        <v>-1</v>
      </c>
      <c r="O69">
        <v>0</v>
      </c>
      <c r="P69" t="s">
        <v>70</v>
      </c>
      <c r="Q69">
        <v>0</v>
      </c>
      <c r="R69">
        <v>0</v>
      </c>
      <c r="S69">
        <v>1230</v>
      </c>
      <c r="T69" t="s">
        <v>57</v>
      </c>
      <c r="U69">
        <v>0</v>
      </c>
      <c r="V69">
        <v>0</v>
      </c>
      <c r="W69">
        <v>0</v>
      </c>
      <c r="X69">
        <v>0</v>
      </c>
      <c r="Y69" t="s">
        <v>65</v>
      </c>
      <c r="Z69">
        <v>0</v>
      </c>
      <c r="AA69">
        <v>0</v>
      </c>
      <c r="AB69">
        <v>0</v>
      </c>
      <c r="AC69">
        <v>0</v>
      </c>
      <c r="AD69" t="s">
        <v>65</v>
      </c>
      <c r="AE69">
        <v>0</v>
      </c>
      <c r="AF69">
        <v>0</v>
      </c>
      <c r="AG69">
        <v>0</v>
      </c>
      <c r="AH69">
        <v>0</v>
      </c>
      <c r="AI69" t="b">
        <v>0</v>
      </c>
      <c r="AJ69" t="s">
        <v>58</v>
      </c>
      <c r="AK69" t="s">
        <v>58</v>
      </c>
      <c r="AL69" t="s">
        <v>71</v>
      </c>
      <c r="AM69">
        <v>14</v>
      </c>
      <c r="AN69">
        <v>1</v>
      </c>
      <c r="AO69">
        <v>14</v>
      </c>
      <c r="AP69">
        <v>11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s">
        <v>61</v>
      </c>
      <c r="AY69" t="s">
        <v>57</v>
      </c>
      <c r="AZ69" t="s">
        <v>55</v>
      </c>
      <c r="BA69" t="s">
        <v>58</v>
      </c>
      <c r="BB69" t="s">
        <v>58</v>
      </c>
    </row>
    <row r="70" spans="1:54" x14ac:dyDescent="0.25">
      <c r="A70" t="s">
        <v>54</v>
      </c>
      <c r="B70" t="s">
        <v>54</v>
      </c>
      <c r="C70" t="s">
        <v>54</v>
      </c>
      <c r="D70" t="s">
        <v>150</v>
      </c>
      <c r="E70" t="s">
        <v>54</v>
      </c>
      <c r="F70" t="s">
        <v>54</v>
      </c>
      <c r="G70" t="s">
        <v>54</v>
      </c>
      <c r="H70" t="s">
        <v>54</v>
      </c>
      <c r="I70" t="s">
        <v>54</v>
      </c>
      <c r="J70" t="s">
        <v>54</v>
      </c>
      <c r="K70" t="s">
        <v>171</v>
      </c>
      <c r="L70">
        <v>-1</v>
      </c>
      <c r="M70">
        <v>0</v>
      </c>
      <c r="N70">
        <v>-1</v>
      </c>
      <c r="O70">
        <v>0</v>
      </c>
      <c r="P70" t="s">
        <v>70</v>
      </c>
      <c r="Q70">
        <v>0</v>
      </c>
      <c r="R70">
        <v>0</v>
      </c>
      <c r="S70">
        <v>1230</v>
      </c>
      <c r="T70" t="s">
        <v>57</v>
      </c>
      <c r="U70">
        <v>0</v>
      </c>
      <c r="V70">
        <v>0</v>
      </c>
      <c r="W70">
        <v>0</v>
      </c>
      <c r="X70">
        <v>0</v>
      </c>
      <c r="Y70" t="s">
        <v>68</v>
      </c>
      <c r="Z70">
        <v>0</v>
      </c>
      <c r="AA70">
        <v>0</v>
      </c>
      <c r="AB70">
        <v>0</v>
      </c>
      <c r="AC70">
        <v>0</v>
      </c>
      <c r="AD70" t="s">
        <v>68</v>
      </c>
      <c r="AE70">
        <v>0</v>
      </c>
      <c r="AF70">
        <v>0</v>
      </c>
      <c r="AG70">
        <v>0</v>
      </c>
      <c r="AH70">
        <v>0</v>
      </c>
      <c r="AI70" t="b">
        <v>0</v>
      </c>
      <c r="AJ70" t="s">
        <v>58</v>
      </c>
      <c r="AK70" t="s">
        <v>58</v>
      </c>
      <c r="AL70" t="s">
        <v>71</v>
      </c>
      <c r="AM70">
        <v>14</v>
      </c>
      <c r="AN70">
        <v>0</v>
      </c>
      <c r="AO70">
        <v>15</v>
      </c>
      <c r="AP70">
        <v>11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s">
        <v>61</v>
      </c>
      <c r="AY70" t="s">
        <v>57</v>
      </c>
      <c r="AZ70" t="s">
        <v>55</v>
      </c>
      <c r="BA70" t="s">
        <v>58</v>
      </c>
      <c r="BB70" t="s">
        <v>58</v>
      </c>
    </row>
    <row r="71" spans="1:54" x14ac:dyDescent="0.25">
      <c r="A71" t="s">
        <v>54</v>
      </c>
      <c r="B71" t="s">
        <v>54</v>
      </c>
      <c r="C71" t="s">
        <v>54</v>
      </c>
      <c r="D71" t="s">
        <v>161</v>
      </c>
      <c r="E71" t="s">
        <v>54</v>
      </c>
      <c r="F71" t="s">
        <v>54</v>
      </c>
      <c r="G71" t="s">
        <v>54</v>
      </c>
      <c r="H71" t="s">
        <v>54</v>
      </c>
      <c r="I71" t="s">
        <v>54</v>
      </c>
      <c r="J71" t="s">
        <v>54</v>
      </c>
      <c r="K71" t="s">
        <v>144</v>
      </c>
      <c r="L71">
        <v>-1</v>
      </c>
      <c r="M71">
        <v>0</v>
      </c>
      <c r="N71">
        <v>-1</v>
      </c>
      <c r="O71">
        <v>0</v>
      </c>
      <c r="P71" t="s">
        <v>70</v>
      </c>
      <c r="Q71">
        <v>0</v>
      </c>
      <c r="R71">
        <v>0</v>
      </c>
      <c r="S71">
        <v>780</v>
      </c>
      <c r="T71" t="s">
        <v>57</v>
      </c>
      <c r="U71">
        <v>0</v>
      </c>
      <c r="V71">
        <v>0</v>
      </c>
      <c r="W71">
        <v>0</v>
      </c>
      <c r="X71">
        <v>0</v>
      </c>
      <c r="Y71" t="s">
        <v>67</v>
      </c>
      <c r="Z71">
        <v>0</v>
      </c>
      <c r="AA71">
        <v>0</v>
      </c>
      <c r="AB71">
        <v>0</v>
      </c>
      <c r="AC71">
        <v>0</v>
      </c>
      <c r="AD71" t="s">
        <v>60</v>
      </c>
      <c r="AE71">
        <v>0</v>
      </c>
      <c r="AF71">
        <v>0</v>
      </c>
      <c r="AG71">
        <v>0</v>
      </c>
      <c r="AH71">
        <v>0</v>
      </c>
      <c r="AI71" t="b">
        <v>0</v>
      </c>
      <c r="AJ71" t="s">
        <v>58</v>
      </c>
      <c r="AK71" t="s">
        <v>58</v>
      </c>
      <c r="AL71" t="s">
        <v>71</v>
      </c>
      <c r="AM71">
        <v>14</v>
      </c>
      <c r="AN71">
        <v>1</v>
      </c>
      <c r="AO71">
        <v>2</v>
      </c>
      <c r="AP71">
        <v>11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s">
        <v>61</v>
      </c>
      <c r="AY71" t="s">
        <v>57</v>
      </c>
      <c r="AZ71" t="s">
        <v>55</v>
      </c>
      <c r="BA71" t="s">
        <v>58</v>
      </c>
      <c r="BB71" t="s">
        <v>58</v>
      </c>
    </row>
    <row r="72" spans="1:54" x14ac:dyDescent="0.25">
      <c r="A72" t="s">
        <v>54</v>
      </c>
      <c r="B72" t="s">
        <v>54</v>
      </c>
      <c r="C72" t="s">
        <v>54</v>
      </c>
      <c r="D72" t="s">
        <v>153</v>
      </c>
      <c r="E72" t="s">
        <v>54</v>
      </c>
      <c r="F72" t="s">
        <v>54</v>
      </c>
      <c r="G72" t="s">
        <v>54</v>
      </c>
      <c r="H72" t="s">
        <v>54</v>
      </c>
      <c r="I72" t="s">
        <v>54</v>
      </c>
      <c r="J72" t="s">
        <v>54</v>
      </c>
      <c r="K72" t="s">
        <v>145</v>
      </c>
      <c r="L72">
        <v>-1</v>
      </c>
      <c r="M72">
        <v>0</v>
      </c>
      <c r="N72">
        <v>-1</v>
      </c>
      <c r="O72">
        <v>0</v>
      </c>
      <c r="P72" t="s">
        <v>70</v>
      </c>
      <c r="Q72">
        <v>0</v>
      </c>
      <c r="R72">
        <v>0</v>
      </c>
      <c r="S72">
        <v>1230</v>
      </c>
      <c r="T72" t="s">
        <v>57</v>
      </c>
      <c r="U72">
        <v>0</v>
      </c>
      <c r="V72">
        <v>0</v>
      </c>
      <c r="W72">
        <v>0</v>
      </c>
      <c r="X72">
        <v>0</v>
      </c>
      <c r="Y72" t="s">
        <v>65</v>
      </c>
      <c r="Z72">
        <v>0</v>
      </c>
      <c r="AA72">
        <v>0</v>
      </c>
      <c r="AB72">
        <v>0</v>
      </c>
      <c r="AC72">
        <v>0</v>
      </c>
      <c r="AD72" t="s">
        <v>65</v>
      </c>
      <c r="AE72">
        <v>0</v>
      </c>
      <c r="AF72">
        <v>0</v>
      </c>
      <c r="AG72">
        <v>0</v>
      </c>
      <c r="AH72">
        <v>0</v>
      </c>
      <c r="AI72" t="b">
        <v>0</v>
      </c>
      <c r="AJ72" t="s">
        <v>58</v>
      </c>
      <c r="AK72" t="s">
        <v>58</v>
      </c>
      <c r="AL72" t="s">
        <v>71</v>
      </c>
      <c r="AM72">
        <v>14</v>
      </c>
      <c r="AN72">
        <v>2</v>
      </c>
      <c r="AO72">
        <v>14</v>
      </c>
      <c r="AP72">
        <v>11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s">
        <v>61</v>
      </c>
      <c r="AY72" t="s">
        <v>57</v>
      </c>
      <c r="AZ72" t="s">
        <v>55</v>
      </c>
      <c r="BA72" t="s">
        <v>58</v>
      </c>
      <c r="BB72" t="s">
        <v>58</v>
      </c>
    </row>
    <row r="73" spans="1:54" x14ac:dyDescent="0.25">
      <c r="A73" t="s">
        <v>54</v>
      </c>
      <c r="B73" t="s">
        <v>54</v>
      </c>
      <c r="C73" t="s">
        <v>54</v>
      </c>
      <c r="D73" t="s">
        <v>154</v>
      </c>
      <c r="E73" t="s">
        <v>54</v>
      </c>
      <c r="F73" t="s">
        <v>54</v>
      </c>
      <c r="G73" t="s">
        <v>54</v>
      </c>
      <c r="H73" t="s">
        <v>54</v>
      </c>
      <c r="I73" t="s">
        <v>54</v>
      </c>
      <c r="J73" t="s">
        <v>54</v>
      </c>
      <c r="K73" t="s">
        <v>156</v>
      </c>
      <c r="L73">
        <v>-1</v>
      </c>
      <c r="M73">
        <v>0</v>
      </c>
      <c r="N73">
        <v>-1</v>
      </c>
      <c r="O73">
        <v>0</v>
      </c>
      <c r="P73" t="s">
        <v>70</v>
      </c>
      <c r="Q73">
        <v>0</v>
      </c>
      <c r="R73">
        <v>0</v>
      </c>
      <c r="S73">
        <v>780</v>
      </c>
      <c r="T73" t="s">
        <v>57</v>
      </c>
      <c r="U73">
        <v>0</v>
      </c>
      <c r="V73">
        <v>0</v>
      </c>
      <c r="W73">
        <v>0</v>
      </c>
      <c r="X73">
        <v>0</v>
      </c>
      <c r="Y73" t="s">
        <v>67</v>
      </c>
      <c r="Z73">
        <v>0</v>
      </c>
      <c r="AA73">
        <v>0</v>
      </c>
      <c r="AB73">
        <v>0</v>
      </c>
      <c r="AC73">
        <v>0</v>
      </c>
      <c r="AD73" t="s">
        <v>60</v>
      </c>
      <c r="AE73">
        <v>0</v>
      </c>
      <c r="AF73">
        <v>0</v>
      </c>
      <c r="AG73">
        <v>0</v>
      </c>
      <c r="AH73">
        <v>0</v>
      </c>
      <c r="AI73" t="b">
        <v>0</v>
      </c>
      <c r="AJ73" t="s">
        <v>58</v>
      </c>
      <c r="AK73" t="s">
        <v>58</v>
      </c>
      <c r="AL73" t="s">
        <v>71</v>
      </c>
      <c r="AM73">
        <v>14</v>
      </c>
      <c r="AN73">
        <v>1</v>
      </c>
      <c r="AO73">
        <v>3</v>
      </c>
      <c r="AP73">
        <v>11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s">
        <v>61</v>
      </c>
      <c r="AY73" t="s">
        <v>57</v>
      </c>
      <c r="AZ73" t="s">
        <v>55</v>
      </c>
      <c r="BA73" t="s">
        <v>58</v>
      </c>
      <c r="BB73" t="s">
        <v>58</v>
      </c>
    </row>
    <row r="74" spans="1:54" x14ac:dyDescent="0.25">
      <c r="A74" t="s">
        <v>54</v>
      </c>
      <c r="B74" t="s">
        <v>54</v>
      </c>
      <c r="C74" t="s">
        <v>54</v>
      </c>
      <c r="D74" t="s">
        <v>174</v>
      </c>
      <c r="E74" t="s">
        <v>54</v>
      </c>
      <c r="F74" t="s">
        <v>54</v>
      </c>
      <c r="G74" t="s">
        <v>54</v>
      </c>
      <c r="H74" t="s">
        <v>54</v>
      </c>
      <c r="I74" t="s">
        <v>54</v>
      </c>
      <c r="J74" t="s">
        <v>54</v>
      </c>
      <c r="K74" t="s">
        <v>163</v>
      </c>
      <c r="L74">
        <v>-1</v>
      </c>
      <c r="M74">
        <v>0</v>
      </c>
      <c r="N74">
        <v>-1</v>
      </c>
      <c r="O74">
        <v>0</v>
      </c>
      <c r="P74" t="s">
        <v>70</v>
      </c>
      <c r="Q74">
        <v>0</v>
      </c>
      <c r="R74">
        <v>0</v>
      </c>
      <c r="S74">
        <v>1220</v>
      </c>
      <c r="T74" t="s">
        <v>57</v>
      </c>
      <c r="U74">
        <v>0</v>
      </c>
      <c r="V74">
        <v>0</v>
      </c>
      <c r="W74">
        <v>0</v>
      </c>
      <c r="X74">
        <v>0</v>
      </c>
      <c r="Y74" t="s">
        <v>68</v>
      </c>
      <c r="Z74">
        <v>0</v>
      </c>
      <c r="AA74">
        <v>0</v>
      </c>
      <c r="AB74">
        <v>0</v>
      </c>
      <c r="AC74">
        <v>0</v>
      </c>
      <c r="AD74" t="s">
        <v>68</v>
      </c>
      <c r="AE74">
        <v>0</v>
      </c>
      <c r="AF74">
        <v>0</v>
      </c>
      <c r="AG74">
        <v>0</v>
      </c>
      <c r="AH74">
        <v>0</v>
      </c>
      <c r="AI74" t="b">
        <v>0</v>
      </c>
      <c r="AJ74" t="s">
        <v>58</v>
      </c>
      <c r="AK74" t="s">
        <v>58</v>
      </c>
      <c r="AL74" t="s">
        <v>71</v>
      </c>
      <c r="AM74">
        <v>14</v>
      </c>
      <c r="AN74">
        <v>1</v>
      </c>
      <c r="AO74">
        <v>15</v>
      </c>
      <c r="AP74">
        <v>11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s">
        <v>61</v>
      </c>
      <c r="AY74" t="s">
        <v>57</v>
      </c>
      <c r="AZ74" t="s">
        <v>55</v>
      </c>
      <c r="BA74" t="s">
        <v>58</v>
      </c>
      <c r="BB74" t="s">
        <v>58</v>
      </c>
    </row>
    <row r="75" spans="1:54" x14ac:dyDescent="0.25">
      <c r="A75" t="s">
        <v>54</v>
      </c>
      <c r="B75" t="s">
        <v>54</v>
      </c>
      <c r="C75" t="s">
        <v>54</v>
      </c>
      <c r="D75" t="s">
        <v>160</v>
      </c>
      <c r="E75" t="s">
        <v>54</v>
      </c>
      <c r="F75" t="s">
        <v>54</v>
      </c>
      <c r="G75" t="s">
        <v>54</v>
      </c>
      <c r="H75" t="s">
        <v>54</v>
      </c>
      <c r="I75" t="s">
        <v>54</v>
      </c>
      <c r="J75" t="s">
        <v>54</v>
      </c>
      <c r="K75" t="s">
        <v>167</v>
      </c>
      <c r="L75">
        <v>-1</v>
      </c>
      <c r="M75">
        <v>0</v>
      </c>
      <c r="N75">
        <v>-1</v>
      </c>
      <c r="O75">
        <v>0</v>
      </c>
      <c r="P75" t="s">
        <v>70</v>
      </c>
      <c r="Q75">
        <v>0</v>
      </c>
      <c r="R75">
        <v>0</v>
      </c>
      <c r="S75">
        <v>975</v>
      </c>
      <c r="T75" t="s">
        <v>57</v>
      </c>
      <c r="U75">
        <v>0</v>
      </c>
      <c r="V75">
        <v>0</v>
      </c>
      <c r="W75">
        <v>0</v>
      </c>
      <c r="X75">
        <v>0</v>
      </c>
      <c r="Y75" t="s">
        <v>67</v>
      </c>
      <c r="Z75">
        <v>0</v>
      </c>
      <c r="AA75">
        <v>0</v>
      </c>
      <c r="AB75">
        <v>0</v>
      </c>
      <c r="AC75">
        <v>0</v>
      </c>
      <c r="AD75" t="s">
        <v>60</v>
      </c>
      <c r="AE75">
        <v>0</v>
      </c>
      <c r="AF75">
        <v>0</v>
      </c>
      <c r="AG75">
        <v>0</v>
      </c>
      <c r="AH75">
        <v>0</v>
      </c>
      <c r="AI75" t="b">
        <v>0</v>
      </c>
      <c r="AJ75" t="s">
        <v>58</v>
      </c>
      <c r="AK75" t="s">
        <v>58</v>
      </c>
      <c r="AL75" t="s">
        <v>71</v>
      </c>
      <c r="AM75">
        <v>14</v>
      </c>
      <c r="AN75">
        <v>0</v>
      </c>
      <c r="AO75">
        <v>11</v>
      </c>
      <c r="AP75">
        <v>11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s">
        <v>61</v>
      </c>
      <c r="AY75" t="s">
        <v>57</v>
      </c>
      <c r="AZ75" t="s">
        <v>55</v>
      </c>
      <c r="BA75" t="s">
        <v>58</v>
      </c>
      <c r="BB75" t="s">
        <v>58</v>
      </c>
    </row>
    <row r="76" spans="1:54" x14ac:dyDescent="0.25">
      <c r="A76" t="s">
        <v>54</v>
      </c>
      <c r="B76" t="s">
        <v>54</v>
      </c>
      <c r="C76" t="s">
        <v>54</v>
      </c>
      <c r="D76" t="s">
        <v>157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 t="s">
        <v>147</v>
      </c>
      <c r="L76">
        <v>-1</v>
      </c>
      <c r="M76">
        <v>0</v>
      </c>
      <c r="N76">
        <v>-1</v>
      </c>
      <c r="O76">
        <v>0</v>
      </c>
      <c r="P76" t="s">
        <v>70</v>
      </c>
      <c r="Q76">
        <v>0</v>
      </c>
      <c r="R76">
        <v>0</v>
      </c>
      <c r="S76">
        <v>780</v>
      </c>
      <c r="T76" t="s">
        <v>57</v>
      </c>
      <c r="U76">
        <v>0</v>
      </c>
      <c r="V76">
        <v>0</v>
      </c>
      <c r="W76">
        <v>0</v>
      </c>
      <c r="X76">
        <v>0</v>
      </c>
      <c r="Y76" t="s">
        <v>67</v>
      </c>
      <c r="Z76">
        <v>0</v>
      </c>
      <c r="AA76">
        <v>0</v>
      </c>
      <c r="AB76">
        <v>0</v>
      </c>
      <c r="AC76">
        <v>0</v>
      </c>
      <c r="AD76" t="s">
        <v>60</v>
      </c>
      <c r="AE76">
        <v>0</v>
      </c>
      <c r="AF76">
        <v>0</v>
      </c>
      <c r="AG76">
        <v>0</v>
      </c>
      <c r="AH76">
        <v>0</v>
      </c>
      <c r="AI76" t="b">
        <v>0</v>
      </c>
      <c r="AJ76" t="s">
        <v>58</v>
      </c>
      <c r="AK76" t="s">
        <v>58</v>
      </c>
      <c r="AL76" t="s">
        <v>71</v>
      </c>
      <c r="AM76">
        <v>14</v>
      </c>
      <c r="AN76">
        <v>1</v>
      </c>
      <c r="AO76">
        <v>4</v>
      </c>
      <c r="AP76">
        <v>11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s">
        <v>61</v>
      </c>
      <c r="AY76" t="s">
        <v>57</v>
      </c>
      <c r="AZ76" t="s">
        <v>55</v>
      </c>
      <c r="BA76" t="s">
        <v>58</v>
      </c>
      <c r="BB76" t="s">
        <v>58</v>
      </c>
    </row>
    <row r="77" spans="1:54" x14ac:dyDescent="0.25">
      <c r="A77" t="s">
        <v>54</v>
      </c>
      <c r="B77" t="s">
        <v>54</v>
      </c>
      <c r="C77" t="s">
        <v>54</v>
      </c>
      <c r="D77" t="s">
        <v>169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 t="s">
        <v>161</v>
      </c>
      <c r="L77">
        <v>-1</v>
      </c>
      <c r="M77">
        <v>0</v>
      </c>
      <c r="N77">
        <v>-1</v>
      </c>
      <c r="O77">
        <v>0</v>
      </c>
      <c r="P77" t="s">
        <v>70</v>
      </c>
      <c r="Q77">
        <v>0</v>
      </c>
      <c r="R77">
        <v>0</v>
      </c>
      <c r="S77">
        <v>1220</v>
      </c>
      <c r="T77" t="s">
        <v>57</v>
      </c>
      <c r="U77">
        <v>0</v>
      </c>
      <c r="V77">
        <v>0</v>
      </c>
      <c r="W77">
        <v>0</v>
      </c>
      <c r="X77">
        <v>0</v>
      </c>
      <c r="Y77" t="s">
        <v>60</v>
      </c>
      <c r="Z77">
        <v>0</v>
      </c>
      <c r="AA77">
        <v>0</v>
      </c>
      <c r="AB77">
        <v>0</v>
      </c>
      <c r="AC77">
        <v>0</v>
      </c>
      <c r="AD77" t="s">
        <v>60</v>
      </c>
      <c r="AE77">
        <v>0</v>
      </c>
      <c r="AF77">
        <v>0</v>
      </c>
      <c r="AG77">
        <v>0</v>
      </c>
      <c r="AH77">
        <v>0</v>
      </c>
      <c r="AI77" t="b">
        <v>0</v>
      </c>
      <c r="AJ77" t="s">
        <v>58</v>
      </c>
      <c r="AK77" t="s">
        <v>58</v>
      </c>
      <c r="AL77" t="s">
        <v>71</v>
      </c>
      <c r="AM77">
        <v>14</v>
      </c>
      <c r="AN77">
        <v>0</v>
      </c>
      <c r="AO77">
        <v>12</v>
      </c>
      <c r="AP77">
        <v>11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s">
        <v>61</v>
      </c>
      <c r="AY77" t="s">
        <v>57</v>
      </c>
      <c r="AZ77" t="s">
        <v>55</v>
      </c>
      <c r="BA77" t="s">
        <v>58</v>
      </c>
      <c r="BB77" t="s">
        <v>58</v>
      </c>
    </row>
    <row r="78" spans="1:54" x14ac:dyDescent="0.25">
      <c r="A78" t="s">
        <v>54</v>
      </c>
      <c r="B78" t="s">
        <v>54</v>
      </c>
      <c r="C78" t="s">
        <v>54</v>
      </c>
      <c r="D78" t="s">
        <v>146</v>
      </c>
      <c r="E78" t="s">
        <v>54</v>
      </c>
      <c r="F78" t="s">
        <v>54</v>
      </c>
      <c r="G78" t="s">
        <v>54</v>
      </c>
      <c r="H78" t="s">
        <v>54</v>
      </c>
      <c r="I78" t="s">
        <v>54</v>
      </c>
      <c r="J78" t="s">
        <v>54</v>
      </c>
      <c r="K78" t="s">
        <v>163</v>
      </c>
      <c r="L78">
        <v>-1</v>
      </c>
      <c r="M78">
        <v>0</v>
      </c>
      <c r="N78">
        <v>-1</v>
      </c>
      <c r="O78">
        <v>0</v>
      </c>
      <c r="P78" t="s">
        <v>70</v>
      </c>
      <c r="Q78">
        <v>0</v>
      </c>
      <c r="R78">
        <v>0</v>
      </c>
      <c r="S78">
        <v>780</v>
      </c>
      <c r="T78" t="s">
        <v>57</v>
      </c>
      <c r="U78">
        <v>0</v>
      </c>
      <c r="V78">
        <v>0</v>
      </c>
      <c r="W78">
        <v>0</v>
      </c>
      <c r="X78">
        <v>0</v>
      </c>
      <c r="Y78" t="s">
        <v>67</v>
      </c>
      <c r="Z78">
        <v>0</v>
      </c>
      <c r="AA78">
        <v>0</v>
      </c>
      <c r="AB78">
        <v>0</v>
      </c>
      <c r="AC78">
        <v>0</v>
      </c>
      <c r="AD78" t="s">
        <v>60</v>
      </c>
      <c r="AE78">
        <v>0</v>
      </c>
      <c r="AF78">
        <v>0</v>
      </c>
      <c r="AG78">
        <v>0</v>
      </c>
      <c r="AH78">
        <v>0</v>
      </c>
      <c r="AI78" t="b">
        <v>0</v>
      </c>
      <c r="AJ78" t="s">
        <v>58</v>
      </c>
      <c r="AK78" t="s">
        <v>58</v>
      </c>
      <c r="AL78" t="s">
        <v>71</v>
      </c>
      <c r="AM78">
        <v>14</v>
      </c>
      <c r="AN78">
        <v>0</v>
      </c>
      <c r="AO78">
        <v>7</v>
      </c>
      <c r="AP78">
        <v>11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s">
        <v>61</v>
      </c>
      <c r="AY78" t="s">
        <v>57</v>
      </c>
      <c r="AZ78" t="s">
        <v>55</v>
      </c>
      <c r="BA78" t="s">
        <v>58</v>
      </c>
      <c r="BB78" t="s">
        <v>58</v>
      </c>
    </row>
    <row r="79" spans="1:54" x14ac:dyDescent="0.25">
      <c r="A79" t="s">
        <v>54</v>
      </c>
      <c r="B79" t="s">
        <v>54</v>
      </c>
      <c r="C79" t="s">
        <v>54</v>
      </c>
      <c r="D79" t="s">
        <v>171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 t="s">
        <v>172</v>
      </c>
      <c r="L79">
        <v>-1</v>
      </c>
      <c r="M79">
        <v>0</v>
      </c>
      <c r="N79">
        <v>-1</v>
      </c>
      <c r="O79">
        <v>0</v>
      </c>
      <c r="P79" t="s">
        <v>70</v>
      </c>
      <c r="Q79">
        <v>0</v>
      </c>
      <c r="R79">
        <v>0</v>
      </c>
      <c r="S79">
        <v>780</v>
      </c>
      <c r="T79" t="s">
        <v>57</v>
      </c>
      <c r="U79">
        <v>0</v>
      </c>
      <c r="V79">
        <v>0</v>
      </c>
      <c r="W79">
        <v>0</v>
      </c>
      <c r="X79">
        <v>0</v>
      </c>
      <c r="Y79" t="s">
        <v>67</v>
      </c>
      <c r="Z79">
        <v>0</v>
      </c>
      <c r="AA79">
        <v>0</v>
      </c>
      <c r="AB79">
        <v>0</v>
      </c>
      <c r="AC79">
        <v>0</v>
      </c>
      <c r="AD79" t="s">
        <v>60</v>
      </c>
      <c r="AE79">
        <v>0</v>
      </c>
      <c r="AF79">
        <v>0</v>
      </c>
      <c r="AG79">
        <v>0</v>
      </c>
      <c r="AH79">
        <v>0</v>
      </c>
      <c r="AI79" t="b">
        <v>0</v>
      </c>
      <c r="AJ79" t="s">
        <v>58</v>
      </c>
      <c r="AK79" t="s">
        <v>58</v>
      </c>
      <c r="AL79" t="s">
        <v>71</v>
      </c>
      <c r="AM79">
        <v>14</v>
      </c>
      <c r="AN79">
        <v>1</v>
      </c>
      <c r="AO79">
        <v>5</v>
      </c>
      <c r="AP79">
        <v>11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s">
        <v>61</v>
      </c>
      <c r="AY79" t="s">
        <v>57</v>
      </c>
      <c r="AZ79" t="s">
        <v>55</v>
      </c>
      <c r="BA79" t="s">
        <v>58</v>
      </c>
      <c r="BB79" t="s">
        <v>58</v>
      </c>
    </row>
    <row r="80" spans="1:54" x14ac:dyDescent="0.25">
      <c r="A80" t="s">
        <v>54</v>
      </c>
      <c r="B80" t="s">
        <v>54</v>
      </c>
      <c r="C80" t="s">
        <v>54</v>
      </c>
      <c r="D80" t="s">
        <v>168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 t="s">
        <v>170</v>
      </c>
      <c r="L80">
        <v>-1</v>
      </c>
      <c r="M80">
        <v>0</v>
      </c>
      <c r="N80">
        <v>-1</v>
      </c>
      <c r="O80">
        <v>0</v>
      </c>
      <c r="P80" t="s">
        <v>70</v>
      </c>
      <c r="Q80">
        <v>0</v>
      </c>
      <c r="R80">
        <v>0</v>
      </c>
      <c r="S80">
        <v>975</v>
      </c>
      <c r="T80" t="s">
        <v>57</v>
      </c>
      <c r="U80">
        <v>0</v>
      </c>
      <c r="V80">
        <v>0</v>
      </c>
      <c r="W80">
        <v>0</v>
      </c>
      <c r="X80">
        <v>0</v>
      </c>
      <c r="Y80" t="s">
        <v>67</v>
      </c>
      <c r="Z80">
        <v>0</v>
      </c>
      <c r="AA80">
        <v>0</v>
      </c>
      <c r="AB80">
        <v>0</v>
      </c>
      <c r="AC80">
        <v>0</v>
      </c>
      <c r="AD80" t="s">
        <v>60</v>
      </c>
      <c r="AE80">
        <v>0</v>
      </c>
      <c r="AF80">
        <v>0</v>
      </c>
      <c r="AG80">
        <v>0</v>
      </c>
      <c r="AH80">
        <v>0</v>
      </c>
      <c r="AI80" t="b">
        <v>0</v>
      </c>
      <c r="AJ80" t="s">
        <v>58</v>
      </c>
      <c r="AK80" t="s">
        <v>58</v>
      </c>
      <c r="AL80" t="s">
        <v>71</v>
      </c>
      <c r="AM80">
        <v>14</v>
      </c>
      <c r="AN80">
        <v>1</v>
      </c>
      <c r="AO80">
        <v>11</v>
      </c>
      <c r="AP80">
        <v>11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s">
        <v>61</v>
      </c>
      <c r="AY80" t="s">
        <v>57</v>
      </c>
      <c r="AZ80" t="s">
        <v>55</v>
      </c>
      <c r="BA80" t="s">
        <v>58</v>
      </c>
      <c r="BB80" t="s">
        <v>58</v>
      </c>
    </row>
    <row r="81" spans="1:54" x14ac:dyDescent="0.25">
      <c r="A81" t="s">
        <v>54</v>
      </c>
      <c r="B81" t="s">
        <v>54</v>
      </c>
      <c r="C81" t="s">
        <v>54</v>
      </c>
      <c r="D81" t="s">
        <v>145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150</v>
      </c>
      <c r="L81">
        <v>-1</v>
      </c>
      <c r="M81">
        <v>0</v>
      </c>
      <c r="N81">
        <v>-1</v>
      </c>
      <c r="O81">
        <v>0</v>
      </c>
      <c r="P81" t="s">
        <v>70</v>
      </c>
      <c r="Q81">
        <v>0</v>
      </c>
      <c r="R81">
        <v>0</v>
      </c>
      <c r="S81">
        <v>975</v>
      </c>
      <c r="T81" t="s">
        <v>57</v>
      </c>
      <c r="U81">
        <v>0</v>
      </c>
      <c r="V81">
        <v>0</v>
      </c>
      <c r="W81">
        <v>0</v>
      </c>
      <c r="X81">
        <v>0</v>
      </c>
      <c r="Y81" t="s">
        <v>67</v>
      </c>
      <c r="Z81">
        <v>0</v>
      </c>
      <c r="AA81">
        <v>0</v>
      </c>
      <c r="AB81">
        <v>0</v>
      </c>
      <c r="AC81">
        <v>0</v>
      </c>
      <c r="AD81" t="s">
        <v>60</v>
      </c>
      <c r="AE81">
        <v>0</v>
      </c>
      <c r="AF81">
        <v>0</v>
      </c>
      <c r="AG81">
        <v>0</v>
      </c>
      <c r="AH81">
        <v>0</v>
      </c>
      <c r="AI81" t="b">
        <v>0</v>
      </c>
      <c r="AJ81" t="s">
        <v>58</v>
      </c>
      <c r="AK81" t="s">
        <v>58</v>
      </c>
      <c r="AL81" t="s">
        <v>71</v>
      </c>
      <c r="AM81">
        <v>14</v>
      </c>
      <c r="AN81">
        <v>3</v>
      </c>
      <c r="AO81">
        <v>10</v>
      </c>
      <c r="AP81">
        <v>11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s">
        <v>61</v>
      </c>
      <c r="AY81" t="s">
        <v>57</v>
      </c>
      <c r="AZ81" t="s">
        <v>55</v>
      </c>
      <c r="BA81" t="s">
        <v>58</v>
      </c>
      <c r="BB81" t="s">
        <v>58</v>
      </c>
    </row>
    <row r="82" spans="1:54" x14ac:dyDescent="0.25">
      <c r="A82" t="s">
        <v>54</v>
      </c>
      <c r="B82" t="s">
        <v>54</v>
      </c>
      <c r="C82" t="s">
        <v>54</v>
      </c>
      <c r="D82" t="s">
        <v>155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152</v>
      </c>
      <c r="L82">
        <v>-1</v>
      </c>
      <c r="M82">
        <v>0</v>
      </c>
      <c r="N82">
        <v>-1</v>
      </c>
      <c r="O82">
        <v>0</v>
      </c>
      <c r="P82" t="s">
        <v>70</v>
      </c>
      <c r="Q82">
        <v>0</v>
      </c>
      <c r="R82">
        <v>0</v>
      </c>
      <c r="S82">
        <v>965</v>
      </c>
      <c r="T82" t="s">
        <v>57</v>
      </c>
      <c r="U82">
        <v>0</v>
      </c>
      <c r="V82">
        <v>0</v>
      </c>
      <c r="W82">
        <v>0</v>
      </c>
      <c r="X82">
        <v>0</v>
      </c>
      <c r="Y82" t="s">
        <v>67</v>
      </c>
      <c r="Z82">
        <v>0</v>
      </c>
      <c r="AA82">
        <v>0</v>
      </c>
      <c r="AB82">
        <v>0</v>
      </c>
      <c r="AC82">
        <v>0</v>
      </c>
      <c r="AD82" t="s">
        <v>60</v>
      </c>
      <c r="AE82">
        <v>0</v>
      </c>
      <c r="AF82">
        <v>0</v>
      </c>
      <c r="AG82">
        <v>0</v>
      </c>
      <c r="AH82">
        <v>0</v>
      </c>
      <c r="AI82" t="b">
        <v>0</v>
      </c>
      <c r="AJ82" t="s">
        <v>58</v>
      </c>
      <c r="AK82" t="s">
        <v>58</v>
      </c>
      <c r="AL82" t="s">
        <v>71</v>
      </c>
      <c r="AM82">
        <v>14</v>
      </c>
      <c r="AN82">
        <v>3</v>
      </c>
      <c r="AO82">
        <v>8</v>
      </c>
      <c r="AP82">
        <v>11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s">
        <v>61</v>
      </c>
      <c r="AY82" t="s">
        <v>57</v>
      </c>
      <c r="AZ82" t="s">
        <v>55</v>
      </c>
      <c r="BA82" t="s">
        <v>58</v>
      </c>
      <c r="BB82" t="s">
        <v>58</v>
      </c>
    </row>
    <row r="83" spans="1:54" x14ac:dyDescent="0.25">
      <c r="A83" t="s">
        <v>54</v>
      </c>
      <c r="B83" t="s">
        <v>54</v>
      </c>
      <c r="C83" t="s">
        <v>54</v>
      </c>
      <c r="D83" t="s">
        <v>152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165</v>
      </c>
      <c r="L83">
        <v>-1</v>
      </c>
      <c r="M83">
        <v>0</v>
      </c>
      <c r="N83">
        <v>-1</v>
      </c>
      <c r="O83">
        <v>0</v>
      </c>
      <c r="P83" t="s">
        <v>70</v>
      </c>
      <c r="Q83">
        <v>0</v>
      </c>
      <c r="R83">
        <v>0</v>
      </c>
      <c r="S83">
        <v>780</v>
      </c>
      <c r="T83" t="s">
        <v>57</v>
      </c>
      <c r="U83">
        <v>0</v>
      </c>
      <c r="V83">
        <v>0</v>
      </c>
      <c r="W83">
        <v>0</v>
      </c>
      <c r="X83">
        <v>0</v>
      </c>
      <c r="Y83" t="s">
        <v>67</v>
      </c>
      <c r="Z83">
        <v>0</v>
      </c>
      <c r="AA83">
        <v>0</v>
      </c>
      <c r="AB83">
        <v>0</v>
      </c>
      <c r="AC83">
        <v>0</v>
      </c>
      <c r="AD83" t="s">
        <v>60</v>
      </c>
      <c r="AE83">
        <v>0</v>
      </c>
      <c r="AF83">
        <v>0</v>
      </c>
      <c r="AG83">
        <v>0</v>
      </c>
      <c r="AH83">
        <v>0</v>
      </c>
      <c r="AI83" t="b">
        <v>0</v>
      </c>
      <c r="AJ83" t="s">
        <v>58</v>
      </c>
      <c r="AK83" t="s">
        <v>58</v>
      </c>
      <c r="AL83" t="s">
        <v>71</v>
      </c>
      <c r="AM83">
        <v>14</v>
      </c>
      <c r="AN83">
        <v>1</v>
      </c>
      <c r="AO83">
        <v>6</v>
      </c>
      <c r="AP83">
        <v>11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s">
        <v>61</v>
      </c>
      <c r="AY83" t="s">
        <v>57</v>
      </c>
      <c r="AZ83" t="s">
        <v>55</v>
      </c>
      <c r="BA83" t="s">
        <v>58</v>
      </c>
      <c r="BB83" t="s">
        <v>58</v>
      </c>
    </row>
    <row r="84" spans="1:54" x14ac:dyDescent="0.25">
      <c r="A84" t="s">
        <v>54</v>
      </c>
      <c r="B84" t="s">
        <v>54</v>
      </c>
      <c r="C84" t="s">
        <v>54</v>
      </c>
      <c r="D84" t="s">
        <v>157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148</v>
      </c>
      <c r="L84">
        <v>-1</v>
      </c>
      <c r="M84">
        <v>0</v>
      </c>
      <c r="N84">
        <v>-1</v>
      </c>
      <c r="O84">
        <v>0</v>
      </c>
      <c r="P84" t="s">
        <v>70</v>
      </c>
      <c r="Q84">
        <v>0</v>
      </c>
      <c r="R84">
        <v>0</v>
      </c>
      <c r="S84">
        <v>780</v>
      </c>
      <c r="T84" t="s">
        <v>57</v>
      </c>
      <c r="U84">
        <v>0</v>
      </c>
      <c r="V84">
        <v>0</v>
      </c>
      <c r="W84">
        <v>0</v>
      </c>
      <c r="X84">
        <v>0</v>
      </c>
      <c r="Y84" t="s">
        <v>67</v>
      </c>
      <c r="Z84">
        <v>0</v>
      </c>
      <c r="AA84">
        <v>0</v>
      </c>
      <c r="AB84">
        <v>0</v>
      </c>
      <c r="AC84">
        <v>0</v>
      </c>
      <c r="AD84" t="s">
        <v>60</v>
      </c>
      <c r="AE84">
        <v>0</v>
      </c>
      <c r="AF84">
        <v>0</v>
      </c>
      <c r="AG84">
        <v>0</v>
      </c>
      <c r="AH84">
        <v>0</v>
      </c>
      <c r="AI84" t="b">
        <v>0</v>
      </c>
      <c r="AJ84" t="s">
        <v>58</v>
      </c>
      <c r="AK84" t="s">
        <v>58</v>
      </c>
      <c r="AL84" t="s">
        <v>71</v>
      </c>
      <c r="AM84">
        <v>14</v>
      </c>
      <c r="AN84">
        <v>2</v>
      </c>
      <c r="AO84">
        <v>1</v>
      </c>
      <c r="AP84">
        <v>11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s">
        <v>61</v>
      </c>
      <c r="AY84" t="s">
        <v>57</v>
      </c>
      <c r="AZ84" t="s">
        <v>55</v>
      </c>
      <c r="BA84" t="s">
        <v>58</v>
      </c>
      <c r="BB84" t="s">
        <v>58</v>
      </c>
    </row>
    <row r="85" spans="1:54" x14ac:dyDescent="0.25">
      <c r="A85" t="s">
        <v>54</v>
      </c>
      <c r="B85" t="s">
        <v>54</v>
      </c>
      <c r="C85" t="s">
        <v>54</v>
      </c>
      <c r="D85" t="s">
        <v>158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160</v>
      </c>
      <c r="L85">
        <v>-1</v>
      </c>
      <c r="M85">
        <v>0</v>
      </c>
      <c r="N85">
        <v>-1</v>
      </c>
      <c r="O85">
        <v>0</v>
      </c>
      <c r="P85" t="s">
        <v>70</v>
      </c>
      <c r="Q85">
        <v>0</v>
      </c>
      <c r="R85">
        <v>0</v>
      </c>
      <c r="S85">
        <v>1220</v>
      </c>
      <c r="T85" t="s">
        <v>57</v>
      </c>
      <c r="U85">
        <v>0</v>
      </c>
      <c r="V85">
        <v>0</v>
      </c>
      <c r="W85">
        <v>0</v>
      </c>
      <c r="X85">
        <v>0</v>
      </c>
      <c r="Y85" t="s">
        <v>68</v>
      </c>
      <c r="Z85">
        <v>0</v>
      </c>
      <c r="AA85">
        <v>0</v>
      </c>
      <c r="AB85">
        <v>0</v>
      </c>
      <c r="AC85">
        <v>0</v>
      </c>
      <c r="AD85" t="s">
        <v>68</v>
      </c>
      <c r="AE85">
        <v>0</v>
      </c>
      <c r="AF85">
        <v>0</v>
      </c>
      <c r="AG85">
        <v>0</v>
      </c>
      <c r="AH85">
        <v>0</v>
      </c>
      <c r="AI85" t="b">
        <v>0</v>
      </c>
      <c r="AJ85" t="s">
        <v>58</v>
      </c>
      <c r="AK85" t="s">
        <v>58</v>
      </c>
      <c r="AL85" t="s">
        <v>71</v>
      </c>
      <c r="AM85">
        <v>14</v>
      </c>
      <c r="AN85">
        <v>2</v>
      </c>
      <c r="AO85">
        <v>15</v>
      </c>
      <c r="AP85">
        <v>11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s">
        <v>61</v>
      </c>
      <c r="AY85" t="s">
        <v>57</v>
      </c>
      <c r="AZ85" t="s">
        <v>55</v>
      </c>
      <c r="BA85" t="s">
        <v>58</v>
      </c>
      <c r="BB85" t="s">
        <v>58</v>
      </c>
    </row>
    <row r="86" spans="1:54" x14ac:dyDescent="0.25">
      <c r="A86" t="s">
        <v>54</v>
      </c>
      <c r="B86" t="s">
        <v>54</v>
      </c>
      <c r="C86" t="s">
        <v>54</v>
      </c>
      <c r="D86" t="s">
        <v>154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164</v>
      </c>
      <c r="L86">
        <v>-1</v>
      </c>
      <c r="M86">
        <v>0</v>
      </c>
      <c r="N86">
        <v>-1</v>
      </c>
      <c r="O86">
        <v>0</v>
      </c>
      <c r="P86" t="s">
        <v>70</v>
      </c>
      <c r="Q86">
        <v>0</v>
      </c>
      <c r="R86">
        <v>0</v>
      </c>
      <c r="S86">
        <v>780</v>
      </c>
      <c r="T86" t="s">
        <v>57</v>
      </c>
      <c r="U86">
        <v>0</v>
      </c>
      <c r="V86">
        <v>0</v>
      </c>
      <c r="W86">
        <v>0</v>
      </c>
      <c r="X86">
        <v>0</v>
      </c>
      <c r="Y86" t="s">
        <v>67</v>
      </c>
      <c r="Z86">
        <v>0</v>
      </c>
      <c r="AA86">
        <v>0</v>
      </c>
      <c r="AB86">
        <v>0</v>
      </c>
      <c r="AC86">
        <v>0</v>
      </c>
      <c r="AD86" t="s">
        <v>60</v>
      </c>
      <c r="AE86">
        <v>0</v>
      </c>
      <c r="AF86">
        <v>0</v>
      </c>
      <c r="AG86">
        <v>0</v>
      </c>
      <c r="AH86">
        <v>0</v>
      </c>
      <c r="AI86" t="b">
        <v>0</v>
      </c>
      <c r="AJ86" t="s">
        <v>58</v>
      </c>
      <c r="AK86" t="s">
        <v>58</v>
      </c>
      <c r="AL86" t="s">
        <v>71</v>
      </c>
      <c r="AM86">
        <v>14</v>
      </c>
      <c r="AN86">
        <v>2</v>
      </c>
      <c r="AO86">
        <v>2</v>
      </c>
      <c r="AP86">
        <v>11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s">
        <v>61</v>
      </c>
      <c r="AY86" t="s">
        <v>57</v>
      </c>
      <c r="AZ86" t="s">
        <v>55</v>
      </c>
      <c r="BA86" t="s">
        <v>58</v>
      </c>
      <c r="BB86" t="s">
        <v>58</v>
      </c>
    </row>
    <row r="87" spans="1:54" x14ac:dyDescent="0.25">
      <c r="A87" t="s">
        <v>54</v>
      </c>
      <c r="B87" t="s">
        <v>54</v>
      </c>
      <c r="C87" t="s">
        <v>54</v>
      </c>
      <c r="D87" t="s">
        <v>150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144</v>
      </c>
      <c r="L87">
        <v>-1</v>
      </c>
      <c r="M87">
        <v>0</v>
      </c>
      <c r="N87">
        <v>-1</v>
      </c>
      <c r="O87">
        <v>0</v>
      </c>
      <c r="P87" t="s">
        <v>70</v>
      </c>
      <c r="Q87">
        <v>0</v>
      </c>
      <c r="R87">
        <v>0</v>
      </c>
      <c r="S87">
        <v>780</v>
      </c>
      <c r="T87" t="s">
        <v>57</v>
      </c>
      <c r="U87">
        <v>0</v>
      </c>
      <c r="V87">
        <v>0</v>
      </c>
      <c r="W87">
        <v>0</v>
      </c>
      <c r="X87">
        <v>0</v>
      </c>
      <c r="Y87" t="s">
        <v>67</v>
      </c>
      <c r="Z87">
        <v>0</v>
      </c>
      <c r="AA87">
        <v>0</v>
      </c>
      <c r="AB87">
        <v>0</v>
      </c>
      <c r="AC87">
        <v>0</v>
      </c>
      <c r="AD87" t="s">
        <v>60</v>
      </c>
      <c r="AE87">
        <v>0</v>
      </c>
      <c r="AF87">
        <v>0</v>
      </c>
      <c r="AG87">
        <v>0</v>
      </c>
      <c r="AH87">
        <v>0</v>
      </c>
      <c r="AI87" t="b">
        <v>0</v>
      </c>
      <c r="AJ87" t="s">
        <v>58</v>
      </c>
      <c r="AK87" t="s">
        <v>58</v>
      </c>
      <c r="AL87" t="s">
        <v>71</v>
      </c>
      <c r="AM87">
        <v>14</v>
      </c>
      <c r="AN87">
        <v>2</v>
      </c>
      <c r="AO87">
        <v>3</v>
      </c>
      <c r="AP87">
        <v>11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s">
        <v>61</v>
      </c>
      <c r="AY87" t="s">
        <v>57</v>
      </c>
      <c r="AZ87" t="s">
        <v>55</v>
      </c>
      <c r="BA87" t="s">
        <v>58</v>
      </c>
      <c r="BB87" t="s">
        <v>58</v>
      </c>
    </row>
    <row r="88" spans="1:54" x14ac:dyDescent="0.25">
      <c r="A88" t="s">
        <v>54</v>
      </c>
      <c r="B88" t="s">
        <v>54</v>
      </c>
      <c r="C88" t="s">
        <v>54</v>
      </c>
      <c r="D88" t="s">
        <v>172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160</v>
      </c>
      <c r="L88">
        <v>-1</v>
      </c>
      <c r="M88">
        <v>0</v>
      </c>
      <c r="N88">
        <v>-1</v>
      </c>
      <c r="O88">
        <v>0</v>
      </c>
      <c r="P88" t="s">
        <v>70</v>
      </c>
      <c r="Q88">
        <v>0</v>
      </c>
      <c r="R88">
        <v>0</v>
      </c>
      <c r="S88">
        <v>780</v>
      </c>
      <c r="T88" t="s">
        <v>57</v>
      </c>
      <c r="U88">
        <v>0</v>
      </c>
      <c r="V88">
        <v>0</v>
      </c>
      <c r="W88">
        <v>0</v>
      </c>
      <c r="X88">
        <v>0</v>
      </c>
      <c r="Y88" t="s">
        <v>67</v>
      </c>
      <c r="Z88">
        <v>0</v>
      </c>
      <c r="AA88">
        <v>0</v>
      </c>
      <c r="AB88">
        <v>0</v>
      </c>
      <c r="AC88">
        <v>0</v>
      </c>
      <c r="AD88" t="s">
        <v>60</v>
      </c>
      <c r="AE88">
        <v>0</v>
      </c>
      <c r="AF88">
        <v>0</v>
      </c>
      <c r="AG88">
        <v>0</v>
      </c>
      <c r="AH88">
        <v>0</v>
      </c>
      <c r="AI88" t="b">
        <v>0</v>
      </c>
      <c r="AJ88" t="s">
        <v>58</v>
      </c>
      <c r="AK88" t="s">
        <v>58</v>
      </c>
      <c r="AL88" t="s">
        <v>71</v>
      </c>
      <c r="AM88">
        <v>14</v>
      </c>
      <c r="AN88">
        <v>3</v>
      </c>
      <c r="AO88">
        <v>0</v>
      </c>
      <c r="AP88">
        <v>11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s">
        <v>61</v>
      </c>
      <c r="AY88" t="s">
        <v>57</v>
      </c>
      <c r="AZ88" t="s">
        <v>55</v>
      </c>
      <c r="BA88" t="s">
        <v>58</v>
      </c>
      <c r="BB88" t="s">
        <v>58</v>
      </c>
    </row>
    <row r="89" spans="1:54" x14ac:dyDescent="0.25">
      <c r="A89" t="s">
        <v>54</v>
      </c>
      <c r="B89" t="s">
        <v>54</v>
      </c>
      <c r="C89" t="s">
        <v>54</v>
      </c>
      <c r="D89" t="s">
        <v>165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  <c r="J89" t="s">
        <v>54</v>
      </c>
      <c r="K89" t="s">
        <v>166</v>
      </c>
      <c r="L89">
        <v>-1</v>
      </c>
      <c r="M89">
        <v>0</v>
      </c>
      <c r="N89">
        <v>-1</v>
      </c>
      <c r="O89">
        <v>0</v>
      </c>
      <c r="P89" t="s">
        <v>70</v>
      </c>
      <c r="Q89">
        <v>0</v>
      </c>
      <c r="R89">
        <v>0</v>
      </c>
      <c r="S89">
        <v>780</v>
      </c>
      <c r="T89" t="s">
        <v>57</v>
      </c>
      <c r="U89">
        <v>0</v>
      </c>
      <c r="V89">
        <v>0</v>
      </c>
      <c r="W89">
        <v>0</v>
      </c>
      <c r="X89">
        <v>0</v>
      </c>
      <c r="Y89" t="s">
        <v>67</v>
      </c>
      <c r="Z89">
        <v>0</v>
      </c>
      <c r="AA89">
        <v>0</v>
      </c>
      <c r="AB89">
        <v>0</v>
      </c>
      <c r="AC89">
        <v>0</v>
      </c>
      <c r="AD89" t="s">
        <v>60</v>
      </c>
      <c r="AE89">
        <v>0</v>
      </c>
      <c r="AF89">
        <v>0</v>
      </c>
      <c r="AG89">
        <v>0</v>
      </c>
      <c r="AH89">
        <v>0</v>
      </c>
      <c r="AI89" t="b">
        <v>0</v>
      </c>
      <c r="AJ89" t="s">
        <v>58</v>
      </c>
      <c r="AK89" t="s">
        <v>58</v>
      </c>
      <c r="AL89" t="s">
        <v>71</v>
      </c>
      <c r="AM89">
        <v>14</v>
      </c>
      <c r="AN89">
        <v>2</v>
      </c>
      <c r="AO89">
        <v>4</v>
      </c>
      <c r="AP89">
        <v>11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s">
        <v>61</v>
      </c>
      <c r="AY89" t="s">
        <v>57</v>
      </c>
      <c r="AZ89" t="s">
        <v>55</v>
      </c>
      <c r="BA89" t="s">
        <v>58</v>
      </c>
      <c r="BB89" t="s">
        <v>58</v>
      </c>
    </row>
    <row r="90" spans="1:54" x14ac:dyDescent="0.25">
      <c r="A90" t="s">
        <v>54</v>
      </c>
      <c r="B90" t="s">
        <v>54</v>
      </c>
      <c r="C90" t="s">
        <v>54</v>
      </c>
      <c r="D90" t="s">
        <v>151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159</v>
      </c>
      <c r="L90">
        <v>-1</v>
      </c>
      <c r="M90">
        <v>0</v>
      </c>
      <c r="N90">
        <v>-1</v>
      </c>
      <c r="O90">
        <v>0</v>
      </c>
      <c r="P90" t="s">
        <v>70</v>
      </c>
      <c r="Q90">
        <v>0</v>
      </c>
      <c r="R90">
        <v>0</v>
      </c>
      <c r="S90">
        <v>780</v>
      </c>
      <c r="T90" t="s">
        <v>57</v>
      </c>
      <c r="U90">
        <v>0</v>
      </c>
      <c r="V90">
        <v>0</v>
      </c>
      <c r="W90">
        <v>0</v>
      </c>
      <c r="X90">
        <v>0</v>
      </c>
      <c r="Y90" t="s">
        <v>67</v>
      </c>
      <c r="Z90">
        <v>0</v>
      </c>
      <c r="AA90">
        <v>0</v>
      </c>
      <c r="AB90">
        <v>0</v>
      </c>
      <c r="AC90">
        <v>0</v>
      </c>
      <c r="AD90" t="s">
        <v>60</v>
      </c>
      <c r="AE90">
        <v>0</v>
      </c>
      <c r="AF90">
        <v>0</v>
      </c>
      <c r="AG90">
        <v>0</v>
      </c>
      <c r="AH90">
        <v>0</v>
      </c>
      <c r="AI90" t="b">
        <v>0</v>
      </c>
      <c r="AJ90" t="s">
        <v>58</v>
      </c>
      <c r="AK90" t="s">
        <v>58</v>
      </c>
      <c r="AL90" t="s">
        <v>71</v>
      </c>
      <c r="AM90">
        <v>14</v>
      </c>
      <c r="AN90">
        <v>1</v>
      </c>
      <c r="AO90">
        <v>7</v>
      </c>
      <c r="AP90">
        <v>11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s">
        <v>61</v>
      </c>
      <c r="AY90" t="s">
        <v>57</v>
      </c>
      <c r="AZ90" t="s">
        <v>55</v>
      </c>
      <c r="BA90" t="s">
        <v>58</v>
      </c>
      <c r="BB90" t="s">
        <v>58</v>
      </c>
    </row>
    <row r="91" spans="1:54" x14ac:dyDescent="0.25">
      <c r="A91" t="s">
        <v>54</v>
      </c>
      <c r="B91" t="s">
        <v>54</v>
      </c>
      <c r="C91" t="s">
        <v>54</v>
      </c>
      <c r="D91" t="s">
        <v>147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158</v>
      </c>
      <c r="L91">
        <v>-1</v>
      </c>
      <c r="M91">
        <v>0</v>
      </c>
      <c r="N91">
        <v>-1</v>
      </c>
      <c r="O91">
        <v>0</v>
      </c>
      <c r="P91" t="s">
        <v>70</v>
      </c>
      <c r="Q91">
        <v>0</v>
      </c>
      <c r="R91">
        <v>0</v>
      </c>
      <c r="S91">
        <v>1220</v>
      </c>
      <c r="T91" t="s">
        <v>57</v>
      </c>
      <c r="U91">
        <v>0</v>
      </c>
      <c r="V91">
        <v>0</v>
      </c>
      <c r="W91">
        <v>0</v>
      </c>
      <c r="X91">
        <v>0</v>
      </c>
      <c r="Y91" t="s">
        <v>68</v>
      </c>
      <c r="Z91">
        <v>0</v>
      </c>
      <c r="AA91">
        <v>0</v>
      </c>
      <c r="AB91">
        <v>0</v>
      </c>
      <c r="AC91">
        <v>0</v>
      </c>
      <c r="AD91" t="s">
        <v>68</v>
      </c>
      <c r="AE91">
        <v>0</v>
      </c>
      <c r="AF91">
        <v>0</v>
      </c>
      <c r="AG91">
        <v>0</v>
      </c>
      <c r="AH91">
        <v>0</v>
      </c>
      <c r="AI91" t="b">
        <v>0</v>
      </c>
      <c r="AJ91" t="s">
        <v>58</v>
      </c>
      <c r="AK91" t="s">
        <v>58</v>
      </c>
      <c r="AL91" t="s">
        <v>71</v>
      </c>
      <c r="AM91">
        <v>14</v>
      </c>
      <c r="AN91">
        <v>3</v>
      </c>
      <c r="AO91">
        <v>15</v>
      </c>
      <c r="AP91">
        <v>11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s">
        <v>61</v>
      </c>
      <c r="AY91" t="s">
        <v>57</v>
      </c>
      <c r="AZ91" t="s">
        <v>55</v>
      </c>
      <c r="BA91" t="s">
        <v>58</v>
      </c>
      <c r="BB91" t="s">
        <v>58</v>
      </c>
    </row>
    <row r="92" spans="1:54" x14ac:dyDescent="0.25">
      <c r="A92" t="s">
        <v>54</v>
      </c>
      <c r="B92" t="s">
        <v>54</v>
      </c>
      <c r="C92" t="s">
        <v>54</v>
      </c>
      <c r="D92" t="s">
        <v>169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  <c r="J92" t="s">
        <v>54</v>
      </c>
      <c r="K92" t="s">
        <v>159</v>
      </c>
      <c r="L92">
        <v>-1</v>
      </c>
      <c r="M92">
        <v>0</v>
      </c>
      <c r="N92">
        <v>-1</v>
      </c>
      <c r="O92">
        <v>0</v>
      </c>
      <c r="P92" t="s">
        <v>70</v>
      </c>
      <c r="Q92">
        <v>0</v>
      </c>
      <c r="R92">
        <v>0</v>
      </c>
      <c r="S92">
        <v>1220</v>
      </c>
      <c r="T92" t="s">
        <v>57</v>
      </c>
      <c r="U92">
        <v>0</v>
      </c>
      <c r="V92">
        <v>0</v>
      </c>
      <c r="W92">
        <v>0</v>
      </c>
      <c r="X92">
        <v>0</v>
      </c>
      <c r="Y92" t="s">
        <v>60</v>
      </c>
      <c r="Z92">
        <v>0</v>
      </c>
      <c r="AA92">
        <v>0</v>
      </c>
      <c r="AB92">
        <v>0</v>
      </c>
      <c r="AC92">
        <v>0</v>
      </c>
      <c r="AD92" t="s">
        <v>60</v>
      </c>
      <c r="AE92">
        <v>0</v>
      </c>
      <c r="AF92">
        <v>0</v>
      </c>
      <c r="AG92">
        <v>0</v>
      </c>
      <c r="AH92">
        <v>0</v>
      </c>
      <c r="AI92" t="b">
        <v>0</v>
      </c>
      <c r="AJ92" t="s">
        <v>58</v>
      </c>
      <c r="AK92" t="s">
        <v>58</v>
      </c>
      <c r="AL92" t="s">
        <v>71</v>
      </c>
      <c r="AM92">
        <v>14</v>
      </c>
      <c r="AN92">
        <v>2</v>
      </c>
      <c r="AO92">
        <v>13</v>
      </c>
      <c r="AP92">
        <v>11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s">
        <v>61</v>
      </c>
      <c r="AY92" t="s">
        <v>57</v>
      </c>
      <c r="AZ92" t="s">
        <v>55</v>
      </c>
      <c r="BA92" t="s">
        <v>58</v>
      </c>
      <c r="BB92" t="s">
        <v>58</v>
      </c>
    </row>
    <row r="93" spans="1:54" x14ac:dyDescent="0.25">
      <c r="A93" t="s">
        <v>54</v>
      </c>
      <c r="B93" t="s">
        <v>54</v>
      </c>
      <c r="C93" t="s">
        <v>54</v>
      </c>
      <c r="D93" t="s">
        <v>162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147</v>
      </c>
      <c r="L93">
        <v>-1</v>
      </c>
      <c r="M93">
        <v>0</v>
      </c>
      <c r="N93">
        <v>-1</v>
      </c>
      <c r="O93">
        <v>0</v>
      </c>
      <c r="P93" t="s">
        <v>70</v>
      </c>
      <c r="Q93">
        <v>0</v>
      </c>
      <c r="R93">
        <v>0</v>
      </c>
      <c r="S93">
        <v>780</v>
      </c>
      <c r="T93" t="s">
        <v>57</v>
      </c>
      <c r="U93">
        <v>0</v>
      </c>
      <c r="V93">
        <v>0</v>
      </c>
      <c r="W93">
        <v>0</v>
      </c>
      <c r="X93">
        <v>0</v>
      </c>
      <c r="Y93" t="s">
        <v>67</v>
      </c>
      <c r="Z93">
        <v>0</v>
      </c>
      <c r="AA93">
        <v>0</v>
      </c>
      <c r="AB93">
        <v>0</v>
      </c>
      <c r="AC93">
        <v>0</v>
      </c>
      <c r="AD93" t="s">
        <v>60</v>
      </c>
      <c r="AE93">
        <v>0</v>
      </c>
      <c r="AF93">
        <v>0</v>
      </c>
      <c r="AG93">
        <v>0</v>
      </c>
      <c r="AH93">
        <v>0</v>
      </c>
      <c r="AI93" t="b">
        <v>0</v>
      </c>
      <c r="AJ93" t="s">
        <v>58</v>
      </c>
      <c r="AK93" t="s">
        <v>58</v>
      </c>
      <c r="AL93" t="s">
        <v>71</v>
      </c>
      <c r="AM93">
        <v>14</v>
      </c>
      <c r="AN93">
        <v>2</v>
      </c>
      <c r="AO93">
        <v>5</v>
      </c>
      <c r="AP93">
        <v>11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s">
        <v>61</v>
      </c>
      <c r="AY93" t="s">
        <v>57</v>
      </c>
      <c r="AZ93" t="s">
        <v>55</v>
      </c>
      <c r="BA93" t="s">
        <v>58</v>
      </c>
      <c r="BB93" t="s">
        <v>58</v>
      </c>
    </row>
    <row r="94" spans="1:54" x14ac:dyDescent="0.25">
      <c r="A94" t="s">
        <v>54</v>
      </c>
      <c r="B94" t="s">
        <v>54</v>
      </c>
      <c r="C94" t="s">
        <v>54</v>
      </c>
      <c r="D94" t="s">
        <v>146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  <c r="J94" t="s">
        <v>54</v>
      </c>
      <c r="K94" t="s">
        <v>174</v>
      </c>
      <c r="L94">
        <v>-1</v>
      </c>
      <c r="M94">
        <v>0</v>
      </c>
      <c r="N94">
        <v>-1</v>
      </c>
      <c r="O94">
        <v>0</v>
      </c>
      <c r="P94" t="s">
        <v>70</v>
      </c>
      <c r="Q94">
        <v>0</v>
      </c>
      <c r="R94">
        <v>0</v>
      </c>
      <c r="S94">
        <v>1230</v>
      </c>
      <c r="T94" t="s">
        <v>57</v>
      </c>
      <c r="U94">
        <v>0</v>
      </c>
      <c r="V94">
        <v>0</v>
      </c>
      <c r="W94">
        <v>0</v>
      </c>
      <c r="X94">
        <v>0</v>
      </c>
      <c r="Y94" t="s">
        <v>65</v>
      </c>
      <c r="Z94">
        <v>0</v>
      </c>
      <c r="AA94">
        <v>0</v>
      </c>
      <c r="AB94">
        <v>0</v>
      </c>
      <c r="AC94">
        <v>0</v>
      </c>
      <c r="AD94" t="s">
        <v>65</v>
      </c>
      <c r="AE94">
        <v>0</v>
      </c>
      <c r="AF94">
        <v>0</v>
      </c>
      <c r="AG94">
        <v>0</v>
      </c>
      <c r="AH94">
        <v>0</v>
      </c>
      <c r="AI94" t="b">
        <v>0</v>
      </c>
      <c r="AJ94" t="s">
        <v>58</v>
      </c>
      <c r="AK94" t="s">
        <v>58</v>
      </c>
      <c r="AL94" t="s">
        <v>71</v>
      </c>
      <c r="AM94">
        <v>14</v>
      </c>
      <c r="AN94">
        <v>3</v>
      </c>
      <c r="AO94">
        <v>14</v>
      </c>
      <c r="AP94">
        <v>11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s">
        <v>61</v>
      </c>
      <c r="AY94" t="s">
        <v>57</v>
      </c>
      <c r="AZ94" t="s">
        <v>55</v>
      </c>
      <c r="BA94" t="s">
        <v>58</v>
      </c>
      <c r="BB94" t="s">
        <v>58</v>
      </c>
    </row>
    <row r="95" spans="1:54" x14ac:dyDescent="0.25">
      <c r="A95" t="s">
        <v>54</v>
      </c>
      <c r="B95" t="s">
        <v>54</v>
      </c>
      <c r="C95" t="s">
        <v>54</v>
      </c>
      <c r="D95" t="s">
        <v>174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151</v>
      </c>
      <c r="L95">
        <v>-1</v>
      </c>
      <c r="M95">
        <v>0</v>
      </c>
      <c r="N95">
        <v>-1</v>
      </c>
      <c r="O95">
        <v>0</v>
      </c>
      <c r="P95" t="s">
        <v>70</v>
      </c>
      <c r="Q95">
        <v>0</v>
      </c>
      <c r="R95">
        <v>0</v>
      </c>
      <c r="S95">
        <v>975</v>
      </c>
      <c r="T95" t="s">
        <v>57</v>
      </c>
      <c r="U95">
        <v>0</v>
      </c>
      <c r="V95">
        <v>0</v>
      </c>
      <c r="W95">
        <v>0</v>
      </c>
      <c r="X95">
        <v>0</v>
      </c>
      <c r="Y95" t="s">
        <v>67</v>
      </c>
      <c r="Z95">
        <v>0</v>
      </c>
      <c r="AA95">
        <v>0</v>
      </c>
      <c r="AB95">
        <v>0</v>
      </c>
      <c r="AC95">
        <v>0</v>
      </c>
      <c r="AD95" t="s">
        <v>60</v>
      </c>
      <c r="AE95">
        <v>0</v>
      </c>
      <c r="AF95">
        <v>0</v>
      </c>
      <c r="AG95">
        <v>0</v>
      </c>
      <c r="AH95">
        <v>0</v>
      </c>
      <c r="AI95" t="b">
        <v>0</v>
      </c>
      <c r="AJ95" t="s">
        <v>58</v>
      </c>
      <c r="AK95" t="s">
        <v>58</v>
      </c>
      <c r="AL95" t="s">
        <v>71</v>
      </c>
      <c r="AM95">
        <v>14</v>
      </c>
      <c r="AN95">
        <v>4</v>
      </c>
      <c r="AO95">
        <v>8</v>
      </c>
      <c r="AP95">
        <v>11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s">
        <v>61</v>
      </c>
      <c r="AY95" t="s">
        <v>57</v>
      </c>
      <c r="AZ95" t="s">
        <v>55</v>
      </c>
      <c r="BA95" t="s">
        <v>58</v>
      </c>
      <c r="BB95" t="s">
        <v>58</v>
      </c>
    </row>
    <row r="96" spans="1:54" x14ac:dyDescent="0.25">
      <c r="A96" t="s">
        <v>54</v>
      </c>
      <c r="B96" t="s">
        <v>54</v>
      </c>
      <c r="C96" t="s">
        <v>54</v>
      </c>
      <c r="D96" t="s">
        <v>165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 t="s">
        <v>54</v>
      </c>
      <c r="K96" t="s">
        <v>169</v>
      </c>
      <c r="L96">
        <v>-1</v>
      </c>
      <c r="M96">
        <v>0</v>
      </c>
      <c r="N96">
        <v>-1</v>
      </c>
      <c r="O96">
        <v>0</v>
      </c>
      <c r="P96" t="s">
        <v>70</v>
      </c>
      <c r="Q96">
        <v>0</v>
      </c>
      <c r="R96">
        <v>0</v>
      </c>
      <c r="S96">
        <v>1220</v>
      </c>
      <c r="T96" t="s">
        <v>57</v>
      </c>
      <c r="U96">
        <v>0</v>
      </c>
      <c r="V96">
        <v>0</v>
      </c>
      <c r="W96">
        <v>0</v>
      </c>
      <c r="X96">
        <v>0</v>
      </c>
      <c r="Y96" t="s">
        <v>60</v>
      </c>
      <c r="Z96">
        <v>0</v>
      </c>
      <c r="AA96">
        <v>0</v>
      </c>
      <c r="AB96">
        <v>0</v>
      </c>
      <c r="AC96">
        <v>0</v>
      </c>
      <c r="AD96" t="s">
        <v>60</v>
      </c>
      <c r="AE96">
        <v>0</v>
      </c>
      <c r="AF96">
        <v>0</v>
      </c>
      <c r="AG96">
        <v>0</v>
      </c>
      <c r="AH96">
        <v>0</v>
      </c>
      <c r="AI96" t="b">
        <v>0</v>
      </c>
      <c r="AJ96" t="s">
        <v>58</v>
      </c>
      <c r="AK96" t="s">
        <v>58</v>
      </c>
      <c r="AL96" t="s">
        <v>71</v>
      </c>
      <c r="AM96">
        <v>14</v>
      </c>
      <c r="AN96">
        <v>3</v>
      </c>
      <c r="AO96">
        <v>13</v>
      </c>
      <c r="AP96">
        <v>11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s">
        <v>61</v>
      </c>
      <c r="AY96" t="s">
        <v>57</v>
      </c>
      <c r="AZ96" t="s">
        <v>55</v>
      </c>
      <c r="BA96" t="s">
        <v>58</v>
      </c>
      <c r="BB96" t="s">
        <v>58</v>
      </c>
    </row>
    <row r="97" spans="1:54" x14ac:dyDescent="0.25">
      <c r="A97" t="s">
        <v>54</v>
      </c>
      <c r="B97" t="s">
        <v>54</v>
      </c>
      <c r="C97" t="s">
        <v>54</v>
      </c>
      <c r="D97" t="s">
        <v>151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171</v>
      </c>
      <c r="L97">
        <v>-1</v>
      </c>
      <c r="M97">
        <v>0</v>
      </c>
      <c r="N97">
        <v>-1</v>
      </c>
      <c r="O97">
        <v>0</v>
      </c>
      <c r="P97" t="s">
        <v>70</v>
      </c>
      <c r="Q97">
        <v>0</v>
      </c>
      <c r="R97">
        <v>0</v>
      </c>
      <c r="S97">
        <v>780</v>
      </c>
      <c r="T97" t="s">
        <v>57</v>
      </c>
      <c r="U97">
        <v>0</v>
      </c>
      <c r="V97">
        <v>0</v>
      </c>
      <c r="W97">
        <v>0</v>
      </c>
      <c r="X97">
        <v>0</v>
      </c>
      <c r="Y97" t="s">
        <v>67</v>
      </c>
      <c r="Z97">
        <v>0</v>
      </c>
      <c r="AA97">
        <v>0</v>
      </c>
      <c r="AB97">
        <v>0</v>
      </c>
      <c r="AC97">
        <v>0</v>
      </c>
      <c r="AD97" t="s">
        <v>60</v>
      </c>
      <c r="AE97">
        <v>0</v>
      </c>
      <c r="AF97">
        <v>0</v>
      </c>
      <c r="AG97">
        <v>0</v>
      </c>
      <c r="AH97">
        <v>0</v>
      </c>
      <c r="AI97" t="b">
        <v>0</v>
      </c>
      <c r="AJ97" t="s">
        <v>58</v>
      </c>
      <c r="AK97" t="s">
        <v>58</v>
      </c>
      <c r="AL97" t="s">
        <v>71</v>
      </c>
      <c r="AM97">
        <v>14</v>
      </c>
      <c r="AN97">
        <v>3</v>
      </c>
      <c r="AO97">
        <v>1</v>
      </c>
      <c r="AP97">
        <v>11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s">
        <v>61</v>
      </c>
      <c r="AY97" t="s">
        <v>57</v>
      </c>
      <c r="AZ97" t="s">
        <v>55</v>
      </c>
      <c r="BA97" t="s">
        <v>58</v>
      </c>
      <c r="BB97" t="s">
        <v>58</v>
      </c>
    </row>
    <row r="98" spans="1:54" x14ac:dyDescent="0.25">
      <c r="A98" t="s">
        <v>54</v>
      </c>
      <c r="B98" t="s">
        <v>54</v>
      </c>
      <c r="C98" t="s">
        <v>54</v>
      </c>
      <c r="D98" t="s">
        <v>166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162</v>
      </c>
      <c r="L98">
        <v>-1</v>
      </c>
      <c r="M98">
        <v>0</v>
      </c>
      <c r="N98">
        <v>-1</v>
      </c>
      <c r="O98">
        <v>0</v>
      </c>
      <c r="P98" t="s">
        <v>70</v>
      </c>
      <c r="Q98">
        <v>0</v>
      </c>
      <c r="R98">
        <v>0</v>
      </c>
      <c r="S98">
        <v>780</v>
      </c>
      <c r="T98" t="s">
        <v>57</v>
      </c>
      <c r="U98">
        <v>0</v>
      </c>
      <c r="V98">
        <v>0</v>
      </c>
      <c r="W98">
        <v>0</v>
      </c>
      <c r="X98">
        <v>0</v>
      </c>
      <c r="Y98" t="s">
        <v>67</v>
      </c>
      <c r="Z98">
        <v>0</v>
      </c>
      <c r="AA98">
        <v>0</v>
      </c>
      <c r="AB98">
        <v>0</v>
      </c>
      <c r="AC98">
        <v>0</v>
      </c>
      <c r="AD98" t="s">
        <v>60</v>
      </c>
      <c r="AE98">
        <v>0</v>
      </c>
      <c r="AF98">
        <v>0</v>
      </c>
      <c r="AG98">
        <v>0</v>
      </c>
      <c r="AH98">
        <v>0</v>
      </c>
      <c r="AI98" t="b">
        <v>0</v>
      </c>
      <c r="AJ98" t="s">
        <v>58</v>
      </c>
      <c r="AK98" t="s">
        <v>58</v>
      </c>
      <c r="AL98" t="s">
        <v>71</v>
      </c>
      <c r="AM98">
        <v>14</v>
      </c>
      <c r="AN98">
        <v>3</v>
      </c>
      <c r="AO98">
        <v>2</v>
      </c>
      <c r="AP98">
        <v>11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s">
        <v>61</v>
      </c>
      <c r="AY98" t="s">
        <v>57</v>
      </c>
      <c r="AZ98" t="s">
        <v>55</v>
      </c>
      <c r="BA98" t="s">
        <v>58</v>
      </c>
      <c r="BB98" t="s">
        <v>58</v>
      </c>
    </row>
    <row r="99" spans="1:54" x14ac:dyDescent="0.25">
      <c r="A99" t="s">
        <v>54</v>
      </c>
      <c r="B99" t="s">
        <v>54</v>
      </c>
      <c r="C99" t="s">
        <v>54</v>
      </c>
      <c r="D99" t="s">
        <v>152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148</v>
      </c>
      <c r="L99">
        <v>-1</v>
      </c>
      <c r="M99">
        <v>0</v>
      </c>
      <c r="N99">
        <v>-1</v>
      </c>
      <c r="O99">
        <v>0</v>
      </c>
      <c r="P99" t="s">
        <v>70</v>
      </c>
      <c r="Q99">
        <v>0</v>
      </c>
      <c r="R99">
        <v>0</v>
      </c>
      <c r="S99">
        <v>780</v>
      </c>
      <c r="T99" t="s">
        <v>57</v>
      </c>
      <c r="U99">
        <v>0</v>
      </c>
      <c r="V99">
        <v>0</v>
      </c>
      <c r="W99">
        <v>0</v>
      </c>
      <c r="X99">
        <v>0</v>
      </c>
      <c r="Y99" t="s">
        <v>67</v>
      </c>
      <c r="Z99">
        <v>0</v>
      </c>
      <c r="AA99">
        <v>0</v>
      </c>
      <c r="AB99">
        <v>0</v>
      </c>
      <c r="AC99">
        <v>0</v>
      </c>
      <c r="AD99" t="s">
        <v>60</v>
      </c>
      <c r="AE99">
        <v>0</v>
      </c>
      <c r="AF99">
        <v>0</v>
      </c>
      <c r="AG99">
        <v>0</v>
      </c>
      <c r="AH99">
        <v>0</v>
      </c>
      <c r="AI99" t="b">
        <v>0</v>
      </c>
      <c r="AJ99" t="s">
        <v>58</v>
      </c>
      <c r="AK99" t="s">
        <v>58</v>
      </c>
      <c r="AL99" t="s">
        <v>71</v>
      </c>
      <c r="AM99">
        <v>14</v>
      </c>
      <c r="AN99">
        <v>4</v>
      </c>
      <c r="AO99">
        <v>0</v>
      </c>
      <c r="AP99">
        <v>11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s">
        <v>61</v>
      </c>
      <c r="AY99" t="s">
        <v>57</v>
      </c>
      <c r="AZ99" t="s">
        <v>55</v>
      </c>
      <c r="BA99" t="s">
        <v>58</v>
      </c>
      <c r="BB99" t="s">
        <v>58</v>
      </c>
    </row>
    <row r="100" spans="1:54" x14ac:dyDescent="0.25">
      <c r="A100" t="s">
        <v>54</v>
      </c>
      <c r="B100" t="s">
        <v>54</v>
      </c>
      <c r="C100" t="s">
        <v>54</v>
      </c>
      <c r="D100" t="s">
        <v>171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54</v>
      </c>
      <c r="K100" t="s">
        <v>173</v>
      </c>
      <c r="L100">
        <v>-1</v>
      </c>
      <c r="M100">
        <v>0</v>
      </c>
      <c r="N100">
        <v>-1</v>
      </c>
      <c r="O100">
        <v>0</v>
      </c>
      <c r="P100" t="s">
        <v>70</v>
      </c>
      <c r="Q100">
        <v>0</v>
      </c>
      <c r="R100">
        <v>0</v>
      </c>
      <c r="S100">
        <v>965</v>
      </c>
      <c r="T100" t="s">
        <v>57</v>
      </c>
      <c r="U100">
        <v>0</v>
      </c>
      <c r="V100">
        <v>0</v>
      </c>
      <c r="W100">
        <v>0</v>
      </c>
      <c r="X100">
        <v>0</v>
      </c>
      <c r="Y100" t="s">
        <v>67</v>
      </c>
      <c r="Z100">
        <v>0</v>
      </c>
      <c r="AA100">
        <v>0</v>
      </c>
      <c r="AB100">
        <v>0</v>
      </c>
      <c r="AC100">
        <v>0</v>
      </c>
      <c r="AD100" t="s">
        <v>60</v>
      </c>
      <c r="AE100">
        <v>0</v>
      </c>
      <c r="AF100">
        <v>0</v>
      </c>
      <c r="AG100">
        <v>0</v>
      </c>
      <c r="AH100">
        <v>0</v>
      </c>
      <c r="AI100" t="b">
        <v>0</v>
      </c>
      <c r="AJ100" t="s">
        <v>58</v>
      </c>
      <c r="AK100" t="s">
        <v>58</v>
      </c>
      <c r="AL100" t="s">
        <v>71</v>
      </c>
      <c r="AM100">
        <v>14</v>
      </c>
      <c r="AN100">
        <v>2</v>
      </c>
      <c r="AO100">
        <v>8</v>
      </c>
      <c r="AP100">
        <v>11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s">
        <v>61</v>
      </c>
      <c r="AY100" t="s">
        <v>57</v>
      </c>
      <c r="AZ100" t="s">
        <v>55</v>
      </c>
      <c r="BA100" t="s">
        <v>58</v>
      </c>
      <c r="BB100" t="s">
        <v>58</v>
      </c>
    </row>
    <row r="101" spans="1:54" x14ac:dyDescent="0.25">
      <c r="A101" t="s">
        <v>54</v>
      </c>
      <c r="B101" t="s">
        <v>54</v>
      </c>
      <c r="C101" t="s">
        <v>54</v>
      </c>
      <c r="D101" t="s">
        <v>149</v>
      </c>
      <c r="E101" t="s">
        <v>54</v>
      </c>
      <c r="F101" t="s">
        <v>54</v>
      </c>
      <c r="G101" t="s">
        <v>54</v>
      </c>
      <c r="H101" t="s">
        <v>54</v>
      </c>
      <c r="I101" t="s">
        <v>54</v>
      </c>
      <c r="J101" t="s">
        <v>54</v>
      </c>
      <c r="K101" t="s">
        <v>157</v>
      </c>
      <c r="L101">
        <v>-1</v>
      </c>
      <c r="M101">
        <v>0</v>
      </c>
      <c r="N101">
        <v>-1</v>
      </c>
      <c r="O101">
        <v>0</v>
      </c>
      <c r="P101" t="s">
        <v>70</v>
      </c>
      <c r="Q101">
        <v>0</v>
      </c>
      <c r="R101">
        <v>0</v>
      </c>
      <c r="S101">
        <v>780</v>
      </c>
      <c r="T101" t="s">
        <v>57</v>
      </c>
      <c r="U101">
        <v>0</v>
      </c>
      <c r="V101">
        <v>0</v>
      </c>
      <c r="W101">
        <v>0</v>
      </c>
      <c r="X101">
        <v>0</v>
      </c>
      <c r="Y101" t="s">
        <v>67</v>
      </c>
      <c r="Z101">
        <v>0</v>
      </c>
      <c r="AA101">
        <v>0</v>
      </c>
      <c r="AB101">
        <v>0</v>
      </c>
      <c r="AC101">
        <v>0</v>
      </c>
      <c r="AD101" t="s">
        <v>60</v>
      </c>
      <c r="AE101">
        <v>0</v>
      </c>
      <c r="AF101">
        <v>0</v>
      </c>
      <c r="AG101">
        <v>0</v>
      </c>
      <c r="AH101">
        <v>0</v>
      </c>
      <c r="AI101" t="b">
        <v>0</v>
      </c>
      <c r="AJ101" t="s">
        <v>58</v>
      </c>
      <c r="AK101" t="s">
        <v>58</v>
      </c>
      <c r="AL101" t="s">
        <v>71</v>
      </c>
      <c r="AM101">
        <v>14</v>
      </c>
      <c r="AN101">
        <v>3</v>
      </c>
      <c r="AO101">
        <v>3</v>
      </c>
      <c r="AP101">
        <v>11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s">
        <v>61</v>
      </c>
      <c r="AY101" t="s">
        <v>57</v>
      </c>
      <c r="AZ101" t="s">
        <v>55</v>
      </c>
      <c r="BA101" t="s">
        <v>58</v>
      </c>
      <c r="BB101" t="s">
        <v>58</v>
      </c>
    </row>
    <row r="102" spans="1:54" x14ac:dyDescent="0.25">
      <c r="A102" t="s">
        <v>54</v>
      </c>
      <c r="B102" t="s">
        <v>54</v>
      </c>
      <c r="C102" t="s">
        <v>54</v>
      </c>
      <c r="D102" t="s">
        <v>146</v>
      </c>
      <c r="E102" t="s">
        <v>54</v>
      </c>
      <c r="F102" t="s">
        <v>54</v>
      </c>
      <c r="G102" t="s">
        <v>54</v>
      </c>
      <c r="H102" t="s">
        <v>54</v>
      </c>
      <c r="I102" t="s">
        <v>54</v>
      </c>
      <c r="J102" t="s">
        <v>54</v>
      </c>
      <c r="K102" t="s">
        <v>151</v>
      </c>
      <c r="L102">
        <v>-1</v>
      </c>
      <c r="M102">
        <v>0</v>
      </c>
      <c r="N102">
        <v>-1</v>
      </c>
      <c r="O102">
        <v>0</v>
      </c>
      <c r="P102" t="s">
        <v>70</v>
      </c>
      <c r="Q102">
        <v>0</v>
      </c>
      <c r="R102">
        <v>0</v>
      </c>
      <c r="S102">
        <v>965</v>
      </c>
      <c r="T102" t="s">
        <v>57</v>
      </c>
      <c r="U102">
        <v>0</v>
      </c>
      <c r="V102">
        <v>0</v>
      </c>
      <c r="W102">
        <v>0</v>
      </c>
      <c r="X102">
        <v>0</v>
      </c>
      <c r="Y102" t="s">
        <v>67</v>
      </c>
      <c r="Z102">
        <v>0</v>
      </c>
      <c r="AA102">
        <v>0</v>
      </c>
      <c r="AB102">
        <v>0</v>
      </c>
      <c r="AC102">
        <v>0</v>
      </c>
      <c r="AD102" t="s">
        <v>60</v>
      </c>
      <c r="AE102">
        <v>0</v>
      </c>
      <c r="AF102">
        <v>0</v>
      </c>
      <c r="AG102">
        <v>0</v>
      </c>
      <c r="AH102">
        <v>0</v>
      </c>
      <c r="AI102" t="b">
        <v>0</v>
      </c>
      <c r="AJ102" t="s">
        <v>58</v>
      </c>
      <c r="AK102" t="s">
        <v>58</v>
      </c>
      <c r="AL102" t="s">
        <v>71</v>
      </c>
      <c r="AM102">
        <v>14</v>
      </c>
      <c r="AN102">
        <v>2</v>
      </c>
      <c r="AO102">
        <v>9</v>
      </c>
      <c r="AP102">
        <v>11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s">
        <v>61</v>
      </c>
      <c r="AY102" t="s">
        <v>57</v>
      </c>
      <c r="AZ102" t="s">
        <v>55</v>
      </c>
      <c r="BA102" t="s">
        <v>58</v>
      </c>
      <c r="BB102" t="s">
        <v>58</v>
      </c>
    </row>
    <row r="103" spans="1:54" x14ac:dyDescent="0.25">
      <c r="A103" t="s">
        <v>54</v>
      </c>
      <c r="B103" t="s">
        <v>54</v>
      </c>
      <c r="C103" t="s">
        <v>54</v>
      </c>
      <c r="D103" t="s">
        <v>167</v>
      </c>
      <c r="E103" t="s">
        <v>54</v>
      </c>
      <c r="F103" t="s">
        <v>54</v>
      </c>
      <c r="G103" t="s">
        <v>54</v>
      </c>
      <c r="H103" t="s">
        <v>54</v>
      </c>
      <c r="I103" t="s">
        <v>54</v>
      </c>
      <c r="J103" t="s">
        <v>54</v>
      </c>
      <c r="K103" t="s">
        <v>149</v>
      </c>
      <c r="L103">
        <v>-1</v>
      </c>
      <c r="M103">
        <v>0</v>
      </c>
      <c r="N103">
        <v>-1</v>
      </c>
      <c r="O103">
        <v>0</v>
      </c>
      <c r="P103" t="s">
        <v>70</v>
      </c>
      <c r="Q103">
        <v>0</v>
      </c>
      <c r="R103">
        <v>0</v>
      </c>
      <c r="S103">
        <v>780</v>
      </c>
      <c r="T103" t="s">
        <v>57</v>
      </c>
      <c r="U103">
        <v>0</v>
      </c>
      <c r="V103">
        <v>0</v>
      </c>
      <c r="W103">
        <v>0</v>
      </c>
      <c r="X103">
        <v>0</v>
      </c>
      <c r="Y103" t="s">
        <v>67</v>
      </c>
      <c r="Z103">
        <v>0</v>
      </c>
      <c r="AA103">
        <v>0</v>
      </c>
      <c r="AB103">
        <v>0</v>
      </c>
      <c r="AC103">
        <v>0</v>
      </c>
      <c r="AD103" t="s">
        <v>60</v>
      </c>
      <c r="AE103">
        <v>0</v>
      </c>
      <c r="AF103">
        <v>0</v>
      </c>
      <c r="AG103">
        <v>0</v>
      </c>
      <c r="AH103">
        <v>0</v>
      </c>
      <c r="AI103" t="b">
        <v>0</v>
      </c>
      <c r="AJ103" t="s">
        <v>58</v>
      </c>
      <c r="AK103" t="s">
        <v>58</v>
      </c>
      <c r="AL103" t="s">
        <v>71</v>
      </c>
      <c r="AM103">
        <v>14</v>
      </c>
      <c r="AN103">
        <v>2</v>
      </c>
      <c r="AO103">
        <v>6</v>
      </c>
      <c r="AP103">
        <v>11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s">
        <v>61</v>
      </c>
      <c r="AY103" t="s">
        <v>57</v>
      </c>
      <c r="AZ103" t="s">
        <v>55</v>
      </c>
      <c r="BA103" t="s">
        <v>58</v>
      </c>
      <c r="BB103" t="s">
        <v>58</v>
      </c>
    </row>
    <row r="104" spans="1:54" x14ac:dyDescent="0.25">
      <c r="A104" t="s">
        <v>54</v>
      </c>
      <c r="B104" t="s">
        <v>54</v>
      </c>
      <c r="C104" t="s">
        <v>54</v>
      </c>
      <c r="D104" t="s">
        <v>155</v>
      </c>
      <c r="E104" t="s">
        <v>54</v>
      </c>
      <c r="F104" t="s">
        <v>54</v>
      </c>
      <c r="G104" t="s">
        <v>54</v>
      </c>
      <c r="H104" t="s">
        <v>54</v>
      </c>
      <c r="I104" t="s">
        <v>54</v>
      </c>
      <c r="J104" t="s">
        <v>54</v>
      </c>
      <c r="K104" t="s">
        <v>156</v>
      </c>
      <c r="L104">
        <v>-1</v>
      </c>
      <c r="M104">
        <v>0</v>
      </c>
      <c r="N104">
        <v>-1</v>
      </c>
      <c r="O104">
        <v>0</v>
      </c>
      <c r="P104" t="s">
        <v>70</v>
      </c>
      <c r="Q104">
        <v>0</v>
      </c>
      <c r="R104">
        <v>0</v>
      </c>
      <c r="S104">
        <v>780</v>
      </c>
      <c r="T104" t="s">
        <v>57</v>
      </c>
      <c r="U104">
        <v>0</v>
      </c>
      <c r="V104">
        <v>0</v>
      </c>
      <c r="W104">
        <v>0</v>
      </c>
      <c r="X104">
        <v>0</v>
      </c>
      <c r="Y104" t="s">
        <v>67</v>
      </c>
      <c r="Z104">
        <v>0</v>
      </c>
      <c r="AA104">
        <v>0</v>
      </c>
      <c r="AB104">
        <v>0</v>
      </c>
      <c r="AC104">
        <v>0</v>
      </c>
      <c r="AD104" t="s">
        <v>60</v>
      </c>
      <c r="AE104">
        <v>0</v>
      </c>
      <c r="AF104">
        <v>0</v>
      </c>
      <c r="AG104">
        <v>0</v>
      </c>
      <c r="AH104">
        <v>0</v>
      </c>
      <c r="AI104" t="b">
        <v>0</v>
      </c>
      <c r="AJ104" t="s">
        <v>58</v>
      </c>
      <c r="AK104" t="s">
        <v>58</v>
      </c>
      <c r="AL104" t="s">
        <v>71</v>
      </c>
      <c r="AM104">
        <v>14</v>
      </c>
      <c r="AN104">
        <v>2</v>
      </c>
      <c r="AO104">
        <v>7</v>
      </c>
      <c r="AP104">
        <v>11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s">
        <v>61</v>
      </c>
      <c r="AY104" t="s">
        <v>57</v>
      </c>
      <c r="AZ104" t="s">
        <v>55</v>
      </c>
      <c r="BA104" t="s">
        <v>58</v>
      </c>
      <c r="BB104" t="s">
        <v>58</v>
      </c>
    </row>
    <row r="105" spans="1:54" x14ac:dyDescent="0.25">
      <c r="A105" t="s">
        <v>54</v>
      </c>
      <c r="B105" t="s">
        <v>54</v>
      </c>
      <c r="C105" t="s">
        <v>54</v>
      </c>
      <c r="D105" t="s">
        <v>167</v>
      </c>
      <c r="E105" t="s">
        <v>54</v>
      </c>
      <c r="F105" t="s">
        <v>54</v>
      </c>
      <c r="G105" t="s">
        <v>54</v>
      </c>
      <c r="H105" t="s">
        <v>54</v>
      </c>
      <c r="I105" t="s">
        <v>54</v>
      </c>
      <c r="J105" t="s">
        <v>54</v>
      </c>
      <c r="K105" t="s">
        <v>150</v>
      </c>
      <c r="L105">
        <v>-1</v>
      </c>
      <c r="M105">
        <v>0</v>
      </c>
      <c r="N105">
        <v>-1</v>
      </c>
      <c r="O105">
        <v>0</v>
      </c>
      <c r="P105" t="s">
        <v>70</v>
      </c>
      <c r="Q105">
        <v>0</v>
      </c>
      <c r="R105">
        <v>0</v>
      </c>
      <c r="S105">
        <v>965</v>
      </c>
      <c r="T105" t="s">
        <v>57</v>
      </c>
      <c r="U105">
        <v>0</v>
      </c>
      <c r="V105">
        <v>0</v>
      </c>
      <c r="W105">
        <v>0</v>
      </c>
      <c r="X105">
        <v>0</v>
      </c>
      <c r="Y105" t="s">
        <v>67</v>
      </c>
      <c r="Z105">
        <v>0</v>
      </c>
      <c r="AA105">
        <v>0</v>
      </c>
      <c r="AB105">
        <v>0</v>
      </c>
      <c r="AC105">
        <v>0</v>
      </c>
      <c r="AD105" t="s">
        <v>60</v>
      </c>
      <c r="AE105">
        <v>0</v>
      </c>
      <c r="AF105">
        <v>0</v>
      </c>
      <c r="AG105">
        <v>0</v>
      </c>
      <c r="AH105">
        <v>0</v>
      </c>
      <c r="AI105" t="b">
        <v>0</v>
      </c>
      <c r="AJ105" t="s">
        <v>58</v>
      </c>
      <c r="AK105" t="s">
        <v>58</v>
      </c>
      <c r="AL105" t="s">
        <v>71</v>
      </c>
      <c r="AM105">
        <v>14</v>
      </c>
      <c r="AN105">
        <v>1</v>
      </c>
      <c r="AO105">
        <v>9</v>
      </c>
      <c r="AP105">
        <v>11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s">
        <v>61</v>
      </c>
      <c r="AY105" t="s">
        <v>57</v>
      </c>
      <c r="AZ105" t="s">
        <v>55</v>
      </c>
      <c r="BA105" t="s">
        <v>58</v>
      </c>
      <c r="BB105" t="s">
        <v>58</v>
      </c>
    </row>
    <row r="106" spans="1:54" x14ac:dyDescent="0.25">
      <c r="A106" t="s">
        <v>54</v>
      </c>
      <c r="B106" t="s">
        <v>54</v>
      </c>
      <c r="C106" t="s">
        <v>54</v>
      </c>
      <c r="D106" t="s">
        <v>161</v>
      </c>
      <c r="E106" t="s">
        <v>54</v>
      </c>
      <c r="F106" t="s">
        <v>54</v>
      </c>
      <c r="G106" t="s">
        <v>54</v>
      </c>
      <c r="H106" t="s">
        <v>54</v>
      </c>
      <c r="I106" t="s">
        <v>54</v>
      </c>
      <c r="J106" t="s">
        <v>54</v>
      </c>
      <c r="K106" t="s">
        <v>174</v>
      </c>
      <c r="L106">
        <v>-1</v>
      </c>
      <c r="M106">
        <v>0</v>
      </c>
      <c r="N106">
        <v>-1</v>
      </c>
      <c r="O106">
        <v>0</v>
      </c>
      <c r="P106" t="s">
        <v>70</v>
      </c>
      <c r="Q106">
        <v>0</v>
      </c>
      <c r="R106">
        <v>0</v>
      </c>
      <c r="S106">
        <v>965</v>
      </c>
      <c r="T106" t="s">
        <v>57</v>
      </c>
      <c r="U106">
        <v>0</v>
      </c>
      <c r="V106">
        <v>0</v>
      </c>
      <c r="W106">
        <v>0</v>
      </c>
      <c r="X106">
        <v>0</v>
      </c>
      <c r="Y106" t="s">
        <v>67</v>
      </c>
      <c r="Z106">
        <v>0</v>
      </c>
      <c r="AA106">
        <v>0</v>
      </c>
      <c r="AB106">
        <v>0</v>
      </c>
      <c r="AC106">
        <v>0</v>
      </c>
      <c r="AD106" t="s">
        <v>60</v>
      </c>
      <c r="AE106">
        <v>0</v>
      </c>
      <c r="AF106">
        <v>0</v>
      </c>
      <c r="AG106">
        <v>0</v>
      </c>
      <c r="AH106">
        <v>0</v>
      </c>
      <c r="AI106" t="b">
        <v>0</v>
      </c>
      <c r="AJ106" t="s">
        <v>58</v>
      </c>
      <c r="AK106" t="s">
        <v>58</v>
      </c>
      <c r="AL106" t="s">
        <v>71</v>
      </c>
      <c r="AM106">
        <v>14</v>
      </c>
      <c r="AN106">
        <v>2</v>
      </c>
      <c r="AO106">
        <v>10</v>
      </c>
      <c r="AP106">
        <v>11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s">
        <v>61</v>
      </c>
      <c r="AY106" t="s">
        <v>57</v>
      </c>
      <c r="AZ106" t="s">
        <v>55</v>
      </c>
      <c r="BA106" t="s">
        <v>58</v>
      </c>
      <c r="BB106" t="s">
        <v>58</v>
      </c>
    </row>
    <row r="107" spans="1:54" x14ac:dyDescent="0.25">
      <c r="A107" t="s">
        <v>54</v>
      </c>
      <c r="B107" t="s">
        <v>54</v>
      </c>
      <c r="C107" t="s">
        <v>54</v>
      </c>
      <c r="D107" t="s">
        <v>143</v>
      </c>
      <c r="E107" t="s">
        <v>54</v>
      </c>
      <c r="F107" t="s">
        <v>54</v>
      </c>
      <c r="G107" t="s">
        <v>54</v>
      </c>
      <c r="H107" t="s">
        <v>54</v>
      </c>
      <c r="I107" t="s">
        <v>54</v>
      </c>
      <c r="J107" t="s">
        <v>54</v>
      </c>
      <c r="K107" t="s">
        <v>160</v>
      </c>
      <c r="L107">
        <v>-1</v>
      </c>
      <c r="M107">
        <v>0</v>
      </c>
      <c r="N107">
        <v>-1</v>
      </c>
      <c r="O107">
        <v>0</v>
      </c>
      <c r="P107" t="s">
        <v>70</v>
      </c>
      <c r="Q107">
        <v>0</v>
      </c>
      <c r="R107">
        <v>0</v>
      </c>
      <c r="S107">
        <v>975</v>
      </c>
      <c r="T107" t="s">
        <v>57</v>
      </c>
      <c r="U107">
        <v>0</v>
      </c>
      <c r="V107">
        <v>0</v>
      </c>
      <c r="W107">
        <v>0</v>
      </c>
      <c r="X107">
        <v>0</v>
      </c>
      <c r="Y107" t="s">
        <v>67</v>
      </c>
      <c r="Z107">
        <v>0</v>
      </c>
      <c r="AA107">
        <v>0</v>
      </c>
      <c r="AB107">
        <v>0</v>
      </c>
      <c r="AC107">
        <v>0</v>
      </c>
      <c r="AD107" t="s">
        <v>60</v>
      </c>
      <c r="AE107">
        <v>0</v>
      </c>
      <c r="AF107">
        <v>0</v>
      </c>
      <c r="AG107">
        <v>0</v>
      </c>
      <c r="AH107">
        <v>0</v>
      </c>
      <c r="AI107" t="b">
        <v>0</v>
      </c>
      <c r="AJ107" t="s">
        <v>58</v>
      </c>
      <c r="AK107" t="s">
        <v>58</v>
      </c>
      <c r="AL107" t="s">
        <v>71</v>
      </c>
      <c r="AM107">
        <v>14</v>
      </c>
      <c r="AN107">
        <v>1</v>
      </c>
      <c r="AO107">
        <v>12</v>
      </c>
      <c r="AP107">
        <v>11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s">
        <v>61</v>
      </c>
      <c r="AY107" t="s">
        <v>57</v>
      </c>
      <c r="AZ107" t="s">
        <v>55</v>
      </c>
      <c r="BA107" t="s">
        <v>58</v>
      </c>
      <c r="BB107" t="s">
        <v>58</v>
      </c>
    </row>
    <row r="108" spans="1:54" x14ac:dyDescent="0.25">
      <c r="A108" t="s">
        <v>54</v>
      </c>
      <c r="B108" t="s">
        <v>54</v>
      </c>
      <c r="C108" t="s">
        <v>54</v>
      </c>
      <c r="D108" t="s">
        <v>163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54</v>
      </c>
      <c r="K108" t="s">
        <v>152</v>
      </c>
      <c r="L108">
        <v>-1</v>
      </c>
      <c r="M108">
        <v>0</v>
      </c>
      <c r="N108">
        <v>-1</v>
      </c>
      <c r="O108">
        <v>0</v>
      </c>
      <c r="P108" t="s">
        <v>70</v>
      </c>
      <c r="Q108">
        <v>0</v>
      </c>
      <c r="R108">
        <v>0</v>
      </c>
      <c r="S108">
        <v>965</v>
      </c>
      <c r="T108" t="s">
        <v>57</v>
      </c>
      <c r="U108">
        <v>0</v>
      </c>
      <c r="V108">
        <v>0</v>
      </c>
      <c r="W108">
        <v>0</v>
      </c>
      <c r="X108">
        <v>0</v>
      </c>
      <c r="Y108" t="s">
        <v>67</v>
      </c>
      <c r="Z108">
        <v>0</v>
      </c>
      <c r="AA108">
        <v>0</v>
      </c>
      <c r="AB108">
        <v>0</v>
      </c>
      <c r="AC108">
        <v>0</v>
      </c>
      <c r="AD108" t="s">
        <v>60</v>
      </c>
      <c r="AE108">
        <v>0</v>
      </c>
      <c r="AF108">
        <v>0</v>
      </c>
      <c r="AG108">
        <v>0</v>
      </c>
      <c r="AH108">
        <v>0</v>
      </c>
      <c r="AI108" t="b">
        <v>0</v>
      </c>
      <c r="AJ108" t="s">
        <v>58</v>
      </c>
      <c r="AK108" t="s">
        <v>58</v>
      </c>
      <c r="AL108" t="s">
        <v>71</v>
      </c>
      <c r="AM108">
        <v>14</v>
      </c>
      <c r="AN108">
        <v>2</v>
      </c>
      <c r="AO108">
        <v>11</v>
      </c>
      <c r="AP108">
        <v>11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s">
        <v>61</v>
      </c>
      <c r="AY108" t="s">
        <v>57</v>
      </c>
      <c r="AZ108" t="s">
        <v>55</v>
      </c>
      <c r="BA108" t="s">
        <v>58</v>
      </c>
      <c r="BB108" t="s">
        <v>58</v>
      </c>
    </row>
    <row r="109" spans="1:54" x14ac:dyDescent="0.25">
      <c r="A109" t="s">
        <v>54</v>
      </c>
      <c r="B109" t="s">
        <v>54</v>
      </c>
      <c r="C109" t="s">
        <v>54</v>
      </c>
      <c r="D109" t="s">
        <v>157</v>
      </c>
      <c r="E109" t="s">
        <v>54</v>
      </c>
      <c r="F109" t="s">
        <v>54</v>
      </c>
      <c r="G109" t="s">
        <v>54</v>
      </c>
      <c r="H109" t="s">
        <v>54</v>
      </c>
      <c r="I109" t="s">
        <v>54</v>
      </c>
      <c r="J109" t="s">
        <v>54</v>
      </c>
      <c r="K109" t="s">
        <v>146</v>
      </c>
      <c r="L109">
        <v>-1</v>
      </c>
      <c r="M109">
        <v>0</v>
      </c>
      <c r="N109">
        <v>-1</v>
      </c>
      <c r="O109">
        <v>0</v>
      </c>
      <c r="P109" t="s">
        <v>70</v>
      </c>
      <c r="Q109">
        <v>0</v>
      </c>
      <c r="R109">
        <v>0</v>
      </c>
      <c r="S109">
        <v>780</v>
      </c>
      <c r="T109" t="s">
        <v>57</v>
      </c>
      <c r="U109">
        <v>0</v>
      </c>
      <c r="V109">
        <v>0</v>
      </c>
      <c r="W109">
        <v>0</v>
      </c>
      <c r="X109">
        <v>0</v>
      </c>
      <c r="Y109" t="s">
        <v>67</v>
      </c>
      <c r="Z109">
        <v>0</v>
      </c>
      <c r="AA109">
        <v>0</v>
      </c>
      <c r="AB109">
        <v>0</v>
      </c>
      <c r="AC109">
        <v>0</v>
      </c>
      <c r="AD109" t="s">
        <v>60</v>
      </c>
      <c r="AE109">
        <v>0</v>
      </c>
      <c r="AF109">
        <v>0</v>
      </c>
      <c r="AG109">
        <v>0</v>
      </c>
      <c r="AH109">
        <v>0</v>
      </c>
      <c r="AI109" t="b">
        <v>0</v>
      </c>
      <c r="AJ109" t="s">
        <v>58</v>
      </c>
      <c r="AK109" t="s">
        <v>58</v>
      </c>
      <c r="AL109" t="s">
        <v>71</v>
      </c>
      <c r="AM109">
        <v>14</v>
      </c>
      <c r="AN109">
        <v>4</v>
      </c>
      <c r="AO109">
        <v>1</v>
      </c>
      <c r="AP109">
        <v>11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s">
        <v>61</v>
      </c>
      <c r="AY109" t="s">
        <v>57</v>
      </c>
      <c r="AZ109" t="s">
        <v>55</v>
      </c>
      <c r="BA109" t="s">
        <v>58</v>
      </c>
      <c r="BB109" t="s">
        <v>58</v>
      </c>
    </row>
    <row r="110" spans="1:54" x14ac:dyDescent="0.25">
      <c r="A110" t="s">
        <v>54</v>
      </c>
      <c r="B110" t="s">
        <v>54</v>
      </c>
      <c r="C110" t="s">
        <v>54</v>
      </c>
      <c r="D110" t="s">
        <v>161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166</v>
      </c>
      <c r="L110">
        <v>-1</v>
      </c>
      <c r="M110">
        <v>0</v>
      </c>
      <c r="N110">
        <v>-1</v>
      </c>
      <c r="O110">
        <v>0</v>
      </c>
      <c r="P110" t="s">
        <v>70</v>
      </c>
      <c r="Q110">
        <v>0</v>
      </c>
      <c r="R110">
        <v>0</v>
      </c>
      <c r="S110">
        <v>780</v>
      </c>
      <c r="T110" t="s">
        <v>57</v>
      </c>
      <c r="U110">
        <v>0</v>
      </c>
      <c r="V110">
        <v>0</v>
      </c>
      <c r="W110">
        <v>0</v>
      </c>
      <c r="X110">
        <v>0</v>
      </c>
      <c r="Y110" t="s">
        <v>67</v>
      </c>
      <c r="Z110">
        <v>0</v>
      </c>
      <c r="AA110">
        <v>0</v>
      </c>
      <c r="AB110">
        <v>0</v>
      </c>
      <c r="AC110">
        <v>0</v>
      </c>
      <c r="AD110" t="s">
        <v>60</v>
      </c>
      <c r="AE110">
        <v>0</v>
      </c>
      <c r="AF110">
        <v>0</v>
      </c>
      <c r="AG110">
        <v>0</v>
      </c>
      <c r="AH110">
        <v>0</v>
      </c>
      <c r="AI110" t="b">
        <v>0</v>
      </c>
      <c r="AJ110" t="s">
        <v>58</v>
      </c>
      <c r="AK110" t="s">
        <v>58</v>
      </c>
      <c r="AL110" t="s">
        <v>71</v>
      </c>
      <c r="AM110">
        <v>14</v>
      </c>
      <c r="AN110">
        <v>4</v>
      </c>
      <c r="AO110">
        <v>2</v>
      </c>
      <c r="AP110">
        <v>11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s">
        <v>61</v>
      </c>
      <c r="AY110" t="s">
        <v>57</v>
      </c>
      <c r="AZ110" t="s">
        <v>55</v>
      </c>
      <c r="BA110" t="s">
        <v>58</v>
      </c>
      <c r="BB110" t="s">
        <v>58</v>
      </c>
    </row>
    <row r="111" spans="1:54" x14ac:dyDescent="0.25">
      <c r="A111" t="s">
        <v>54</v>
      </c>
      <c r="B111" t="s">
        <v>54</v>
      </c>
      <c r="C111" t="s">
        <v>54</v>
      </c>
      <c r="D111" t="s">
        <v>147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154</v>
      </c>
      <c r="L111">
        <v>-1</v>
      </c>
      <c r="M111">
        <v>0</v>
      </c>
      <c r="N111">
        <v>-1</v>
      </c>
      <c r="O111">
        <v>0</v>
      </c>
      <c r="P111" t="s">
        <v>70</v>
      </c>
      <c r="Q111">
        <v>0</v>
      </c>
      <c r="R111">
        <v>0</v>
      </c>
      <c r="S111">
        <v>975</v>
      </c>
      <c r="T111" t="s">
        <v>57</v>
      </c>
      <c r="U111">
        <v>0</v>
      </c>
      <c r="V111">
        <v>0</v>
      </c>
      <c r="W111">
        <v>0</v>
      </c>
      <c r="X111">
        <v>0</v>
      </c>
      <c r="Y111" t="s">
        <v>67</v>
      </c>
      <c r="Z111">
        <v>0</v>
      </c>
      <c r="AA111">
        <v>0</v>
      </c>
      <c r="AB111">
        <v>0</v>
      </c>
      <c r="AC111">
        <v>0</v>
      </c>
      <c r="AD111" t="s">
        <v>60</v>
      </c>
      <c r="AE111">
        <v>0</v>
      </c>
      <c r="AF111">
        <v>0</v>
      </c>
      <c r="AG111">
        <v>0</v>
      </c>
      <c r="AH111">
        <v>0</v>
      </c>
      <c r="AI111" t="b">
        <v>0</v>
      </c>
      <c r="AJ111" t="s">
        <v>58</v>
      </c>
      <c r="AK111" t="s">
        <v>58</v>
      </c>
      <c r="AL111" t="s">
        <v>71</v>
      </c>
      <c r="AM111">
        <v>14</v>
      </c>
      <c r="AN111">
        <v>4</v>
      </c>
      <c r="AO111">
        <v>9</v>
      </c>
      <c r="AP111">
        <v>11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s">
        <v>61</v>
      </c>
      <c r="AY111" t="s">
        <v>57</v>
      </c>
      <c r="AZ111" t="s">
        <v>55</v>
      </c>
      <c r="BA111" t="s">
        <v>58</v>
      </c>
      <c r="BB111" t="s">
        <v>58</v>
      </c>
    </row>
    <row r="112" spans="1:54" x14ac:dyDescent="0.25">
      <c r="A112" t="s">
        <v>54</v>
      </c>
      <c r="B112" t="s">
        <v>54</v>
      </c>
      <c r="C112" t="s">
        <v>54</v>
      </c>
      <c r="D112" t="s">
        <v>162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169</v>
      </c>
      <c r="L112">
        <v>-1</v>
      </c>
      <c r="M112">
        <v>0</v>
      </c>
      <c r="N112">
        <v>-1</v>
      </c>
      <c r="O112">
        <v>0</v>
      </c>
      <c r="P112" t="s">
        <v>70</v>
      </c>
      <c r="Q112">
        <v>0</v>
      </c>
      <c r="R112">
        <v>0</v>
      </c>
      <c r="S112">
        <v>780</v>
      </c>
      <c r="T112" t="s">
        <v>57</v>
      </c>
      <c r="U112">
        <v>0</v>
      </c>
      <c r="V112">
        <v>0</v>
      </c>
      <c r="W112">
        <v>0</v>
      </c>
      <c r="X112">
        <v>0</v>
      </c>
      <c r="Y112" t="s">
        <v>67</v>
      </c>
      <c r="Z112">
        <v>0</v>
      </c>
      <c r="AA112">
        <v>0</v>
      </c>
      <c r="AB112">
        <v>0</v>
      </c>
      <c r="AC112">
        <v>0</v>
      </c>
      <c r="AD112" t="s">
        <v>60</v>
      </c>
      <c r="AE112">
        <v>0</v>
      </c>
      <c r="AF112">
        <v>0</v>
      </c>
      <c r="AG112">
        <v>0</v>
      </c>
      <c r="AH112">
        <v>0</v>
      </c>
      <c r="AI112" t="b">
        <v>0</v>
      </c>
      <c r="AJ112" t="s">
        <v>58</v>
      </c>
      <c r="AK112" t="s">
        <v>58</v>
      </c>
      <c r="AL112" t="s">
        <v>71</v>
      </c>
      <c r="AM112">
        <v>14</v>
      </c>
      <c r="AN112">
        <v>5</v>
      </c>
      <c r="AO112">
        <v>0</v>
      </c>
      <c r="AP112">
        <v>11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s">
        <v>61</v>
      </c>
      <c r="AY112" t="s">
        <v>57</v>
      </c>
      <c r="AZ112" t="s">
        <v>55</v>
      </c>
      <c r="BA112" t="s">
        <v>58</v>
      </c>
      <c r="BB112" t="s">
        <v>58</v>
      </c>
    </row>
    <row r="113" spans="1:54" x14ac:dyDescent="0.25">
      <c r="A113" t="s">
        <v>54</v>
      </c>
      <c r="B113" t="s">
        <v>54</v>
      </c>
      <c r="C113" t="s">
        <v>54</v>
      </c>
      <c r="D113" t="s">
        <v>154</v>
      </c>
      <c r="E113" t="s">
        <v>54</v>
      </c>
      <c r="F113" t="s">
        <v>54</v>
      </c>
      <c r="G113" t="s">
        <v>54</v>
      </c>
      <c r="H113" t="s">
        <v>54</v>
      </c>
      <c r="I113" t="s">
        <v>54</v>
      </c>
      <c r="J113" t="s">
        <v>54</v>
      </c>
      <c r="K113" t="s">
        <v>148</v>
      </c>
      <c r="L113">
        <v>-1</v>
      </c>
      <c r="M113">
        <v>0</v>
      </c>
      <c r="N113">
        <v>-1</v>
      </c>
      <c r="O113">
        <v>0</v>
      </c>
      <c r="P113" t="s">
        <v>70</v>
      </c>
      <c r="Q113">
        <v>0</v>
      </c>
      <c r="R113">
        <v>0</v>
      </c>
      <c r="S113">
        <v>780</v>
      </c>
      <c r="T113" t="s">
        <v>57</v>
      </c>
      <c r="U113">
        <v>0</v>
      </c>
      <c r="V113">
        <v>0</v>
      </c>
      <c r="W113">
        <v>0</v>
      </c>
      <c r="X113">
        <v>0</v>
      </c>
      <c r="Y113" t="s">
        <v>67</v>
      </c>
      <c r="Z113">
        <v>0</v>
      </c>
      <c r="AA113">
        <v>0</v>
      </c>
      <c r="AB113">
        <v>0</v>
      </c>
      <c r="AC113">
        <v>0</v>
      </c>
      <c r="AD113" t="s">
        <v>60</v>
      </c>
      <c r="AE113">
        <v>0</v>
      </c>
      <c r="AF113">
        <v>0</v>
      </c>
      <c r="AG113">
        <v>0</v>
      </c>
      <c r="AH113">
        <v>0</v>
      </c>
      <c r="AI113" t="b">
        <v>0</v>
      </c>
      <c r="AJ113" t="s">
        <v>58</v>
      </c>
      <c r="AK113" t="s">
        <v>58</v>
      </c>
      <c r="AL113" t="s">
        <v>71</v>
      </c>
      <c r="AM113">
        <v>14</v>
      </c>
      <c r="AN113">
        <v>3</v>
      </c>
      <c r="AO113">
        <v>4</v>
      </c>
      <c r="AP113">
        <v>11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s">
        <v>61</v>
      </c>
      <c r="AY113" t="s">
        <v>57</v>
      </c>
      <c r="AZ113" t="s">
        <v>55</v>
      </c>
      <c r="BA113" t="s">
        <v>58</v>
      </c>
      <c r="BB113" t="s">
        <v>58</v>
      </c>
    </row>
    <row r="114" spans="1:54" x14ac:dyDescent="0.25">
      <c r="A114" t="s">
        <v>54</v>
      </c>
      <c r="B114" t="s">
        <v>54</v>
      </c>
      <c r="C114" t="s">
        <v>54</v>
      </c>
      <c r="D114" t="s">
        <v>159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155</v>
      </c>
      <c r="L114">
        <v>-1</v>
      </c>
      <c r="M114">
        <v>0</v>
      </c>
      <c r="N114">
        <v>-1</v>
      </c>
      <c r="O114">
        <v>0</v>
      </c>
      <c r="P114" t="s">
        <v>70</v>
      </c>
      <c r="Q114">
        <v>0</v>
      </c>
      <c r="R114">
        <v>0</v>
      </c>
      <c r="S114">
        <v>780</v>
      </c>
      <c r="T114" t="s">
        <v>57</v>
      </c>
      <c r="U114">
        <v>0</v>
      </c>
      <c r="V114">
        <v>0</v>
      </c>
      <c r="W114">
        <v>0</v>
      </c>
      <c r="X114">
        <v>0</v>
      </c>
      <c r="Y114" t="s">
        <v>67</v>
      </c>
      <c r="Z114">
        <v>0</v>
      </c>
      <c r="AA114">
        <v>0</v>
      </c>
      <c r="AB114">
        <v>0</v>
      </c>
      <c r="AC114">
        <v>0</v>
      </c>
      <c r="AD114" t="s">
        <v>60</v>
      </c>
      <c r="AE114">
        <v>0</v>
      </c>
      <c r="AF114">
        <v>0</v>
      </c>
      <c r="AG114">
        <v>0</v>
      </c>
      <c r="AH114">
        <v>0</v>
      </c>
      <c r="AI114" t="b">
        <v>0</v>
      </c>
      <c r="AJ114" t="s">
        <v>58</v>
      </c>
      <c r="AK114" t="s">
        <v>58</v>
      </c>
      <c r="AL114" t="s">
        <v>71</v>
      </c>
      <c r="AM114">
        <v>14</v>
      </c>
      <c r="AN114">
        <v>4</v>
      </c>
      <c r="AO114">
        <v>3</v>
      </c>
      <c r="AP114">
        <v>11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s">
        <v>61</v>
      </c>
      <c r="AY114" t="s">
        <v>57</v>
      </c>
      <c r="AZ114" t="s">
        <v>55</v>
      </c>
      <c r="BA114" t="s">
        <v>58</v>
      </c>
      <c r="BB114" t="s">
        <v>58</v>
      </c>
    </row>
    <row r="115" spans="1:54" x14ac:dyDescent="0.25">
      <c r="A115" t="s">
        <v>54</v>
      </c>
      <c r="B115" t="s">
        <v>54</v>
      </c>
      <c r="C115" t="s">
        <v>54</v>
      </c>
      <c r="D115" t="s">
        <v>172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168</v>
      </c>
      <c r="L115">
        <v>-1</v>
      </c>
      <c r="M115">
        <v>0</v>
      </c>
      <c r="N115">
        <v>-1</v>
      </c>
      <c r="O115">
        <v>0</v>
      </c>
      <c r="P115" t="s">
        <v>70</v>
      </c>
      <c r="Q115">
        <v>0</v>
      </c>
      <c r="R115">
        <v>0</v>
      </c>
      <c r="S115">
        <v>965</v>
      </c>
      <c r="T115" t="s">
        <v>57</v>
      </c>
      <c r="U115">
        <v>0</v>
      </c>
      <c r="V115">
        <v>0</v>
      </c>
      <c r="W115">
        <v>0</v>
      </c>
      <c r="X115">
        <v>0</v>
      </c>
      <c r="Y115" t="s">
        <v>67</v>
      </c>
      <c r="Z115">
        <v>0</v>
      </c>
      <c r="AA115">
        <v>0</v>
      </c>
      <c r="AB115">
        <v>0</v>
      </c>
      <c r="AC115">
        <v>0</v>
      </c>
      <c r="AD115" t="s">
        <v>60</v>
      </c>
      <c r="AE115">
        <v>0</v>
      </c>
      <c r="AF115">
        <v>0</v>
      </c>
      <c r="AG115">
        <v>0</v>
      </c>
      <c r="AH115">
        <v>0</v>
      </c>
      <c r="AI115" t="b">
        <v>0</v>
      </c>
      <c r="AJ115" t="s">
        <v>58</v>
      </c>
      <c r="AK115" t="s">
        <v>58</v>
      </c>
      <c r="AL115" t="s">
        <v>71</v>
      </c>
      <c r="AM115">
        <v>14</v>
      </c>
      <c r="AN115">
        <v>2</v>
      </c>
      <c r="AO115">
        <v>12</v>
      </c>
      <c r="AP115">
        <v>11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s">
        <v>61</v>
      </c>
      <c r="AY115" t="s">
        <v>57</v>
      </c>
      <c r="AZ115" t="s">
        <v>55</v>
      </c>
      <c r="BA115" t="s">
        <v>58</v>
      </c>
      <c r="BB115" t="s">
        <v>58</v>
      </c>
    </row>
    <row r="116" spans="1:54" x14ac:dyDescent="0.25">
      <c r="A116" t="s">
        <v>54</v>
      </c>
      <c r="B116" t="s">
        <v>54</v>
      </c>
      <c r="C116" t="s">
        <v>54</v>
      </c>
      <c r="D116" t="s">
        <v>168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164</v>
      </c>
      <c r="L116">
        <v>-1</v>
      </c>
      <c r="M116">
        <v>0</v>
      </c>
      <c r="N116">
        <v>-1</v>
      </c>
      <c r="O116">
        <v>0</v>
      </c>
      <c r="P116" t="s">
        <v>70</v>
      </c>
      <c r="Q116">
        <v>0</v>
      </c>
      <c r="R116">
        <v>0</v>
      </c>
      <c r="S116">
        <v>780</v>
      </c>
      <c r="T116" t="s">
        <v>57</v>
      </c>
      <c r="U116">
        <v>0</v>
      </c>
      <c r="V116">
        <v>0</v>
      </c>
      <c r="W116">
        <v>0</v>
      </c>
      <c r="X116">
        <v>0</v>
      </c>
      <c r="Y116" t="s">
        <v>67</v>
      </c>
      <c r="Z116">
        <v>0</v>
      </c>
      <c r="AA116">
        <v>0</v>
      </c>
      <c r="AB116">
        <v>0</v>
      </c>
      <c r="AC116">
        <v>0</v>
      </c>
      <c r="AD116" t="s">
        <v>60</v>
      </c>
      <c r="AE116">
        <v>0</v>
      </c>
      <c r="AF116">
        <v>0</v>
      </c>
      <c r="AG116">
        <v>0</v>
      </c>
      <c r="AH116">
        <v>0</v>
      </c>
      <c r="AI116" t="b">
        <v>0</v>
      </c>
      <c r="AJ116" t="s">
        <v>58</v>
      </c>
      <c r="AK116" t="s">
        <v>58</v>
      </c>
      <c r="AL116" t="s">
        <v>71</v>
      </c>
      <c r="AM116">
        <v>14</v>
      </c>
      <c r="AN116">
        <v>3</v>
      </c>
      <c r="AO116">
        <v>5</v>
      </c>
      <c r="AP116">
        <v>11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s">
        <v>61</v>
      </c>
      <c r="AY116" t="s">
        <v>57</v>
      </c>
      <c r="AZ116" t="s">
        <v>55</v>
      </c>
      <c r="BA116" t="s">
        <v>58</v>
      </c>
      <c r="BB116" t="s">
        <v>58</v>
      </c>
    </row>
    <row r="117" spans="1:54" x14ac:dyDescent="0.25">
      <c r="A117" t="s">
        <v>54</v>
      </c>
      <c r="B117" t="s">
        <v>54</v>
      </c>
      <c r="C117" t="s">
        <v>54</v>
      </c>
      <c r="D117" t="s">
        <v>143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162</v>
      </c>
      <c r="L117">
        <v>-1</v>
      </c>
      <c r="M117">
        <v>0</v>
      </c>
      <c r="N117">
        <v>-1</v>
      </c>
      <c r="O117">
        <v>0</v>
      </c>
      <c r="P117" t="s">
        <v>70</v>
      </c>
      <c r="Q117">
        <v>0</v>
      </c>
      <c r="R117">
        <v>0</v>
      </c>
      <c r="S117">
        <v>780</v>
      </c>
      <c r="T117" t="s">
        <v>57</v>
      </c>
      <c r="U117">
        <v>0</v>
      </c>
      <c r="V117">
        <v>0</v>
      </c>
      <c r="W117">
        <v>0</v>
      </c>
      <c r="X117">
        <v>0</v>
      </c>
      <c r="Y117" t="s">
        <v>67</v>
      </c>
      <c r="Z117">
        <v>0</v>
      </c>
      <c r="AA117">
        <v>0</v>
      </c>
      <c r="AB117">
        <v>0</v>
      </c>
      <c r="AC117">
        <v>0</v>
      </c>
      <c r="AD117" t="s">
        <v>60</v>
      </c>
      <c r="AE117">
        <v>0</v>
      </c>
      <c r="AF117">
        <v>0</v>
      </c>
      <c r="AG117">
        <v>0</v>
      </c>
      <c r="AH117">
        <v>0</v>
      </c>
      <c r="AI117" t="b">
        <v>0</v>
      </c>
      <c r="AJ117" t="s">
        <v>58</v>
      </c>
      <c r="AK117" t="s">
        <v>58</v>
      </c>
      <c r="AL117" t="s">
        <v>71</v>
      </c>
      <c r="AM117">
        <v>14</v>
      </c>
      <c r="AN117">
        <v>4</v>
      </c>
      <c r="AO117">
        <v>4</v>
      </c>
      <c r="AP117">
        <v>11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s">
        <v>61</v>
      </c>
      <c r="AY117" t="s">
        <v>57</v>
      </c>
      <c r="AZ117" t="s">
        <v>55</v>
      </c>
      <c r="BA117" t="s">
        <v>58</v>
      </c>
      <c r="BB117" t="s">
        <v>58</v>
      </c>
    </row>
    <row r="118" spans="1:54" x14ac:dyDescent="0.25">
      <c r="A118" t="s">
        <v>54</v>
      </c>
      <c r="B118" t="s">
        <v>54</v>
      </c>
      <c r="C118" t="s">
        <v>54</v>
      </c>
      <c r="D118" t="s">
        <v>167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170</v>
      </c>
      <c r="L118">
        <v>-1</v>
      </c>
      <c r="M118">
        <v>0</v>
      </c>
      <c r="N118">
        <v>-1</v>
      </c>
      <c r="O118">
        <v>0</v>
      </c>
      <c r="P118" t="s">
        <v>70</v>
      </c>
      <c r="Q118">
        <v>0</v>
      </c>
      <c r="R118">
        <v>0</v>
      </c>
      <c r="S118">
        <v>780</v>
      </c>
      <c r="T118" t="s">
        <v>57</v>
      </c>
      <c r="U118">
        <v>0</v>
      </c>
      <c r="V118">
        <v>0</v>
      </c>
      <c r="W118">
        <v>0</v>
      </c>
      <c r="X118">
        <v>0</v>
      </c>
      <c r="Y118" t="s">
        <v>67</v>
      </c>
      <c r="Z118">
        <v>0</v>
      </c>
      <c r="AA118">
        <v>0</v>
      </c>
      <c r="AB118">
        <v>0</v>
      </c>
      <c r="AC118">
        <v>0</v>
      </c>
      <c r="AD118" t="s">
        <v>60</v>
      </c>
      <c r="AE118">
        <v>0</v>
      </c>
      <c r="AF118">
        <v>0</v>
      </c>
      <c r="AG118">
        <v>0</v>
      </c>
      <c r="AH118">
        <v>0</v>
      </c>
      <c r="AI118" t="b">
        <v>0</v>
      </c>
      <c r="AJ118" t="s">
        <v>58</v>
      </c>
      <c r="AK118" t="s">
        <v>58</v>
      </c>
      <c r="AL118" t="s">
        <v>71</v>
      </c>
      <c r="AM118">
        <v>14</v>
      </c>
      <c r="AN118">
        <v>5</v>
      </c>
      <c r="AO118">
        <v>1</v>
      </c>
      <c r="AP118">
        <v>11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s">
        <v>61</v>
      </c>
      <c r="AY118" t="s">
        <v>57</v>
      </c>
      <c r="AZ118" t="s">
        <v>55</v>
      </c>
      <c r="BA118" t="s">
        <v>58</v>
      </c>
      <c r="BB118" t="s">
        <v>58</v>
      </c>
    </row>
    <row r="119" spans="1:54" x14ac:dyDescent="0.25">
      <c r="A119" t="s">
        <v>54</v>
      </c>
      <c r="B119" t="s">
        <v>54</v>
      </c>
      <c r="C119" t="s">
        <v>54</v>
      </c>
      <c r="D119" t="s">
        <v>167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143</v>
      </c>
      <c r="L119">
        <v>-1</v>
      </c>
      <c r="M119">
        <v>0</v>
      </c>
      <c r="N119">
        <v>-1</v>
      </c>
      <c r="O119">
        <v>0</v>
      </c>
      <c r="P119" t="s">
        <v>70</v>
      </c>
      <c r="Q119">
        <v>0</v>
      </c>
      <c r="R119">
        <v>0</v>
      </c>
      <c r="S119">
        <v>975</v>
      </c>
      <c r="T119" t="s">
        <v>57</v>
      </c>
      <c r="U119">
        <v>0</v>
      </c>
      <c r="V119">
        <v>0</v>
      </c>
      <c r="W119">
        <v>0</v>
      </c>
      <c r="X119">
        <v>0</v>
      </c>
      <c r="Y119" t="s">
        <v>67</v>
      </c>
      <c r="Z119">
        <v>0</v>
      </c>
      <c r="AA119">
        <v>0</v>
      </c>
      <c r="AB119">
        <v>0</v>
      </c>
      <c r="AC119">
        <v>0</v>
      </c>
      <c r="AD119" t="s">
        <v>60</v>
      </c>
      <c r="AE119">
        <v>0</v>
      </c>
      <c r="AF119">
        <v>0</v>
      </c>
      <c r="AG119">
        <v>0</v>
      </c>
      <c r="AH119">
        <v>0</v>
      </c>
      <c r="AI119" t="b">
        <v>0</v>
      </c>
      <c r="AJ119" t="s">
        <v>58</v>
      </c>
      <c r="AK119" t="s">
        <v>58</v>
      </c>
      <c r="AL119" t="s">
        <v>71</v>
      </c>
      <c r="AM119">
        <v>14</v>
      </c>
      <c r="AN119">
        <v>3</v>
      </c>
      <c r="AO119">
        <v>11</v>
      </c>
      <c r="AP119">
        <v>11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s">
        <v>61</v>
      </c>
      <c r="AY119" t="s">
        <v>57</v>
      </c>
      <c r="AZ119" t="s">
        <v>55</v>
      </c>
      <c r="BA119" t="s">
        <v>58</v>
      </c>
      <c r="BB119" t="s">
        <v>58</v>
      </c>
    </row>
    <row r="120" spans="1:54" x14ac:dyDescent="0.25">
      <c r="A120" t="s">
        <v>54</v>
      </c>
      <c r="B120" t="s">
        <v>54</v>
      </c>
      <c r="C120" t="s">
        <v>54</v>
      </c>
      <c r="D120" t="s">
        <v>144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153</v>
      </c>
      <c r="L120">
        <v>-1</v>
      </c>
      <c r="M120">
        <v>0</v>
      </c>
      <c r="N120">
        <v>-1</v>
      </c>
      <c r="O120">
        <v>0</v>
      </c>
      <c r="P120" t="s">
        <v>70</v>
      </c>
      <c r="Q120">
        <v>0</v>
      </c>
      <c r="R120">
        <v>0</v>
      </c>
      <c r="S120">
        <v>780</v>
      </c>
      <c r="T120" t="s">
        <v>57</v>
      </c>
      <c r="U120">
        <v>0</v>
      </c>
      <c r="V120">
        <v>0</v>
      </c>
      <c r="W120">
        <v>0</v>
      </c>
      <c r="X120">
        <v>0</v>
      </c>
      <c r="Y120" t="s">
        <v>67</v>
      </c>
      <c r="Z120">
        <v>0</v>
      </c>
      <c r="AA120">
        <v>0</v>
      </c>
      <c r="AB120">
        <v>0</v>
      </c>
      <c r="AC120">
        <v>0</v>
      </c>
      <c r="AD120" t="s">
        <v>60</v>
      </c>
      <c r="AE120">
        <v>0</v>
      </c>
      <c r="AF120">
        <v>0</v>
      </c>
      <c r="AG120">
        <v>0</v>
      </c>
      <c r="AH120">
        <v>0</v>
      </c>
      <c r="AI120" t="b">
        <v>0</v>
      </c>
      <c r="AJ120" t="s">
        <v>58</v>
      </c>
      <c r="AK120" t="s">
        <v>58</v>
      </c>
      <c r="AL120" t="s">
        <v>71</v>
      </c>
      <c r="AM120">
        <v>14</v>
      </c>
      <c r="AN120">
        <v>3</v>
      </c>
      <c r="AO120">
        <v>6</v>
      </c>
      <c r="AP120">
        <v>11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s">
        <v>61</v>
      </c>
      <c r="AY120" t="s">
        <v>57</v>
      </c>
      <c r="AZ120" t="s">
        <v>55</v>
      </c>
      <c r="BA120" t="s">
        <v>58</v>
      </c>
      <c r="BB120" t="s">
        <v>58</v>
      </c>
    </row>
    <row r="121" spans="1:54" x14ac:dyDescent="0.25">
      <c r="A121" t="s">
        <v>54</v>
      </c>
      <c r="B121" t="s">
        <v>54</v>
      </c>
      <c r="C121" t="s">
        <v>54</v>
      </c>
      <c r="D121" t="s">
        <v>156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161</v>
      </c>
      <c r="L121">
        <v>-1</v>
      </c>
      <c r="M121">
        <v>0</v>
      </c>
      <c r="N121">
        <v>-1</v>
      </c>
      <c r="O121">
        <v>0</v>
      </c>
      <c r="P121" t="s">
        <v>70</v>
      </c>
      <c r="Q121">
        <v>0</v>
      </c>
      <c r="R121">
        <v>0</v>
      </c>
      <c r="S121">
        <v>975</v>
      </c>
      <c r="T121" t="s">
        <v>57</v>
      </c>
      <c r="U121">
        <v>0</v>
      </c>
      <c r="V121">
        <v>0</v>
      </c>
      <c r="W121">
        <v>0</v>
      </c>
      <c r="X121">
        <v>0</v>
      </c>
      <c r="Y121" t="s">
        <v>67</v>
      </c>
      <c r="Z121">
        <v>0</v>
      </c>
      <c r="AA121">
        <v>0</v>
      </c>
      <c r="AB121">
        <v>0</v>
      </c>
      <c r="AC121">
        <v>0</v>
      </c>
      <c r="AD121" t="s">
        <v>60</v>
      </c>
      <c r="AE121">
        <v>0</v>
      </c>
      <c r="AF121">
        <v>0</v>
      </c>
      <c r="AG121">
        <v>0</v>
      </c>
      <c r="AH121">
        <v>0</v>
      </c>
      <c r="AI121" t="b">
        <v>0</v>
      </c>
      <c r="AJ121" t="s">
        <v>58</v>
      </c>
      <c r="AK121" t="s">
        <v>58</v>
      </c>
      <c r="AL121" t="s">
        <v>71</v>
      </c>
      <c r="AM121">
        <v>14</v>
      </c>
      <c r="AN121">
        <v>3</v>
      </c>
      <c r="AO121">
        <v>12</v>
      </c>
      <c r="AP121">
        <v>11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s">
        <v>61</v>
      </c>
      <c r="AY121" t="s">
        <v>57</v>
      </c>
      <c r="AZ121" t="s">
        <v>55</v>
      </c>
      <c r="BA121" t="s">
        <v>58</v>
      </c>
      <c r="BB121" t="s">
        <v>58</v>
      </c>
    </row>
    <row r="122" spans="1:54" x14ac:dyDescent="0.25">
      <c r="A122" t="s">
        <v>54</v>
      </c>
      <c r="B122" t="s">
        <v>54</v>
      </c>
      <c r="C122" t="s">
        <v>54</v>
      </c>
      <c r="D122" t="s">
        <v>159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 t="s">
        <v>54</v>
      </c>
      <c r="K122" t="s">
        <v>173</v>
      </c>
      <c r="L122">
        <v>-1</v>
      </c>
      <c r="M122">
        <v>0</v>
      </c>
      <c r="N122">
        <v>-1</v>
      </c>
      <c r="O122">
        <v>0</v>
      </c>
      <c r="P122" t="s">
        <v>70</v>
      </c>
      <c r="Q122">
        <v>0</v>
      </c>
      <c r="R122">
        <v>0</v>
      </c>
      <c r="S122">
        <v>965</v>
      </c>
      <c r="T122" t="s">
        <v>57</v>
      </c>
      <c r="U122">
        <v>0</v>
      </c>
      <c r="V122">
        <v>0</v>
      </c>
      <c r="W122">
        <v>0</v>
      </c>
      <c r="X122">
        <v>0</v>
      </c>
      <c r="Y122" t="s">
        <v>67</v>
      </c>
      <c r="Z122">
        <v>0</v>
      </c>
      <c r="AA122">
        <v>0</v>
      </c>
      <c r="AB122">
        <v>0</v>
      </c>
      <c r="AC122">
        <v>0</v>
      </c>
      <c r="AD122" t="s">
        <v>60</v>
      </c>
      <c r="AE122">
        <v>0</v>
      </c>
      <c r="AF122">
        <v>0</v>
      </c>
      <c r="AG122">
        <v>0</v>
      </c>
      <c r="AH122">
        <v>0</v>
      </c>
      <c r="AI122" t="b">
        <v>0</v>
      </c>
      <c r="AJ122" t="s">
        <v>58</v>
      </c>
      <c r="AK122" t="s">
        <v>58</v>
      </c>
      <c r="AL122" t="s">
        <v>71</v>
      </c>
      <c r="AM122">
        <v>14</v>
      </c>
      <c r="AN122">
        <v>3</v>
      </c>
      <c r="AO122">
        <v>9</v>
      </c>
      <c r="AP122">
        <v>11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s">
        <v>61</v>
      </c>
      <c r="AY122" t="s">
        <v>57</v>
      </c>
      <c r="AZ122" t="s">
        <v>55</v>
      </c>
      <c r="BA122" t="s">
        <v>58</v>
      </c>
      <c r="BB122" t="s">
        <v>58</v>
      </c>
    </row>
    <row r="123" spans="1:54" x14ac:dyDescent="0.25">
      <c r="A123" t="s">
        <v>54</v>
      </c>
      <c r="B123" t="s">
        <v>54</v>
      </c>
      <c r="C123" t="s">
        <v>54</v>
      </c>
      <c r="D123" t="s">
        <v>148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171</v>
      </c>
      <c r="L123">
        <v>-1</v>
      </c>
      <c r="M123">
        <v>0</v>
      </c>
      <c r="N123">
        <v>-1</v>
      </c>
      <c r="O123">
        <v>0</v>
      </c>
      <c r="P123" t="s">
        <v>70</v>
      </c>
      <c r="Q123">
        <v>0</v>
      </c>
      <c r="R123">
        <v>0</v>
      </c>
      <c r="S123">
        <v>1230</v>
      </c>
      <c r="T123" t="s">
        <v>57</v>
      </c>
      <c r="U123">
        <v>0</v>
      </c>
      <c r="V123">
        <v>0</v>
      </c>
      <c r="W123">
        <v>0</v>
      </c>
      <c r="X123">
        <v>0</v>
      </c>
      <c r="Y123" t="s">
        <v>65</v>
      </c>
      <c r="Z123">
        <v>0</v>
      </c>
      <c r="AA123">
        <v>0</v>
      </c>
      <c r="AB123">
        <v>0</v>
      </c>
      <c r="AC123">
        <v>0</v>
      </c>
      <c r="AD123" t="s">
        <v>65</v>
      </c>
      <c r="AE123">
        <v>0</v>
      </c>
      <c r="AF123">
        <v>0</v>
      </c>
      <c r="AG123">
        <v>0</v>
      </c>
      <c r="AH123">
        <v>0</v>
      </c>
      <c r="AI123" t="b">
        <v>0</v>
      </c>
      <c r="AJ123" t="s">
        <v>58</v>
      </c>
      <c r="AK123" t="s">
        <v>58</v>
      </c>
      <c r="AL123" t="s">
        <v>71</v>
      </c>
      <c r="AM123">
        <v>14</v>
      </c>
      <c r="AN123">
        <v>5</v>
      </c>
      <c r="AO123">
        <v>12</v>
      </c>
      <c r="AP123">
        <v>11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s">
        <v>61</v>
      </c>
      <c r="AY123" t="s">
        <v>57</v>
      </c>
      <c r="AZ123" t="s">
        <v>55</v>
      </c>
      <c r="BA123" t="s">
        <v>58</v>
      </c>
      <c r="BB123" t="s">
        <v>58</v>
      </c>
    </row>
    <row r="124" spans="1:54" x14ac:dyDescent="0.25">
      <c r="A124" t="s">
        <v>54</v>
      </c>
      <c r="B124" t="s">
        <v>54</v>
      </c>
      <c r="C124" t="s">
        <v>54</v>
      </c>
      <c r="D124" t="s">
        <v>150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156</v>
      </c>
      <c r="L124">
        <v>-1</v>
      </c>
      <c r="M124">
        <v>0</v>
      </c>
      <c r="N124">
        <v>-1</v>
      </c>
      <c r="O124">
        <v>0</v>
      </c>
      <c r="P124" t="s">
        <v>70</v>
      </c>
      <c r="Q124">
        <v>0</v>
      </c>
      <c r="R124">
        <v>0</v>
      </c>
      <c r="S124">
        <v>1230</v>
      </c>
      <c r="T124" t="s">
        <v>57</v>
      </c>
      <c r="U124">
        <v>0</v>
      </c>
      <c r="V124">
        <v>0</v>
      </c>
      <c r="W124">
        <v>0</v>
      </c>
      <c r="X124">
        <v>0</v>
      </c>
      <c r="Y124" t="s">
        <v>65</v>
      </c>
      <c r="Z124">
        <v>0</v>
      </c>
      <c r="AA124">
        <v>0</v>
      </c>
      <c r="AB124">
        <v>0</v>
      </c>
      <c r="AC124">
        <v>0</v>
      </c>
      <c r="AD124" t="s">
        <v>65</v>
      </c>
      <c r="AE124">
        <v>0</v>
      </c>
      <c r="AF124">
        <v>0</v>
      </c>
      <c r="AG124">
        <v>0</v>
      </c>
      <c r="AH124">
        <v>0</v>
      </c>
      <c r="AI124" t="b">
        <v>0</v>
      </c>
      <c r="AJ124" t="s">
        <v>58</v>
      </c>
      <c r="AK124" t="s">
        <v>58</v>
      </c>
      <c r="AL124" t="s">
        <v>71</v>
      </c>
      <c r="AM124">
        <v>14</v>
      </c>
      <c r="AN124">
        <v>4</v>
      </c>
      <c r="AO124">
        <v>14</v>
      </c>
      <c r="AP124">
        <v>11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s">
        <v>61</v>
      </c>
      <c r="AY124" t="s">
        <v>57</v>
      </c>
      <c r="AZ124" t="s">
        <v>55</v>
      </c>
      <c r="BA124" t="s">
        <v>58</v>
      </c>
      <c r="BB124" t="s">
        <v>58</v>
      </c>
    </row>
    <row r="125" spans="1:54" x14ac:dyDescent="0.25">
      <c r="A125" t="s">
        <v>54</v>
      </c>
      <c r="B125" t="s">
        <v>54</v>
      </c>
      <c r="C125" t="s">
        <v>54</v>
      </c>
      <c r="D125" t="s">
        <v>173</v>
      </c>
      <c r="E125" t="s">
        <v>54</v>
      </c>
      <c r="F125" t="s">
        <v>54</v>
      </c>
      <c r="G125" t="s">
        <v>54</v>
      </c>
      <c r="H125" t="s">
        <v>54</v>
      </c>
      <c r="I125" t="s">
        <v>54</v>
      </c>
      <c r="J125" t="s">
        <v>54</v>
      </c>
      <c r="K125" t="s">
        <v>164</v>
      </c>
      <c r="L125">
        <v>-1</v>
      </c>
      <c r="M125">
        <v>0</v>
      </c>
      <c r="N125">
        <v>-1</v>
      </c>
      <c r="O125">
        <v>0</v>
      </c>
      <c r="P125" t="s">
        <v>70</v>
      </c>
      <c r="Q125">
        <v>0</v>
      </c>
      <c r="R125">
        <v>0</v>
      </c>
      <c r="S125">
        <v>780</v>
      </c>
      <c r="T125" t="s">
        <v>57</v>
      </c>
      <c r="U125">
        <v>0</v>
      </c>
      <c r="V125">
        <v>0</v>
      </c>
      <c r="W125">
        <v>0</v>
      </c>
      <c r="X125">
        <v>0</v>
      </c>
      <c r="Y125" t="s">
        <v>67</v>
      </c>
      <c r="Z125">
        <v>0</v>
      </c>
      <c r="AA125">
        <v>0</v>
      </c>
      <c r="AB125">
        <v>0</v>
      </c>
      <c r="AC125">
        <v>0</v>
      </c>
      <c r="AD125" t="s">
        <v>60</v>
      </c>
      <c r="AE125">
        <v>0</v>
      </c>
      <c r="AF125">
        <v>0</v>
      </c>
      <c r="AG125">
        <v>0</v>
      </c>
      <c r="AH125">
        <v>0</v>
      </c>
      <c r="AI125" t="b">
        <v>0</v>
      </c>
      <c r="AJ125" t="s">
        <v>58</v>
      </c>
      <c r="AK125" t="s">
        <v>58</v>
      </c>
      <c r="AL125" t="s">
        <v>71</v>
      </c>
      <c r="AM125">
        <v>14</v>
      </c>
      <c r="AN125">
        <v>4</v>
      </c>
      <c r="AO125">
        <v>5</v>
      </c>
      <c r="AP125">
        <v>11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s">
        <v>61</v>
      </c>
      <c r="AY125" t="s">
        <v>57</v>
      </c>
      <c r="AZ125" t="s">
        <v>55</v>
      </c>
      <c r="BA125" t="s">
        <v>58</v>
      </c>
      <c r="BB125" t="s">
        <v>58</v>
      </c>
    </row>
    <row r="126" spans="1:54" x14ac:dyDescent="0.25">
      <c r="A126" t="s">
        <v>54</v>
      </c>
      <c r="B126" t="s">
        <v>54</v>
      </c>
      <c r="C126" t="s">
        <v>54</v>
      </c>
      <c r="D126" t="s">
        <v>149</v>
      </c>
      <c r="E126" t="s">
        <v>54</v>
      </c>
      <c r="F126" t="s">
        <v>54</v>
      </c>
      <c r="G126" t="s">
        <v>54</v>
      </c>
      <c r="H126" t="s">
        <v>54</v>
      </c>
      <c r="I126" t="s">
        <v>54</v>
      </c>
      <c r="J126" t="s">
        <v>54</v>
      </c>
      <c r="K126" t="s">
        <v>160</v>
      </c>
      <c r="L126">
        <v>-1</v>
      </c>
      <c r="M126">
        <v>0</v>
      </c>
      <c r="N126">
        <v>-1</v>
      </c>
      <c r="O126">
        <v>0</v>
      </c>
      <c r="P126" t="s">
        <v>70</v>
      </c>
      <c r="Q126">
        <v>0</v>
      </c>
      <c r="R126">
        <v>0</v>
      </c>
      <c r="S126">
        <v>1220</v>
      </c>
      <c r="T126" t="s">
        <v>57</v>
      </c>
      <c r="U126">
        <v>0</v>
      </c>
      <c r="V126">
        <v>0</v>
      </c>
      <c r="W126">
        <v>0</v>
      </c>
      <c r="X126">
        <v>0</v>
      </c>
      <c r="Y126" t="s">
        <v>68</v>
      </c>
      <c r="Z126">
        <v>0</v>
      </c>
      <c r="AA126">
        <v>0</v>
      </c>
      <c r="AB126">
        <v>0</v>
      </c>
      <c r="AC126">
        <v>0</v>
      </c>
      <c r="AD126" t="s">
        <v>68</v>
      </c>
      <c r="AE126">
        <v>0</v>
      </c>
      <c r="AF126">
        <v>0</v>
      </c>
      <c r="AG126">
        <v>0</v>
      </c>
      <c r="AH126">
        <v>0</v>
      </c>
      <c r="AI126" t="b">
        <v>0</v>
      </c>
      <c r="AJ126" t="s">
        <v>58</v>
      </c>
      <c r="AK126" t="s">
        <v>58</v>
      </c>
      <c r="AL126" t="s">
        <v>71</v>
      </c>
      <c r="AM126">
        <v>14</v>
      </c>
      <c r="AN126">
        <v>4</v>
      </c>
      <c r="AO126">
        <v>15</v>
      </c>
      <c r="AP126">
        <v>11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s">
        <v>61</v>
      </c>
      <c r="AY126" t="s">
        <v>57</v>
      </c>
      <c r="AZ126" t="s">
        <v>55</v>
      </c>
      <c r="BA126" t="s">
        <v>58</v>
      </c>
      <c r="BB126" t="s">
        <v>58</v>
      </c>
    </row>
    <row r="127" spans="1:54" x14ac:dyDescent="0.25">
      <c r="A127" t="s">
        <v>54</v>
      </c>
      <c r="B127" t="s">
        <v>54</v>
      </c>
      <c r="C127" t="s">
        <v>54</v>
      </c>
      <c r="D127" t="s">
        <v>144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146</v>
      </c>
      <c r="L127">
        <v>-1</v>
      </c>
      <c r="M127">
        <v>0</v>
      </c>
      <c r="N127">
        <v>-1</v>
      </c>
      <c r="O127">
        <v>0</v>
      </c>
      <c r="P127" t="s">
        <v>70</v>
      </c>
      <c r="Q127">
        <v>0</v>
      </c>
      <c r="R127">
        <v>0</v>
      </c>
      <c r="S127">
        <v>1220</v>
      </c>
      <c r="T127" t="s">
        <v>57</v>
      </c>
      <c r="U127">
        <v>0</v>
      </c>
      <c r="V127">
        <v>0</v>
      </c>
      <c r="W127">
        <v>0</v>
      </c>
      <c r="X127">
        <v>0</v>
      </c>
      <c r="Y127" t="s">
        <v>60</v>
      </c>
      <c r="Z127">
        <v>0</v>
      </c>
      <c r="AA127">
        <v>0</v>
      </c>
      <c r="AB127">
        <v>0</v>
      </c>
      <c r="AC127">
        <v>0</v>
      </c>
      <c r="AD127" t="s">
        <v>60</v>
      </c>
      <c r="AE127">
        <v>0</v>
      </c>
      <c r="AF127">
        <v>0</v>
      </c>
      <c r="AG127">
        <v>0</v>
      </c>
      <c r="AH127">
        <v>0</v>
      </c>
      <c r="AI127" t="b">
        <v>0</v>
      </c>
      <c r="AJ127" t="s">
        <v>58</v>
      </c>
      <c r="AK127" t="s">
        <v>58</v>
      </c>
      <c r="AL127" t="s">
        <v>71</v>
      </c>
      <c r="AM127">
        <v>14</v>
      </c>
      <c r="AN127">
        <v>5</v>
      </c>
      <c r="AO127">
        <v>11</v>
      </c>
      <c r="AP127">
        <v>11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s">
        <v>61</v>
      </c>
      <c r="AY127" t="s">
        <v>57</v>
      </c>
      <c r="AZ127" t="s">
        <v>55</v>
      </c>
      <c r="BA127" t="s">
        <v>58</v>
      </c>
      <c r="BB127" t="s">
        <v>58</v>
      </c>
    </row>
    <row r="128" spans="1:54" x14ac:dyDescent="0.25">
      <c r="A128" t="s">
        <v>54</v>
      </c>
      <c r="B128" t="s">
        <v>54</v>
      </c>
      <c r="C128" t="s">
        <v>54</v>
      </c>
      <c r="D128" t="s">
        <v>166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151</v>
      </c>
      <c r="L128">
        <v>-1</v>
      </c>
      <c r="M128">
        <v>0</v>
      </c>
      <c r="N128">
        <v>-1</v>
      </c>
      <c r="O128">
        <v>0</v>
      </c>
      <c r="P128" t="s">
        <v>70</v>
      </c>
      <c r="Q128">
        <v>0</v>
      </c>
      <c r="R128">
        <v>0</v>
      </c>
      <c r="S128">
        <v>975</v>
      </c>
      <c r="T128" t="s">
        <v>57</v>
      </c>
      <c r="U128">
        <v>0</v>
      </c>
      <c r="V128">
        <v>0</v>
      </c>
      <c r="W128">
        <v>0</v>
      </c>
      <c r="X128">
        <v>0</v>
      </c>
      <c r="Y128" t="s">
        <v>67</v>
      </c>
      <c r="Z128">
        <v>0</v>
      </c>
      <c r="AA128">
        <v>0</v>
      </c>
      <c r="AB128">
        <v>0</v>
      </c>
      <c r="AC128">
        <v>0</v>
      </c>
      <c r="AD128" t="s">
        <v>60</v>
      </c>
      <c r="AE128">
        <v>0</v>
      </c>
      <c r="AF128">
        <v>0</v>
      </c>
      <c r="AG128">
        <v>0</v>
      </c>
      <c r="AH128">
        <v>0</v>
      </c>
      <c r="AI128" t="b">
        <v>0</v>
      </c>
      <c r="AJ128" t="s">
        <v>58</v>
      </c>
      <c r="AK128" t="s">
        <v>58</v>
      </c>
      <c r="AL128" t="s">
        <v>71</v>
      </c>
      <c r="AM128">
        <v>14</v>
      </c>
      <c r="AN128">
        <v>5</v>
      </c>
      <c r="AO128">
        <v>7</v>
      </c>
      <c r="AP128">
        <v>11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s">
        <v>61</v>
      </c>
      <c r="AY128" t="s">
        <v>57</v>
      </c>
      <c r="AZ128" t="s">
        <v>55</v>
      </c>
      <c r="BA128" t="s">
        <v>58</v>
      </c>
      <c r="BB128" t="s">
        <v>58</v>
      </c>
    </row>
    <row r="129" spans="1:54" x14ac:dyDescent="0.25">
      <c r="A129" t="s">
        <v>54</v>
      </c>
      <c r="B129" t="s">
        <v>54</v>
      </c>
      <c r="C129" t="s">
        <v>54</v>
      </c>
      <c r="D129" t="s">
        <v>153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165</v>
      </c>
      <c r="L129">
        <v>-1</v>
      </c>
      <c r="M129">
        <v>0</v>
      </c>
      <c r="N129">
        <v>-1</v>
      </c>
      <c r="O129">
        <v>0</v>
      </c>
      <c r="P129" t="s">
        <v>70</v>
      </c>
      <c r="Q129">
        <v>0</v>
      </c>
      <c r="R129">
        <v>0</v>
      </c>
      <c r="S129">
        <v>975</v>
      </c>
      <c r="T129" t="s">
        <v>57</v>
      </c>
      <c r="U129">
        <v>0</v>
      </c>
      <c r="V129">
        <v>0</v>
      </c>
      <c r="W129">
        <v>0</v>
      </c>
      <c r="X129">
        <v>0</v>
      </c>
      <c r="Y129" t="s">
        <v>67</v>
      </c>
      <c r="Z129">
        <v>0</v>
      </c>
      <c r="AA129">
        <v>0</v>
      </c>
      <c r="AB129">
        <v>0</v>
      </c>
      <c r="AC129">
        <v>0</v>
      </c>
      <c r="AD129" t="s">
        <v>60</v>
      </c>
      <c r="AE129">
        <v>0</v>
      </c>
      <c r="AF129">
        <v>0</v>
      </c>
      <c r="AG129">
        <v>0</v>
      </c>
      <c r="AH129">
        <v>0</v>
      </c>
      <c r="AI129" t="b">
        <v>0</v>
      </c>
      <c r="AJ129" t="s">
        <v>58</v>
      </c>
      <c r="AK129" t="s">
        <v>58</v>
      </c>
      <c r="AL129" t="s">
        <v>71</v>
      </c>
      <c r="AM129">
        <v>14</v>
      </c>
      <c r="AN129">
        <v>4</v>
      </c>
      <c r="AO129">
        <v>10</v>
      </c>
      <c r="AP129">
        <v>11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s">
        <v>61</v>
      </c>
      <c r="AY129" t="s">
        <v>57</v>
      </c>
      <c r="AZ129" t="s">
        <v>55</v>
      </c>
      <c r="BA129" t="s">
        <v>58</v>
      </c>
      <c r="BB129" t="s">
        <v>58</v>
      </c>
    </row>
    <row r="130" spans="1:54" x14ac:dyDescent="0.25">
      <c r="A130" t="s">
        <v>54</v>
      </c>
      <c r="B130" t="s">
        <v>54</v>
      </c>
      <c r="C130" t="s">
        <v>54</v>
      </c>
      <c r="D130" t="s">
        <v>173</v>
      </c>
      <c r="E130" t="s">
        <v>54</v>
      </c>
      <c r="F130" t="s">
        <v>54</v>
      </c>
      <c r="G130" t="s">
        <v>54</v>
      </c>
      <c r="H130" t="s">
        <v>54</v>
      </c>
      <c r="I130" t="s">
        <v>54</v>
      </c>
      <c r="J130" t="s">
        <v>54</v>
      </c>
      <c r="K130" t="s">
        <v>174</v>
      </c>
      <c r="L130">
        <v>-1</v>
      </c>
      <c r="M130">
        <v>0</v>
      </c>
      <c r="N130">
        <v>-1</v>
      </c>
      <c r="O130">
        <v>0</v>
      </c>
      <c r="P130" t="s">
        <v>70</v>
      </c>
      <c r="Q130">
        <v>0</v>
      </c>
      <c r="R130">
        <v>0</v>
      </c>
      <c r="S130">
        <v>975</v>
      </c>
      <c r="T130" t="s">
        <v>57</v>
      </c>
      <c r="U130">
        <v>0</v>
      </c>
      <c r="V130">
        <v>0</v>
      </c>
      <c r="W130">
        <v>0</v>
      </c>
      <c r="X130">
        <v>0</v>
      </c>
      <c r="Y130" t="s">
        <v>67</v>
      </c>
      <c r="Z130">
        <v>0</v>
      </c>
      <c r="AA130">
        <v>0</v>
      </c>
      <c r="AB130">
        <v>0</v>
      </c>
      <c r="AC130">
        <v>0</v>
      </c>
      <c r="AD130" t="s">
        <v>60</v>
      </c>
      <c r="AE130">
        <v>0</v>
      </c>
      <c r="AF130">
        <v>0</v>
      </c>
      <c r="AG130">
        <v>0</v>
      </c>
      <c r="AH130">
        <v>0</v>
      </c>
      <c r="AI130" t="b">
        <v>0</v>
      </c>
      <c r="AJ130" t="s">
        <v>58</v>
      </c>
      <c r="AK130" t="s">
        <v>58</v>
      </c>
      <c r="AL130" t="s">
        <v>71</v>
      </c>
      <c r="AM130">
        <v>14</v>
      </c>
      <c r="AN130">
        <v>5</v>
      </c>
      <c r="AO130">
        <v>8</v>
      </c>
      <c r="AP130">
        <v>11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s">
        <v>61</v>
      </c>
      <c r="AY130" t="s">
        <v>57</v>
      </c>
      <c r="AZ130" t="s">
        <v>55</v>
      </c>
      <c r="BA130" t="s">
        <v>58</v>
      </c>
      <c r="BB130" t="s">
        <v>58</v>
      </c>
    </row>
    <row r="131" spans="1:54" x14ac:dyDescent="0.25">
      <c r="A131" t="s">
        <v>54</v>
      </c>
      <c r="B131" t="s">
        <v>54</v>
      </c>
      <c r="C131" t="s">
        <v>54</v>
      </c>
      <c r="D131" t="s">
        <v>170</v>
      </c>
      <c r="E131" t="s">
        <v>54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163</v>
      </c>
      <c r="L131">
        <v>-1</v>
      </c>
      <c r="M131">
        <v>0</v>
      </c>
      <c r="N131">
        <v>-1</v>
      </c>
      <c r="O131">
        <v>0</v>
      </c>
      <c r="P131" t="s">
        <v>70</v>
      </c>
      <c r="Q131">
        <v>0</v>
      </c>
      <c r="R131">
        <v>0</v>
      </c>
      <c r="S131">
        <v>780</v>
      </c>
      <c r="T131" t="s">
        <v>57</v>
      </c>
      <c r="U131">
        <v>0</v>
      </c>
      <c r="V131">
        <v>0</v>
      </c>
      <c r="W131">
        <v>0</v>
      </c>
      <c r="X131">
        <v>0</v>
      </c>
      <c r="Y131" t="s">
        <v>67</v>
      </c>
      <c r="Z131">
        <v>0</v>
      </c>
      <c r="AA131">
        <v>0</v>
      </c>
      <c r="AB131">
        <v>0</v>
      </c>
      <c r="AC131">
        <v>0</v>
      </c>
      <c r="AD131" t="s">
        <v>60</v>
      </c>
      <c r="AE131">
        <v>0</v>
      </c>
      <c r="AF131">
        <v>0</v>
      </c>
      <c r="AG131">
        <v>0</v>
      </c>
      <c r="AH131">
        <v>0</v>
      </c>
      <c r="AI131" t="b">
        <v>0</v>
      </c>
      <c r="AJ131" t="s">
        <v>58</v>
      </c>
      <c r="AK131" t="s">
        <v>58</v>
      </c>
      <c r="AL131" t="s">
        <v>71</v>
      </c>
      <c r="AM131">
        <v>14</v>
      </c>
      <c r="AN131">
        <v>3</v>
      </c>
      <c r="AO131">
        <v>7</v>
      </c>
      <c r="AP131">
        <v>11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s">
        <v>61</v>
      </c>
      <c r="AY131" t="s">
        <v>57</v>
      </c>
      <c r="AZ131" t="s">
        <v>55</v>
      </c>
      <c r="BA131" t="s">
        <v>58</v>
      </c>
      <c r="BB131" t="s">
        <v>58</v>
      </c>
    </row>
    <row r="132" spans="1:54" x14ac:dyDescent="0.25">
      <c r="A132" t="s">
        <v>54</v>
      </c>
      <c r="B132" t="s">
        <v>54</v>
      </c>
      <c r="C132" t="s">
        <v>54</v>
      </c>
      <c r="D132" t="s">
        <v>157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154</v>
      </c>
      <c r="L132">
        <v>-1</v>
      </c>
      <c r="M132">
        <v>0</v>
      </c>
      <c r="N132">
        <v>-1</v>
      </c>
      <c r="O132">
        <v>0</v>
      </c>
      <c r="P132" t="s">
        <v>70</v>
      </c>
      <c r="Q132">
        <v>0</v>
      </c>
      <c r="R132">
        <v>0</v>
      </c>
      <c r="S132">
        <v>780</v>
      </c>
      <c r="T132" t="s">
        <v>57</v>
      </c>
      <c r="U132">
        <v>0</v>
      </c>
      <c r="V132">
        <v>0</v>
      </c>
      <c r="W132">
        <v>0</v>
      </c>
      <c r="X132">
        <v>0</v>
      </c>
      <c r="Y132" t="s">
        <v>67</v>
      </c>
      <c r="Z132">
        <v>0</v>
      </c>
      <c r="AA132">
        <v>0</v>
      </c>
      <c r="AB132">
        <v>0</v>
      </c>
      <c r="AC132">
        <v>0</v>
      </c>
      <c r="AD132" t="s">
        <v>60</v>
      </c>
      <c r="AE132">
        <v>0</v>
      </c>
      <c r="AF132">
        <v>0</v>
      </c>
      <c r="AG132">
        <v>0</v>
      </c>
      <c r="AH132">
        <v>0</v>
      </c>
      <c r="AI132" t="b">
        <v>0</v>
      </c>
      <c r="AJ132" t="s">
        <v>58</v>
      </c>
      <c r="AK132" t="s">
        <v>58</v>
      </c>
      <c r="AL132" t="s">
        <v>71</v>
      </c>
      <c r="AM132">
        <v>14</v>
      </c>
      <c r="AN132">
        <v>5</v>
      </c>
      <c r="AO132">
        <v>2</v>
      </c>
      <c r="AP132">
        <v>11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s">
        <v>61</v>
      </c>
      <c r="AY132" t="s">
        <v>57</v>
      </c>
      <c r="AZ132" t="s">
        <v>55</v>
      </c>
      <c r="BA132" t="s">
        <v>58</v>
      </c>
      <c r="BB132" t="s">
        <v>58</v>
      </c>
    </row>
    <row r="133" spans="1:54" x14ac:dyDescent="0.25">
      <c r="A133" t="s">
        <v>54</v>
      </c>
      <c r="B133" t="s">
        <v>54</v>
      </c>
      <c r="C133" t="s">
        <v>54</v>
      </c>
      <c r="D133" t="s">
        <v>144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 t="s">
        <v>54</v>
      </c>
      <c r="K133" t="s">
        <v>169</v>
      </c>
      <c r="L133">
        <v>-1</v>
      </c>
      <c r="M133">
        <v>0</v>
      </c>
      <c r="N133">
        <v>-1</v>
      </c>
      <c r="O133">
        <v>0</v>
      </c>
      <c r="P133" t="s">
        <v>70</v>
      </c>
      <c r="Q133">
        <v>0</v>
      </c>
      <c r="R133">
        <v>0</v>
      </c>
      <c r="S133">
        <v>975</v>
      </c>
      <c r="T133" t="s">
        <v>57</v>
      </c>
      <c r="U133">
        <v>0</v>
      </c>
      <c r="V133">
        <v>0</v>
      </c>
      <c r="W133">
        <v>0</v>
      </c>
      <c r="X133">
        <v>0</v>
      </c>
      <c r="Y133" t="s">
        <v>67</v>
      </c>
      <c r="Z133">
        <v>0</v>
      </c>
      <c r="AA133">
        <v>0</v>
      </c>
      <c r="AB133">
        <v>0</v>
      </c>
      <c r="AC133">
        <v>0</v>
      </c>
      <c r="AD133" t="s">
        <v>60</v>
      </c>
      <c r="AE133">
        <v>0</v>
      </c>
      <c r="AF133">
        <v>0</v>
      </c>
      <c r="AG133">
        <v>0</v>
      </c>
      <c r="AH133">
        <v>0</v>
      </c>
      <c r="AI133" t="b">
        <v>0</v>
      </c>
      <c r="AJ133" t="s">
        <v>58</v>
      </c>
      <c r="AK133" t="s">
        <v>58</v>
      </c>
      <c r="AL133" t="s">
        <v>71</v>
      </c>
      <c r="AM133">
        <v>14</v>
      </c>
      <c r="AN133">
        <v>4</v>
      </c>
      <c r="AO133">
        <v>11</v>
      </c>
      <c r="AP133">
        <v>11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s">
        <v>61</v>
      </c>
      <c r="AY133" t="s">
        <v>57</v>
      </c>
      <c r="AZ133" t="s">
        <v>55</v>
      </c>
      <c r="BA133" t="s">
        <v>58</v>
      </c>
      <c r="BB133" t="s">
        <v>58</v>
      </c>
    </row>
    <row r="134" spans="1:54" x14ac:dyDescent="0.25">
      <c r="A134" t="s">
        <v>54</v>
      </c>
      <c r="B134" t="s">
        <v>54</v>
      </c>
      <c r="C134" t="s">
        <v>54</v>
      </c>
      <c r="D134" t="s">
        <v>171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 t="s">
        <v>54</v>
      </c>
      <c r="K134" t="s">
        <v>163</v>
      </c>
      <c r="L134">
        <v>-1</v>
      </c>
      <c r="M134">
        <v>0</v>
      </c>
      <c r="N134">
        <v>-1</v>
      </c>
      <c r="O134">
        <v>0</v>
      </c>
      <c r="P134" t="s">
        <v>70</v>
      </c>
      <c r="Q134">
        <v>0</v>
      </c>
      <c r="R134">
        <v>0</v>
      </c>
      <c r="S134">
        <v>975</v>
      </c>
      <c r="T134" t="s">
        <v>57</v>
      </c>
      <c r="U134">
        <v>0</v>
      </c>
      <c r="V134">
        <v>0</v>
      </c>
      <c r="W134">
        <v>0</v>
      </c>
      <c r="X134">
        <v>0</v>
      </c>
      <c r="Y134" t="s">
        <v>67</v>
      </c>
      <c r="Z134">
        <v>0</v>
      </c>
      <c r="AA134">
        <v>0</v>
      </c>
      <c r="AB134">
        <v>0</v>
      </c>
      <c r="AC134">
        <v>0</v>
      </c>
      <c r="AD134" t="s">
        <v>60</v>
      </c>
      <c r="AE134">
        <v>0</v>
      </c>
      <c r="AF134">
        <v>0</v>
      </c>
      <c r="AG134">
        <v>0</v>
      </c>
      <c r="AH134">
        <v>0</v>
      </c>
      <c r="AI134" t="b">
        <v>0</v>
      </c>
      <c r="AJ134" t="s">
        <v>58</v>
      </c>
      <c r="AK134" t="s">
        <v>58</v>
      </c>
      <c r="AL134" t="s">
        <v>71</v>
      </c>
      <c r="AM134">
        <v>14</v>
      </c>
      <c r="AN134">
        <v>4</v>
      </c>
      <c r="AO134">
        <v>12</v>
      </c>
      <c r="AP134">
        <v>11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s">
        <v>61</v>
      </c>
      <c r="AY134" t="s">
        <v>57</v>
      </c>
      <c r="AZ134" t="s">
        <v>55</v>
      </c>
      <c r="BA134" t="s">
        <v>58</v>
      </c>
      <c r="BB134" t="s">
        <v>58</v>
      </c>
    </row>
    <row r="135" spans="1:54" x14ac:dyDescent="0.25">
      <c r="A135" t="s">
        <v>54</v>
      </c>
      <c r="B135" t="s">
        <v>54</v>
      </c>
      <c r="C135" t="s">
        <v>54</v>
      </c>
      <c r="D135" t="s">
        <v>164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174</v>
      </c>
      <c r="L135">
        <v>-1</v>
      </c>
      <c r="M135">
        <v>0</v>
      </c>
      <c r="N135">
        <v>-1</v>
      </c>
      <c r="O135">
        <v>0</v>
      </c>
      <c r="P135" t="s">
        <v>70</v>
      </c>
      <c r="Q135">
        <v>0</v>
      </c>
      <c r="R135">
        <v>0</v>
      </c>
      <c r="S135">
        <v>975</v>
      </c>
      <c r="T135" t="s">
        <v>57</v>
      </c>
      <c r="U135">
        <v>0</v>
      </c>
      <c r="V135">
        <v>0</v>
      </c>
      <c r="W135">
        <v>0</v>
      </c>
      <c r="X135">
        <v>0</v>
      </c>
      <c r="Y135" t="s">
        <v>67</v>
      </c>
      <c r="Z135">
        <v>0</v>
      </c>
      <c r="AA135">
        <v>0</v>
      </c>
      <c r="AB135">
        <v>0</v>
      </c>
      <c r="AC135">
        <v>0</v>
      </c>
      <c r="AD135" t="s">
        <v>60</v>
      </c>
      <c r="AE135">
        <v>0</v>
      </c>
      <c r="AF135">
        <v>0</v>
      </c>
      <c r="AG135">
        <v>0</v>
      </c>
      <c r="AH135">
        <v>0</v>
      </c>
      <c r="AI135" t="b">
        <v>0</v>
      </c>
      <c r="AJ135" t="s">
        <v>58</v>
      </c>
      <c r="AK135" t="s">
        <v>58</v>
      </c>
      <c r="AL135" t="s">
        <v>71</v>
      </c>
      <c r="AM135">
        <v>14</v>
      </c>
      <c r="AN135">
        <v>6</v>
      </c>
      <c r="AO135">
        <v>8</v>
      </c>
      <c r="AP135">
        <v>11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s">
        <v>61</v>
      </c>
      <c r="AY135" t="s">
        <v>57</v>
      </c>
      <c r="AZ135" t="s">
        <v>55</v>
      </c>
      <c r="BA135" t="s">
        <v>58</v>
      </c>
      <c r="BB135" t="s">
        <v>58</v>
      </c>
    </row>
    <row r="136" spans="1:54" x14ac:dyDescent="0.25">
      <c r="A136" t="s">
        <v>54</v>
      </c>
      <c r="B136" t="s">
        <v>54</v>
      </c>
      <c r="C136" t="s">
        <v>54</v>
      </c>
      <c r="D136" t="s">
        <v>172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158</v>
      </c>
      <c r="L136">
        <v>-1</v>
      </c>
      <c r="M136">
        <v>0</v>
      </c>
      <c r="N136">
        <v>-1</v>
      </c>
      <c r="O136">
        <v>0</v>
      </c>
      <c r="P136" t="s">
        <v>70</v>
      </c>
      <c r="Q136">
        <v>0</v>
      </c>
      <c r="R136">
        <v>0</v>
      </c>
      <c r="S136">
        <v>780</v>
      </c>
      <c r="T136" t="s">
        <v>57</v>
      </c>
      <c r="U136">
        <v>0</v>
      </c>
      <c r="V136">
        <v>0</v>
      </c>
      <c r="W136">
        <v>0</v>
      </c>
      <c r="X136">
        <v>0</v>
      </c>
      <c r="Y136" t="s">
        <v>67</v>
      </c>
      <c r="Z136">
        <v>0</v>
      </c>
      <c r="AA136">
        <v>0</v>
      </c>
      <c r="AB136">
        <v>0</v>
      </c>
      <c r="AC136">
        <v>0</v>
      </c>
      <c r="AD136" t="s">
        <v>60</v>
      </c>
      <c r="AE136">
        <v>0</v>
      </c>
      <c r="AF136">
        <v>0</v>
      </c>
      <c r="AG136">
        <v>0</v>
      </c>
      <c r="AH136">
        <v>0</v>
      </c>
      <c r="AI136" t="b">
        <v>0</v>
      </c>
      <c r="AJ136" t="s">
        <v>58</v>
      </c>
      <c r="AK136" t="s">
        <v>58</v>
      </c>
      <c r="AL136" t="s">
        <v>71</v>
      </c>
      <c r="AM136">
        <v>14</v>
      </c>
      <c r="AN136">
        <v>4</v>
      </c>
      <c r="AO136">
        <v>6</v>
      </c>
      <c r="AP136">
        <v>11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s">
        <v>61</v>
      </c>
      <c r="AY136" t="s">
        <v>57</v>
      </c>
      <c r="AZ136" t="s">
        <v>55</v>
      </c>
      <c r="BA136" t="s">
        <v>58</v>
      </c>
      <c r="BB136" t="s">
        <v>58</v>
      </c>
    </row>
    <row r="137" spans="1:54" x14ac:dyDescent="0.25">
      <c r="A137" t="s">
        <v>54</v>
      </c>
      <c r="B137" t="s">
        <v>54</v>
      </c>
      <c r="C137" t="s">
        <v>54</v>
      </c>
      <c r="D137" t="s">
        <v>143</v>
      </c>
      <c r="E137" t="s">
        <v>54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 t="s">
        <v>153</v>
      </c>
      <c r="L137">
        <v>-1</v>
      </c>
      <c r="M137">
        <v>0</v>
      </c>
      <c r="N137">
        <v>-1</v>
      </c>
      <c r="O137">
        <v>0</v>
      </c>
      <c r="P137" t="s">
        <v>70</v>
      </c>
      <c r="Q137">
        <v>0</v>
      </c>
      <c r="R137">
        <v>0</v>
      </c>
      <c r="S137">
        <v>1220</v>
      </c>
      <c r="T137" t="s">
        <v>57</v>
      </c>
      <c r="U137">
        <v>0</v>
      </c>
      <c r="V137">
        <v>0</v>
      </c>
      <c r="W137">
        <v>0</v>
      </c>
      <c r="X137">
        <v>0</v>
      </c>
      <c r="Y137" t="s">
        <v>68</v>
      </c>
      <c r="Z137">
        <v>0</v>
      </c>
      <c r="AA137">
        <v>0</v>
      </c>
      <c r="AB137">
        <v>0</v>
      </c>
      <c r="AC137">
        <v>0</v>
      </c>
      <c r="AD137" t="s">
        <v>68</v>
      </c>
      <c r="AE137">
        <v>0</v>
      </c>
      <c r="AF137">
        <v>0</v>
      </c>
      <c r="AG137">
        <v>0</v>
      </c>
      <c r="AH137">
        <v>0</v>
      </c>
      <c r="AI137" t="b">
        <v>0</v>
      </c>
      <c r="AJ137" t="s">
        <v>58</v>
      </c>
      <c r="AK137" t="s">
        <v>58</v>
      </c>
      <c r="AL137" t="s">
        <v>71</v>
      </c>
      <c r="AM137">
        <v>14</v>
      </c>
      <c r="AN137">
        <v>5</v>
      </c>
      <c r="AO137">
        <v>13</v>
      </c>
      <c r="AP137">
        <v>11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s">
        <v>61</v>
      </c>
      <c r="AY137" t="s">
        <v>57</v>
      </c>
      <c r="AZ137" t="s">
        <v>55</v>
      </c>
      <c r="BA137" t="s">
        <v>58</v>
      </c>
      <c r="BB137" t="s">
        <v>58</v>
      </c>
    </row>
    <row r="138" spans="1:54" x14ac:dyDescent="0.25">
      <c r="A138" t="s">
        <v>54</v>
      </c>
      <c r="B138" t="s">
        <v>54</v>
      </c>
      <c r="C138" t="s">
        <v>54</v>
      </c>
      <c r="D138" t="s">
        <v>170</v>
      </c>
      <c r="E138" t="s">
        <v>54</v>
      </c>
      <c r="F138" t="s">
        <v>54</v>
      </c>
      <c r="G138" t="s">
        <v>54</v>
      </c>
      <c r="H138" t="s">
        <v>54</v>
      </c>
      <c r="I138" t="s">
        <v>54</v>
      </c>
      <c r="J138" t="s">
        <v>54</v>
      </c>
      <c r="K138" t="s">
        <v>147</v>
      </c>
      <c r="L138">
        <v>-1</v>
      </c>
      <c r="M138">
        <v>0</v>
      </c>
      <c r="N138">
        <v>-1</v>
      </c>
      <c r="O138">
        <v>0</v>
      </c>
      <c r="P138" t="s">
        <v>70</v>
      </c>
      <c r="Q138">
        <v>0</v>
      </c>
      <c r="R138">
        <v>0</v>
      </c>
      <c r="S138">
        <v>780</v>
      </c>
      <c r="T138" t="s">
        <v>57</v>
      </c>
      <c r="U138">
        <v>0</v>
      </c>
      <c r="V138">
        <v>0</v>
      </c>
      <c r="W138">
        <v>0</v>
      </c>
      <c r="X138">
        <v>0</v>
      </c>
      <c r="Y138" t="s">
        <v>67</v>
      </c>
      <c r="Z138">
        <v>0</v>
      </c>
      <c r="AA138">
        <v>0</v>
      </c>
      <c r="AB138">
        <v>0</v>
      </c>
      <c r="AC138">
        <v>0</v>
      </c>
      <c r="AD138" t="s">
        <v>60</v>
      </c>
      <c r="AE138">
        <v>0</v>
      </c>
      <c r="AF138">
        <v>0</v>
      </c>
      <c r="AG138">
        <v>0</v>
      </c>
      <c r="AH138">
        <v>0</v>
      </c>
      <c r="AI138" t="b">
        <v>0</v>
      </c>
      <c r="AJ138" t="s">
        <v>58</v>
      </c>
      <c r="AK138" t="s">
        <v>58</v>
      </c>
      <c r="AL138" t="s">
        <v>71</v>
      </c>
      <c r="AM138">
        <v>14</v>
      </c>
      <c r="AN138">
        <v>6</v>
      </c>
      <c r="AO138">
        <v>0</v>
      </c>
      <c r="AP138">
        <v>11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s">
        <v>61</v>
      </c>
      <c r="AY138" t="s">
        <v>57</v>
      </c>
      <c r="AZ138" t="s">
        <v>55</v>
      </c>
      <c r="BA138" t="s">
        <v>58</v>
      </c>
      <c r="BB138" t="s">
        <v>58</v>
      </c>
    </row>
    <row r="139" spans="1:54" x14ac:dyDescent="0.25">
      <c r="A139" t="s">
        <v>54</v>
      </c>
      <c r="B139" t="s">
        <v>54</v>
      </c>
      <c r="C139" t="s">
        <v>54</v>
      </c>
      <c r="D139" t="s">
        <v>156</v>
      </c>
      <c r="E139" t="s">
        <v>54</v>
      </c>
      <c r="F139" t="s">
        <v>54</v>
      </c>
      <c r="G139" t="s">
        <v>54</v>
      </c>
      <c r="H139" t="s">
        <v>54</v>
      </c>
      <c r="I139" t="s">
        <v>54</v>
      </c>
      <c r="J139" t="s">
        <v>54</v>
      </c>
      <c r="K139" t="s">
        <v>152</v>
      </c>
      <c r="L139">
        <v>-1</v>
      </c>
      <c r="M139">
        <v>0</v>
      </c>
      <c r="N139">
        <v>-1</v>
      </c>
      <c r="O139">
        <v>0</v>
      </c>
      <c r="P139" t="s">
        <v>70</v>
      </c>
      <c r="Q139">
        <v>0</v>
      </c>
      <c r="R139">
        <v>0</v>
      </c>
      <c r="S139">
        <v>975</v>
      </c>
      <c r="T139" t="s">
        <v>57</v>
      </c>
      <c r="U139">
        <v>0</v>
      </c>
      <c r="V139">
        <v>0</v>
      </c>
      <c r="W139">
        <v>0</v>
      </c>
      <c r="X139">
        <v>0</v>
      </c>
      <c r="Y139" t="s">
        <v>67</v>
      </c>
      <c r="Z139">
        <v>0</v>
      </c>
      <c r="AA139">
        <v>0</v>
      </c>
      <c r="AB139">
        <v>0</v>
      </c>
      <c r="AC139">
        <v>0</v>
      </c>
      <c r="AD139" t="s">
        <v>60</v>
      </c>
      <c r="AE139">
        <v>0</v>
      </c>
      <c r="AF139">
        <v>0</v>
      </c>
      <c r="AG139">
        <v>0</v>
      </c>
      <c r="AH139">
        <v>0</v>
      </c>
      <c r="AI139" t="b">
        <v>0</v>
      </c>
      <c r="AJ139" t="s">
        <v>58</v>
      </c>
      <c r="AK139" t="s">
        <v>58</v>
      </c>
      <c r="AL139" t="s">
        <v>71</v>
      </c>
      <c r="AM139">
        <v>14</v>
      </c>
      <c r="AN139">
        <v>5</v>
      </c>
      <c r="AO139">
        <v>9</v>
      </c>
      <c r="AP139">
        <v>11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61</v>
      </c>
      <c r="AY139" t="s">
        <v>57</v>
      </c>
      <c r="AZ139" t="s">
        <v>55</v>
      </c>
      <c r="BA139" t="s">
        <v>58</v>
      </c>
      <c r="BB139" t="s">
        <v>58</v>
      </c>
    </row>
    <row r="140" spans="1:54" x14ac:dyDescent="0.25">
      <c r="A140" t="s">
        <v>54</v>
      </c>
      <c r="B140" t="s">
        <v>54</v>
      </c>
      <c r="C140" t="s">
        <v>54</v>
      </c>
      <c r="D140" t="s">
        <v>159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150</v>
      </c>
      <c r="L140">
        <v>-1</v>
      </c>
      <c r="M140">
        <v>0</v>
      </c>
      <c r="N140">
        <v>-1</v>
      </c>
      <c r="O140">
        <v>0</v>
      </c>
      <c r="P140" t="s">
        <v>70</v>
      </c>
      <c r="Q140">
        <v>0</v>
      </c>
      <c r="R140">
        <v>0</v>
      </c>
      <c r="S140">
        <v>975</v>
      </c>
      <c r="T140" t="s">
        <v>57</v>
      </c>
      <c r="U140">
        <v>0</v>
      </c>
      <c r="V140">
        <v>0</v>
      </c>
      <c r="W140">
        <v>0</v>
      </c>
      <c r="X140">
        <v>0</v>
      </c>
      <c r="Y140" t="s">
        <v>67</v>
      </c>
      <c r="Z140">
        <v>0</v>
      </c>
      <c r="AA140">
        <v>0</v>
      </c>
      <c r="AB140">
        <v>0</v>
      </c>
      <c r="AC140">
        <v>0</v>
      </c>
      <c r="AD140" t="s">
        <v>60</v>
      </c>
      <c r="AE140">
        <v>0</v>
      </c>
      <c r="AF140">
        <v>0</v>
      </c>
      <c r="AG140">
        <v>0</v>
      </c>
      <c r="AH140">
        <v>0</v>
      </c>
      <c r="AI140" t="b">
        <v>0</v>
      </c>
      <c r="AJ140" t="s">
        <v>58</v>
      </c>
      <c r="AK140" t="s">
        <v>58</v>
      </c>
      <c r="AL140" t="s">
        <v>71</v>
      </c>
      <c r="AM140">
        <v>14</v>
      </c>
      <c r="AN140">
        <v>5</v>
      </c>
      <c r="AO140">
        <v>10</v>
      </c>
      <c r="AP140">
        <v>11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s">
        <v>61</v>
      </c>
      <c r="AY140" t="s">
        <v>57</v>
      </c>
      <c r="AZ140" t="s">
        <v>55</v>
      </c>
      <c r="BA140" t="s">
        <v>58</v>
      </c>
      <c r="BB140" t="s">
        <v>58</v>
      </c>
    </row>
    <row r="141" spans="1:54" x14ac:dyDescent="0.25">
      <c r="A141" t="s">
        <v>54</v>
      </c>
      <c r="B141" t="s">
        <v>54</v>
      </c>
      <c r="C141" t="s">
        <v>54</v>
      </c>
      <c r="D141" t="s">
        <v>147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161</v>
      </c>
      <c r="L141">
        <v>-1</v>
      </c>
      <c r="M141">
        <v>0</v>
      </c>
      <c r="N141">
        <v>-1</v>
      </c>
      <c r="O141">
        <v>0</v>
      </c>
      <c r="P141" t="s">
        <v>70</v>
      </c>
      <c r="Q141">
        <v>0</v>
      </c>
      <c r="R141">
        <v>0</v>
      </c>
      <c r="S141">
        <v>780</v>
      </c>
      <c r="T141" t="s">
        <v>57</v>
      </c>
      <c r="U141">
        <v>0</v>
      </c>
      <c r="V141">
        <v>0</v>
      </c>
      <c r="W141">
        <v>0</v>
      </c>
      <c r="X141">
        <v>0</v>
      </c>
      <c r="Y141" t="s">
        <v>67</v>
      </c>
      <c r="Z141">
        <v>0</v>
      </c>
      <c r="AA141">
        <v>0</v>
      </c>
      <c r="AB141">
        <v>0</v>
      </c>
      <c r="AC141">
        <v>0</v>
      </c>
      <c r="AD141" t="s">
        <v>60</v>
      </c>
      <c r="AE141">
        <v>0</v>
      </c>
      <c r="AF141">
        <v>0</v>
      </c>
      <c r="AG141">
        <v>0</v>
      </c>
      <c r="AH141">
        <v>0</v>
      </c>
      <c r="AI141" t="b">
        <v>0</v>
      </c>
      <c r="AJ141" t="s">
        <v>58</v>
      </c>
      <c r="AK141" t="s">
        <v>58</v>
      </c>
      <c r="AL141" t="s">
        <v>71</v>
      </c>
      <c r="AM141">
        <v>14</v>
      </c>
      <c r="AN141">
        <v>5</v>
      </c>
      <c r="AO141">
        <v>3</v>
      </c>
      <c r="AP141">
        <v>11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s">
        <v>61</v>
      </c>
      <c r="AY141" t="s">
        <v>57</v>
      </c>
      <c r="AZ141" t="s">
        <v>55</v>
      </c>
      <c r="BA141" t="s">
        <v>58</v>
      </c>
      <c r="BB141" t="s">
        <v>58</v>
      </c>
    </row>
    <row r="142" spans="1:54" x14ac:dyDescent="0.25">
      <c r="A142" t="s">
        <v>54</v>
      </c>
      <c r="B142" t="s">
        <v>54</v>
      </c>
      <c r="C142" t="s">
        <v>54</v>
      </c>
      <c r="D142" t="s">
        <v>163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160</v>
      </c>
      <c r="L142">
        <v>-1</v>
      </c>
      <c r="M142">
        <v>0</v>
      </c>
      <c r="N142">
        <v>-1</v>
      </c>
      <c r="O142">
        <v>0</v>
      </c>
      <c r="P142" t="s">
        <v>70</v>
      </c>
      <c r="Q142">
        <v>0</v>
      </c>
      <c r="R142">
        <v>0</v>
      </c>
      <c r="S142">
        <v>780</v>
      </c>
      <c r="T142" t="s">
        <v>57</v>
      </c>
      <c r="U142">
        <v>0</v>
      </c>
      <c r="V142">
        <v>0</v>
      </c>
      <c r="W142">
        <v>0</v>
      </c>
      <c r="X142">
        <v>0</v>
      </c>
      <c r="Y142" t="s">
        <v>67</v>
      </c>
      <c r="Z142">
        <v>0</v>
      </c>
      <c r="AA142">
        <v>0</v>
      </c>
      <c r="AB142">
        <v>0</v>
      </c>
      <c r="AC142">
        <v>0</v>
      </c>
      <c r="AD142" t="s">
        <v>60</v>
      </c>
      <c r="AE142">
        <v>0</v>
      </c>
      <c r="AF142">
        <v>0</v>
      </c>
      <c r="AG142">
        <v>0</v>
      </c>
      <c r="AH142">
        <v>0</v>
      </c>
      <c r="AI142" t="b">
        <v>0</v>
      </c>
      <c r="AJ142" t="s">
        <v>58</v>
      </c>
      <c r="AK142" t="s">
        <v>58</v>
      </c>
      <c r="AL142" t="s">
        <v>71</v>
      </c>
      <c r="AM142">
        <v>14</v>
      </c>
      <c r="AN142">
        <v>5</v>
      </c>
      <c r="AO142">
        <v>4</v>
      </c>
      <c r="AP142">
        <v>11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s">
        <v>61</v>
      </c>
      <c r="AY142" t="s">
        <v>57</v>
      </c>
      <c r="AZ142" t="s">
        <v>55</v>
      </c>
      <c r="BA142" t="s">
        <v>58</v>
      </c>
      <c r="BB142" t="s">
        <v>58</v>
      </c>
    </row>
    <row r="143" spans="1:54" x14ac:dyDescent="0.25">
      <c r="A143" t="s">
        <v>54</v>
      </c>
      <c r="B143" t="s">
        <v>54</v>
      </c>
      <c r="C143" t="s">
        <v>54</v>
      </c>
      <c r="D143" t="s">
        <v>163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146</v>
      </c>
      <c r="L143">
        <v>-1</v>
      </c>
      <c r="M143">
        <v>0</v>
      </c>
      <c r="N143">
        <v>-1</v>
      </c>
      <c r="O143">
        <v>0</v>
      </c>
      <c r="P143" t="s">
        <v>70</v>
      </c>
      <c r="Q143">
        <v>0</v>
      </c>
      <c r="R143">
        <v>0</v>
      </c>
      <c r="S143">
        <v>780</v>
      </c>
      <c r="T143" t="s">
        <v>57</v>
      </c>
      <c r="U143">
        <v>0</v>
      </c>
      <c r="V143">
        <v>0</v>
      </c>
      <c r="W143">
        <v>0</v>
      </c>
      <c r="X143">
        <v>0</v>
      </c>
      <c r="Y143" t="s">
        <v>67</v>
      </c>
      <c r="Z143">
        <v>0</v>
      </c>
      <c r="AA143">
        <v>0</v>
      </c>
      <c r="AB143">
        <v>0</v>
      </c>
      <c r="AC143">
        <v>0</v>
      </c>
      <c r="AD143" t="s">
        <v>60</v>
      </c>
      <c r="AE143">
        <v>0</v>
      </c>
      <c r="AF143">
        <v>0</v>
      </c>
      <c r="AG143">
        <v>0</v>
      </c>
      <c r="AH143">
        <v>0</v>
      </c>
      <c r="AI143" t="b">
        <v>0</v>
      </c>
      <c r="AJ143" t="s">
        <v>58</v>
      </c>
      <c r="AK143" t="s">
        <v>58</v>
      </c>
      <c r="AL143" t="s">
        <v>71</v>
      </c>
      <c r="AM143">
        <v>14</v>
      </c>
      <c r="AN143">
        <v>7</v>
      </c>
      <c r="AO143">
        <v>0</v>
      </c>
      <c r="AP143">
        <v>11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s">
        <v>61</v>
      </c>
      <c r="AY143" t="s">
        <v>57</v>
      </c>
      <c r="AZ143" t="s">
        <v>55</v>
      </c>
      <c r="BA143" t="s">
        <v>58</v>
      </c>
      <c r="BB143" t="s">
        <v>58</v>
      </c>
    </row>
    <row r="144" spans="1:54" x14ac:dyDescent="0.25">
      <c r="A144" t="s">
        <v>54</v>
      </c>
      <c r="B144" t="s">
        <v>54</v>
      </c>
      <c r="C144" t="s">
        <v>54</v>
      </c>
      <c r="D144" t="s">
        <v>166</v>
      </c>
      <c r="E144" t="s">
        <v>54</v>
      </c>
      <c r="F144" t="s">
        <v>54</v>
      </c>
      <c r="G144" t="s">
        <v>54</v>
      </c>
      <c r="H144" t="s">
        <v>54</v>
      </c>
      <c r="I144" t="s">
        <v>54</v>
      </c>
      <c r="J144" t="s">
        <v>54</v>
      </c>
      <c r="K144" t="s">
        <v>159</v>
      </c>
      <c r="L144">
        <v>-1</v>
      </c>
      <c r="M144">
        <v>0</v>
      </c>
      <c r="N144">
        <v>-1</v>
      </c>
      <c r="O144">
        <v>0</v>
      </c>
      <c r="P144" t="s">
        <v>70</v>
      </c>
      <c r="Q144">
        <v>0</v>
      </c>
      <c r="R144">
        <v>0</v>
      </c>
      <c r="S144">
        <v>780</v>
      </c>
      <c r="T144" t="s">
        <v>57</v>
      </c>
      <c r="U144">
        <v>0</v>
      </c>
      <c r="V144">
        <v>0</v>
      </c>
      <c r="W144">
        <v>0</v>
      </c>
      <c r="X144">
        <v>0</v>
      </c>
      <c r="Y144" t="s">
        <v>67</v>
      </c>
      <c r="Z144">
        <v>0</v>
      </c>
      <c r="AA144">
        <v>0</v>
      </c>
      <c r="AB144">
        <v>0</v>
      </c>
      <c r="AC144">
        <v>0</v>
      </c>
      <c r="AD144" t="s">
        <v>60</v>
      </c>
      <c r="AE144">
        <v>0</v>
      </c>
      <c r="AF144">
        <v>0</v>
      </c>
      <c r="AG144">
        <v>0</v>
      </c>
      <c r="AH144">
        <v>0</v>
      </c>
      <c r="AI144" t="b">
        <v>0</v>
      </c>
      <c r="AJ144" t="s">
        <v>58</v>
      </c>
      <c r="AK144" t="s">
        <v>58</v>
      </c>
      <c r="AL144" t="s">
        <v>71</v>
      </c>
      <c r="AM144">
        <v>14</v>
      </c>
      <c r="AN144">
        <v>6</v>
      </c>
      <c r="AO144">
        <v>1</v>
      </c>
      <c r="AP144">
        <v>11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s">
        <v>61</v>
      </c>
      <c r="AY144" t="s">
        <v>57</v>
      </c>
      <c r="AZ144" t="s">
        <v>55</v>
      </c>
      <c r="BA144" t="s">
        <v>58</v>
      </c>
      <c r="BB144" t="s">
        <v>58</v>
      </c>
    </row>
    <row r="145" spans="1:54" x14ac:dyDescent="0.25">
      <c r="A145" t="s">
        <v>54</v>
      </c>
      <c r="B145" t="s">
        <v>54</v>
      </c>
      <c r="C145" t="s">
        <v>54</v>
      </c>
      <c r="D145" t="s">
        <v>165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155</v>
      </c>
      <c r="L145">
        <v>-1</v>
      </c>
      <c r="M145">
        <v>0</v>
      </c>
      <c r="N145">
        <v>-1</v>
      </c>
      <c r="O145">
        <v>0</v>
      </c>
      <c r="P145" t="s">
        <v>70</v>
      </c>
      <c r="Q145">
        <v>0</v>
      </c>
      <c r="R145">
        <v>0</v>
      </c>
      <c r="S145">
        <v>780</v>
      </c>
      <c r="T145" t="s">
        <v>57</v>
      </c>
      <c r="U145">
        <v>0</v>
      </c>
      <c r="V145">
        <v>0</v>
      </c>
      <c r="W145">
        <v>0</v>
      </c>
      <c r="X145">
        <v>0</v>
      </c>
      <c r="Y145" t="s">
        <v>67</v>
      </c>
      <c r="Z145">
        <v>0</v>
      </c>
      <c r="AA145">
        <v>0</v>
      </c>
      <c r="AB145">
        <v>0</v>
      </c>
      <c r="AC145">
        <v>0</v>
      </c>
      <c r="AD145" t="s">
        <v>60</v>
      </c>
      <c r="AE145">
        <v>0</v>
      </c>
      <c r="AF145">
        <v>0</v>
      </c>
      <c r="AG145">
        <v>0</v>
      </c>
      <c r="AH145">
        <v>0</v>
      </c>
      <c r="AI145" t="b">
        <v>0</v>
      </c>
      <c r="AJ145" t="s">
        <v>58</v>
      </c>
      <c r="AK145" t="s">
        <v>58</v>
      </c>
      <c r="AL145" t="s">
        <v>71</v>
      </c>
      <c r="AM145">
        <v>14</v>
      </c>
      <c r="AN145">
        <v>5</v>
      </c>
      <c r="AO145">
        <v>5</v>
      </c>
      <c r="AP145">
        <v>11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s">
        <v>61</v>
      </c>
      <c r="AY145" t="s">
        <v>57</v>
      </c>
      <c r="AZ145" t="s">
        <v>55</v>
      </c>
      <c r="BA145" t="s">
        <v>58</v>
      </c>
      <c r="BB145" t="s">
        <v>58</v>
      </c>
    </row>
    <row r="146" spans="1:54" x14ac:dyDescent="0.25">
      <c r="A146" t="s">
        <v>54</v>
      </c>
      <c r="B146" t="s">
        <v>54</v>
      </c>
      <c r="C146" t="s">
        <v>54</v>
      </c>
      <c r="D146" t="s">
        <v>161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156</v>
      </c>
      <c r="L146">
        <v>-1</v>
      </c>
      <c r="M146">
        <v>0</v>
      </c>
      <c r="N146">
        <v>-1</v>
      </c>
      <c r="O146">
        <v>0</v>
      </c>
      <c r="P146" t="s">
        <v>70</v>
      </c>
      <c r="Q146">
        <v>0</v>
      </c>
      <c r="R146">
        <v>0</v>
      </c>
      <c r="S146">
        <v>780</v>
      </c>
      <c r="T146" t="s">
        <v>57</v>
      </c>
      <c r="U146">
        <v>0</v>
      </c>
      <c r="V146">
        <v>0</v>
      </c>
      <c r="W146">
        <v>0</v>
      </c>
      <c r="X146">
        <v>0</v>
      </c>
      <c r="Y146" t="s">
        <v>67</v>
      </c>
      <c r="Z146">
        <v>0</v>
      </c>
      <c r="AA146">
        <v>0</v>
      </c>
      <c r="AB146">
        <v>0</v>
      </c>
      <c r="AC146">
        <v>0</v>
      </c>
      <c r="AD146" t="s">
        <v>60</v>
      </c>
      <c r="AE146">
        <v>0</v>
      </c>
      <c r="AF146">
        <v>0</v>
      </c>
      <c r="AG146">
        <v>0</v>
      </c>
      <c r="AH146">
        <v>0</v>
      </c>
      <c r="AI146" t="b">
        <v>0</v>
      </c>
      <c r="AJ146" t="s">
        <v>58</v>
      </c>
      <c r="AK146" t="s">
        <v>58</v>
      </c>
      <c r="AL146" t="s">
        <v>71</v>
      </c>
      <c r="AM146">
        <v>14</v>
      </c>
      <c r="AN146">
        <v>6</v>
      </c>
      <c r="AO146">
        <v>2</v>
      </c>
      <c r="AP146">
        <v>11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s">
        <v>61</v>
      </c>
      <c r="AY146" t="s">
        <v>57</v>
      </c>
      <c r="AZ146" t="s">
        <v>55</v>
      </c>
      <c r="BA146" t="s">
        <v>58</v>
      </c>
      <c r="BB146" t="s">
        <v>58</v>
      </c>
    </row>
    <row r="147" spans="1:54" x14ac:dyDescent="0.25">
      <c r="A147" t="s">
        <v>54</v>
      </c>
      <c r="B147" t="s">
        <v>54</v>
      </c>
      <c r="C147" t="s">
        <v>54</v>
      </c>
      <c r="D147" t="s">
        <v>170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145</v>
      </c>
      <c r="L147">
        <v>-1</v>
      </c>
      <c r="M147">
        <v>0</v>
      </c>
      <c r="N147">
        <v>-1</v>
      </c>
      <c r="O147">
        <v>0</v>
      </c>
      <c r="P147" t="s">
        <v>70</v>
      </c>
      <c r="Q147">
        <v>0</v>
      </c>
      <c r="R147">
        <v>0</v>
      </c>
      <c r="S147">
        <v>780</v>
      </c>
      <c r="T147" t="s">
        <v>57</v>
      </c>
      <c r="U147">
        <v>0</v>
      </c>
      <c r="V147">
        <v>0</v>
      </c>
      <c r="W147">
        <v>0</v>
      </c>
      <c r="X147">
        <v>0</v>
      </c>
      <c r="Y147" t="s">
        <v>67</v>
      </c>
      <c r="Z147">
        <v>0</v>
      </c>
      <c r="AA147">
        <v>0</v>
      </c>
      <c r="AB147">
        <v>0</v>
      </c>
      <c r="AC147">
        <v>0</v>
      </c>
      <c r="AD147" t="s">
        <v>60</v>
      </c>
      <c r="AE147">
        <v>0</v>
      </c>
      <c r="AF147">
        <v>0</v>
      </c>
      <c r="AG147">
        <v>0</v>
      </c>
      <c r="AH147">
        <v>0</v>
      </c>
      <c r="AI147" t="b">
        <v>0</v>
      </c>
      <c r="AJ147" t="s">
        <v>58</v>
      </c>
      <c r="AK147" t="s">
        <v>58</v>
      </c>
      <c r="AL147" t="s">
        <v>71</v>
      </c>
      <c r="AM147">
        <v>14</v>
      </c>
      <c r="AN147">
        <v>4</v>
      </c>
      <c r="AO147">
        <v>7</v>
      </c>
      <c r="AP147">
        <v>11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s">
        <v>61</v>
      </c>
      <c r="AY147" t="s">
        <v>57</v>
      </c>
      <c r="AZ147" t="s">
        <v>55</v>
      </c>
      <c r="BA147" t="s">
        <v>58</v>
      </c>
      <c r="BB147" t="s">
        <v>58</v>
      </c>
    </row>
    <row r="148" spans="1:54" x14ac:dyDescent="0.25">
      <c r="A148" t="s">
        <v>54</v>
      </c>
      <c r="B148" t="s">
        <v>54</v>
      </c>
      <c r="C148" t="s">
        <v>54</v>
      </c>
      <c r="D148" t="s">
        <v>153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 t="s">
        <v>144</v>
      </c>
      <c r="L148">
        <v>-1</v>
      </c>
      <c r="M148">
        <v>0</v>
      </c>
      <c r="N148">
        <v>-1</v>
      </c>
      <c r="O148">
        <v>0</v>
      </c>
      <c r="P148" t="s">
        <v>70</v>
      </c>
      <c r="Q148">
        <v>0</v>
      </c>
      <c r="R148">
        <v>0</v>
      </c>
      <c r="S148">
        <v>1220</v>
      </c>
      <c r="T148" t="s">
        <v>57</v>
      </c>
      <c r="U148">
        <v>0</v>
      </c>
      <c r="V148">
        <v>0</v>
      </c>
      <c r="W148">
        <v>0</v>
      </c>
      <c r="X148">
        <v>0</v>
      </c>
      <c r="Y148" t="s">
        <v>68</v>
      </c>
      <c r="Z148">
        <v>0</v>
      </c>
      <c r="AA148">
        <v>0</v>
      </c>
      <c r="AB148">
        <v>0</v>
      </c>
      <c r="AC148">
        <v>0</v>
      </c>
      <c r="AD148" t="s">
        <v>68</v>
      </c>
      <c r="AE148">
        <v>0</v>
      </c>
      <c r="AF148">
        <v>0</v>
      </c>
      <c r="AG148">
        <v>0</v>
      </c>
      <c r="AH148">
        <v>0</v>
      </c>
      <c r="AI148" t="b">
        <v>0</v>
      </c>
      <c r="AJ148" t="s">
        <v>58</v>
      </c>
      <c r="AK148" t="s">
        <v>58</v>
      </c>
      <c r="AL148" t="s">
        <v>71</v>
      </c>
      <c r="AM148">
        <v>14</v>
      </c>
      <c r="AN148">
        <v>6</v>
      </c>
      <c r="AO148">
        <v>12</v>
      </c>
      <c r="AP148">
        <v>11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s">
        <v>61</v>
      </c>
      <c r="AY148" t="s">
        <v>57</v>
      </c>
      <c r="AZ148" t="s">
        <v>55</v>
      </c>
      <c r="BA148" t="s">
        <v>58</v>
      </c>
      <c r="BB148" t="s">
        <v>58</v>
      </c>
    </row>
    <row r="149" spans="1:54" x14ac:dyDescent="0.25">
      <c r="A149" t="s">
        <v>54</v>
      </c>
      <c r="B149" t="s">
        <v>54</v>
      </c>
      <c r="C149" t="s">
        <v>54</v>
      </c>
      <c r="D149" t="s">
        <v>163</v>
      </c>
      <c r="E149" t="s">
        <v>54</v>
      </c>
      <c r="F149" t="s">
        <v>54</v>
      </c>
      <c r="G149" t="s">
        <v>54</v>
      </c>
      <c r="H149" t="s">
        <v>54</v>
      </c>
      <c r="I149" t="s">
        <v>54</v>
      </c>
      <c r="J149" t="s">
        <v>54</v>
      </c>
      <c r="K149" t="s">
        <v>171</v>
      </c>
      <c r="L149">
        <v>-1</v>
      </c>
      <c r="M149">
        <v>0</v>
      </c>
      <c r="N149">
        <v>-1</v>
      </c>
      <c r="O149">
        <v>0</v>
      </c>
      <c r="P149" t="s">
        <v>70</v>
      </c>
      <c r="Q149">
        <v>0</v>
      </c>
      <c r="R149">
        <v>0</v>
      </c>
      <c r="S149">
        <v>780</v>
      </c>
      <c r="T149" t="s">
        <v>57</v>
      </c>
      <c r="U149">
        <v>0</v>
      </c>
      <c r="V149">
        <v>0</v>
      </c>
      <c r="W149">
        <v>0</v>
      </c>
      <c r="X149">
        <v>0</v>
      </c>
      <c r="Y149" t="s">
        <v>67</v>
      </c>
      <c r="Z149">
        <v>0</v>
      </c>
      <c r="AA149">
        <v>0</v>
      </c>
      <c r="AB149">
        <v>0</v>
      </c>
      <c r="AC149">
        <v>0</v>
      </c>
      <c r="AD149" t="s">
        <v>60</v>
      </c>
      <c r="AE149">
        <v>0</v>
      </c>
      <c r="AF149">
        <v>0</v>
      </c>
      <c r="AG149">
        <v>0</v>
      </c>
      <c r="AH149">
        <v>0</v>
      </c>
      <c r="AI149" t="b">
        <v>0</v>
      </c>
      <c r="AJ149" t="s">
        <v>58</v>
      </c>
      <c r="AK149" t="s">
        <v>58</v>
      </c>
      <c r="AL149" t="s">
        <v>71</v>
      </c>
      <c r="AM149">
        <v>14</v>
      </c>
      <c r="AN149">
        <v>6</v>
      </c>
      <c r="AO149">
        <v>3</v>
      </c>
      <c r="AP149">
        <v>11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s">
        <v>61</v>
      </c>
      <c r="AY149" t="s">
        <v>57</v>
      </c>
      <c r="AZ149" t="s">
        <v>55</v>
      </c>
      <c r="BA149" t="s">
        <v>58</v>
      </c>
      <c r="BB149" t="s">
        <v>58</v>
      </c>
    </row>
    <row r="150" spans="1:54" x14ac:dyDescent="0.25">
      <c r="A150" t="s">
        <v>54</v>
      </c>
      <c r="B150" t="s">
        <v>54</v>
      </c>
      <c r="C150" t="s">
        <v>54</v>
      </c>
      <c r="D150" t="s">
        <v>169</v>
      </c>
      <c r="E150" t="s">
        <v>54</v>
      </c>
      <c r="F150" t="s">
        <v>54</v>
      </c>
      <c r="G150" t="s">
        <v>54</v>
      </c>
      <c r="H150" t="s">
        <v>54</v>
      </c>
      <c r="I150" t="s">
        <v>54</v>
      </c>
      <c r="J150" t="s">
        <v>54</v>
      </c>
      <c r="K150" t="s">
        <v>149</v>
      </c>
      <c r="L150">
        <v>-1</v>
      </c>
      <c r="M150">
        <v>0</v>
      </c>
      <c r="N150">
        <v>-1</v>
      </c>
      <c r="O150">
        <v>0</v>
      </c>
      <c r="P150" t="s">
        <v>70</v>
      </c>
      <c r="Q150">
        <v>0</v>
      </c>
      <c r="R150">
        <v>0</v>
      </c>
      <c r="S150">
        <v>1220</v>
      </c>
      <c r="T150" t="s">
        <v>57</v>
      </c>
      <c r="U150">
        <v>0</v>
      </c>
      <c r="V150">
        <v>0</v>
      </c>
      <c r="W150">
        <v>0</v>
      </c>
      <c r="X150">
        <v>0</v>
      </c>
      <c r="Y150" t="s">
        <v>60</v>
      </c>
      <c r="Z150">
        <v>0</v>
      </c>
      <c r="AA150">
        <v>0</v>
      </c>
      <c r="AB150">
        <v>0</v>
      </c>
      <c r="AC150">
        <v>0</v>
      </c>
      <c r="AD150" t="s">
        <v>60</v>
      </c>
      <c r="AE150">
        <v>0</v>
      </c>
      <c r="AF150">
        <v>0</v>
      </c>
      <c r="AG150">
        <v>0</v>
      </c>
      <c r="AH150">
        <v>0</v>
      </c>
      <c r="AI150" t="b">
        <v>0</v>
      </c>
      <c r="AJ150" t="s">
        <v>58</v>
      </c>
      <c r="AK150" t="s">
        <v>58</v>
      </c>
      <c r="AL150" t="s">
        <v>71</v>
      </c>
      <c r="AM150">
        <v>14</v>
      </c>
      <c r="AN150">
        <v>7</v>
      </c>
      <c r="AO150">
        <v>12</v>
      </c>
      <c r="AP150">
        <v>11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s">
        <v>61</v>
      </c>
      <c r="AY150" t="s">
        <v>57</v>
      </c>
      <c r="AZ150" t="s">
        <v>55</v>
      </c>
      <c r="BA150" t="s">
        <v>58</v>
      </c>
      <c r="BB150" t="s">
        <v>58</v>
      </c>
    </row>
    <row r="151" spans="1:54" x14ac:dyDescent="0.25">
      <c r="A151" t="s">
        <v>54</v>
      </c>
      <c r="B151" t="s">
        <v>54</v>
      </c>
      <c r="C151" t="s">
        <v>54</v>
      </c>
      <c r="D151" t="s">
        <v>167</v>
      </c>
      <c r="E151" t="s">
        <v>54</v>
      </c>
      <c r="F151" t="s">
        <v>54</v>
      </c>
      <c r="G151" t="s">
        <v>54</v>
      </c>
      <c r="H151" t="s">
        <v>54</v>
      </c>
      <c r="I151" t="s">
        <v>54</v>
      </c>
      <c r="J151" t="s">
        <v>54</v>
      </c>
      <c r="K151" t="s">
        <v>168</v>
      </c>
      <c r="L151">
        <v>-1</v>
      </c>
      <c r="M151">
        <v>0</v>
      </c>
      <c r="N151">
        <v>-1</v>
      </c>
      <c r="O151">
        <v>0</v>
      </c>
      <c r="P151" t="s">
        <v>70</v>
      </c>
      <c r="Q151">
        <v>0</v>
      </c>
      <c r="R151">
        <v>0</v>
      </c>
      <c r="S151">
        <v>1220</v>
      </c>
      <c r="T151" t="s">
        <v>57</v>
      </c>
      <c r="U151">
        <v>0</v>
      </c>
      <c r="V151">
        <v>0</v>
      </c>
      <c r="W151">
        <v>0</v>
      </c>
      <c r="X151">
        <v>0</v>
      </c>
      <c r="Y151" t="s">
        <v>60</v>
      </c>
      <c r="Z151">
        <v>0</v>
      </c>
      <c r="AA151">
        <v>0</v>
      </c>
      <c r="AB151">
        <v>0</v>
      </c>
      <c r="AC151">
        <v>0</v>
      </c>
      <c r="AD151" t="s">
        <v>60</v>
      </c>
      <c r="AE151">
        <v>0</v>
      </c>
      <c r="AF151">
        <v>0</v>
      </c>
      <c r="AG151">
        <v>0</v>
      </c>
      <c r="AH151">
        <v>0</v>
      </c>
      <c r="AI151" t="b">
        <v>0</v>
      </c>
      <c r="AJ151" t="s">
        <v>58</v>
      </c>
      <c r="AK151" t="s">
        <v>58</v>
      </c>
      <c r="AL151" t="s">
        <v>71</v>
      </c>
      <c r="AM151">
        <v>14</v>
      </c>
      <c r="AN151">
        <v>4</v>
      </c>
      <c r="AO151">
        <v>13</v>
      </c>
      <c r="AP151">
        <v>11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s">
        <v>61</v>
      </c>
      <c r="AY151" t="s">
        <v>57</v>
      </c>
      <c r="AZ151" t="s">
        <v>55</v>
      </c>
      <c r="BA151" t="s">
        <v>58</v>
      </c>
      <c r="BB151" t="s">
        <v>58</v>
      </c>
    </row>
    <row r="152" spans="1:54" x14ac:dyDescent="0.25">
      <c r="A152" t="s">
        <v>54</v>
      </c>
      <c r="B152" t="s">
        <v>54</v>
      </c>
      <c r="C152" t="s">
        <v>54</v>
      </c>
      <c r="D152" t="s">
        <v>151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 t="s">
        <v>173</v>
      </c>
      <c r="L152">
        <v>-1</v>
      </c>
      <c r="M152">
        <v>0</v>
      </c>
      <c r="N152">
        <v>-1</v>
      </c>
      <c r="O152">
        <v>0</v>
      </c>
      <c r="P152" t="s">
        <v>70</v>
      </c>
      <c r="Q152">
        <v>0</v>
      </c>
      <c r="R152">
        <v>0</v>
      </c>
      <c r="S152">
        <v>965</v>
      </c>
      <c r="T152" t="s">
        <v>57</v>
      </c>
      <c r="U152">
        <v>0</v>
      </c>
      <c r="V152">
        <v>0</v>
      </c>
      <c r="W152">
        <v>0</v>
      </c>
      <c r="X152">
        <v>0</v>
      </c>
      <c r="Y152" t="s">
        <v>67</v>
      </c>
      <c r="Z152">
        <v>0</v>
      </c>
      <c r="AA152">
        <v>0</v>
      </c>
      <c r="AB152">
        <v>0</v>
      </c>
      <c r="AC152">
        <v>0</v>
      </c>
      <c r="AD152" t="s">
        <v>60</v>
      </c>
      <c r="AE152">
        <v>0</v>
      </c>
      <c r="AF152">
        <v>0</v>
      </c>
      <c r="AG152">
        <v>0</v>
      </c>
      <c r="AH152">
        <v>0</v>
      </c>
      <c r="AI152" t="b">
        <v>0</v>
      </c>
      <c r="AJ152" t="s">
        <v>58</v>
      </c>
      <c r="AK152" t="s">
        <v>58</v>
      </c>
      <c r="AL152" t="s">
        <v>71</v>
      </c>
      <c r="AM152">
        <v>14</v>
      </c>
      <c r="AN152">
        <v>6</v>
      </c>
      <c r="AO152">
        <v>7</v>
      </c>
      <c r="AP152">
        <v>11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s">
        <v>61</v>
      </c>
      <c r="AY152" t="s">
        <v>57</v>
      </c>
      <c r="AZ152" t="s">
        <v>55</v>
      </c>
      <c r="BA152" t="s">
        <v>58</v>
      </c>
      <c r="BB152" t="s">
        <v>58</v>
      </c>
    </row>
    <row r="153" spans="1:54" x14ac:dyDescent="0.25">
      <c r="A153" t="s">
        <v>54</v>
      </c>
      <c r="B153" t="s">
        <v>54</v>
      </c>
      <c r="C153" t="s">
        <v>54</v>
      </c>
      <c r="D153" t="s">
        <v>167</v>
      </c>
      <c r="E153" t="s">
        <v>54</v>
      </c>
      <c r="F153" t="s">
        <v>54</v>
      </c>
      <c r="G153" t="s">
        <v>54</v>
      </c>
      <c r="H153" t="s">
        <v>54</v>
      </c>
      <c r="I153" t="s">
        <v>54</v>
      </c>
      <c r="J153" t="s">
        <v>54</v>
      </c>
      <c r="K153" t="s">
        <v>145</v>
      </c>
      <c r="L153">
        <v>-1</v>
      </c>
      <c r="M153">
        <v>0</v>
      </c>
      <c r="N153">
        <v>-1</v>
      </c>
      <c r="O153">
        <v>0</v>
      </c>
      <c r="P153" t="s">
        <v>70</v>
      </c>
      <c r="Q153">
        <v>0</v>
      </c>
      <c r="R153">
        <v>0</v>
      </c>
      <c r="S153">
        <v>1220</v>
      </c>
      <c r="T153" t="s">
        <v>57</v>
      </c>
      <c r="U153">
        <v>0</v>
      </c>
      <c r="V153">
        <v>0</v>
      </c>
      <c r="W153">
        <v>0</v>
      </c>
      <c r="X153">
        <v>0</v>
      </c>
      <c r="Y153" t="s">
        <v>60</v>
      </c>
      <c r="Z153">
        <v>0</v>
      </c>
      <c r="AA153">
        <v>0</v>
      </c>
      <c r="AB153">
        <v>0</v>
      </c>
      <c r="AC153">
        <v>0</v>
      </c>
      <c r="AD153" t="s">
        <v>60</v>
      </c>
      <c r="AE153">
        <v>0</v>
      </c>
      <c r="AF153">
        <v>0</v>
      </c>
      <c r="AG153">
        <v>0</v>
      </c>
      <c r="AH153">
        <v>0</v>
      </c>
      <c r="AI153" t="b">
        <v>0</v>
      </c>
      <c r="AJ153" t="s">
        <v>58</v>
      </c>
      <c r="AK153" t="s">
        <v>58</v>
      </c>
      <c r="AL153" t="s">
        <v>71</v>
      </c>
      <c r="AM153">
        <v>14</v>
      </c>
      <c r="AN153">
        <v>6</v>
      </c>
      <c r="AO153">
        <v>10</v>
      </c>
      <c r="AP153">
        <v>11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s">
        <v>61</v>
      </c>
      <c r="AY153" t="s">
        <v>57</v>
      </c>
      <c r="AZ153" t="s">
        <v>55</v>
      </c>
      <c r="BA153" t="s">
        <v>58</v>
      </c>
      <c r="BB153" t="s">
        <v>58</v>
      </c>
    </row>
    <row r="154" spans="1:54" x14ac:dyDescent="0.25">
      <c r="A154" t="s">
        <v>54</v>
      </c>
      <c r="B154" t="s">
        <v>54</v>
      </c>
      <c r="C154" t="s">
        <v>54</v>
      </c>
      <c r="D154" t="s">
        <v>150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 t="s">
        <v>160</v>
      </c>
      <c r="L154">
        <v>-1</v>
      </c>
      <c r="M154">
        <v>0</v>
      </c>
      <c r="N154">
        <v>-1</v>
      </c>
      <c r="O154">
        <v>0</v>
      </c>
      <c r="P154" t="s">
        <v>70</v>
      </c>
      <c r="Q154">
        <v>0</v>
      </c>
      <c r="R154">
        <v>0</v>
      </c>
      <c r="S154">
        <v>780</v>
      </c>
      <c r="T154" t="s">
        <v>57</v>
      </c>
      <c r="U154">
        <v>0</v>
      </c>
      <c r="V154">
        <v>0</v>
      </c>
      <c r="W154">
        <v>0</v>
      </c>
      <c r="X154">
        <v>0</v>
      </c>
      <c r="Y154" t="s">
        <v>67</v>
      </c>
      <c r="Z154">
        <v>0</v>
      </c>
      <c r="AA154">
        <v>0</v>
      </c>
      <c r="AB154">
        <v>0</v>
      </c>
      <c r="AC154">
        <v>0</v>
      </c>
      <c r="AD154" t="s">
        <v>60</v>
      </c>
      <c r="AE154">
        <v>0</v>
      </c>
      <c r="AF154">
        <v>0</v>
      </c>
      <c r="AG154">
        <v>0</v>
      </c>
      <c r="AH154">
        <v>0</v>
      </c>
      <c r="AI154" t="b">
        <v>0</v>
      </c>
      <c r="AJ154" t="s">
        <v>58</v>
      </c>
      <c r="AK154" t="s">
        <v>58</v>
      </c>
      <c r="AL154" t="s">
        <v>71</v>
      </c>
      <c r="AM154">
        <v>14</v>
      </c>
      <c r="AN154">
        <v>8</v>
      </c>
      <c r="AO154">
        <v>0</v>
      </c>
      <c r="AP154">
        <v>11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s">
        <v>61</v>
      </c>
      <c r="AY154" t="s">
        <v>57</v>
      </c>
      <c r="AZ154" t="s">
        <v>55</v>
      </c>
      <c r="BA154" t="s">
        <v>58</v>
      </c>
      <c r="BB154" t="s">
        <v>58</v>
      </c>
    </row>
    <row r="155" spans="1:54" x14ac:dyDescent="0.25">
      <c r="A155" t="s">
        <v>54</v>
      </c>
      <c r="B155" t="s">
        <v>54</v>
      </c>
      <c r="C155" t="s">
        <v>54</v>
      </c>
      <c r="D155" t="s">
        <v>143</v>
      </c>
      <c r="E155" t="s">
        <v>54</v>
      </c>
      <c r="F155" t="s">
        <v>54</v>
      </c>
      <c r="G155" t="s">
        <v>54</v>
      </c>
      <c r="H155" t="s">
        <v>54</v>
      </c>
      <c r="I155" t="s">
        <v>54</v>
      </c>
      <c r="J155" t="s">
        <v>54</v>
      </c>
      <c r="K155" t="s">
        <v>144</v>
      </c>
      <c r="L155">
        <v>-1</v>
      </c>
      <c r="M155">
        <v>0</v>
      </c>
      <c r="N155">
        <v>-1</v>
      </c>
      <c r="O155">
        <v>0</v>
      </c>
      <c r="P155" t="s">
        <v>70</v>
      </c>
      <c r="Q155">
        <v>0</v>
      </c>
      <c r="R155">
        <v>0</v>
      </c>
      <c r="S155">
        <v>780</v>
      </c>
      <c r="T155" t="s">
        <v>57</v>
      </c>
      <c r="U155">
        <v>0</v>
      </c>
      <c r="V155">
        <v>0</v>
      </c>
      <c r="W155">
        <v>0</v>
      </c>
      <c r="X155">
        <v>0</v>
      </c>
      <c r="Y155" t="s">
        <v>67</v>
      </c>
      <c r="Z155">
        <v>0</v>
      </c>
      <c r="AA155">
        <v>0</v>
      </c>
      <c r="AB155">
        <v>0</v>
      </c>
      <c r="AC155">
        <v>0</v>
      </c>
      <c r="AD155" t="s">
        <v>60</v>
      </c>
      <c r="AE155">
        <v>0</v>
      </c>
      <c r="AF155">
        <v>0</v>
      </c>
      <c r="AG155">
        <v>0</v>
      </c>
      <c r="AH155">
        <v>0</v>
      </c>
      <c r="AI155" t="b">
        <v>0</v>
      </c>
      <c r="AJ155" t="s">
        <v>58</v>
      </c>
      <c r="AK155" t="s">
        <v>58</v>
      </c>
      <c r="AL155" t="s">
        <v>71</v>
      </c>
      <c r="AM155">
        <v>14</v>
      </c>
      <c r="AN155">
        <v>7</v>
      </c>
      <c r="AO155">
        <v>1</v>
      </c>
      <c r="AP155">
        <v>11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s">
        <v>61</v>
      </c>
      <c r="AY155" t="s">
        <v>57</v>
      </c>
      <c r="AZ155" t="s">
        <v>55</v>
      </c>
      <c r="BA155" t="s">
        <v>58</v>
      </c>
      <c r="BB155" t="s">
        <v>58</v>
      </c>
    </row>
    <row r="156" spans="1:54" x14ac:dyDescent="0.25">
      <c r="A156" t="s">
        <v>54</v>
      </c>
      <c r="B156" t="s">
        <v>54</v>
      </c>
      <c r="C156" t="s">
        <v>54</v>
      </c>
      <c r="D156" t="s">
        <v>155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  <c r="K156" t="s">
        <v>173</v>
      </c>
      <c r="L156">
        <v>-1</v>
      </c>
      <c r="M156">
        <v>0</v>
      </c>
      <c r="N156">
        <v>-1</v>
      </c>
      <c r="O156">
        <v>0</v>
      </c>
      <c r="P156" t="s">
        <v>70</v>
      </c>
      <c r="Q156">
        <v>0</v>
      </c>
      <c r="R156">
        <v>0</v>
      </c>
      <c r="S156">
        <v>975</v>
      </c>
      <c r="T156" t="s">
        <v>57</v>
      </c>
      <c r="U156">
        <v>0</v>
      </c>
      <c r="V156">
        <v>0</v>
      </c>
      <c r="W156">
        <v>0</v>
      </c>
      <c r="X156">
        <v>0</v>
      </c>
      <c r="Y156" t="s">
        <v>67</v>
      </c>
      <c r="Z156">
        <v>0</v>
      </c>
      <c r="AA156">
        <v>0</v>
      </c>
      <c r="AB156">
        <v>0</v>
      </c>
      <c r="AC156">
        <v>0</v>
      </c>
      <c r="AD156" t="s">
        <v>60</v>
      </c>
      <c r="AE156">
        <v>0</v>
      </c>
      <c r="AF156">
        <v>0</v>
      </c>
      <c r="AG156">
        <v>0</v>
      </c>
      <c r="AH156">
        <v>0</v>
      </c>
      <c r="AI156" t="b">
        <v>0</v>
      </c>
      <c r="AJ156" t="s">
        <v>58</v>
      </c>
      <c r="AK156" t="s">
        <v>58</v>
      </c>
      <c r="AL156" t="s">
        <v>71</v>
      </c>
      <c r="AM156">
        <v>14</v>
      </c>
      <c r="AN156">
        <v>8</v>
      </c>
      <c r="AO156">
        <v>9</v>
      </c>
      <c r="AP156">
        <v>11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s">
        <v>61</v>
      </c>
      <c r="AY156" t="s">
        <v>57</v>
      </c>
      <c r="AZ156" t="s">
        <v>55</v>
      </c>
      <c r="BA156" t="s">
        <v>58</v>
      </c>
      <c r="BB156" t="s">
        <v>58</v>
      </c>
    </row>
    <row r="157" spans="1:54" x14ac:dyDescent="0.25">
      <c r="A157" t="s">
        <v>54</v>
      </c>
      <c r="B157" t="s">
        <v>54</v>
      </c>
      <c r="C157" t="s">
        <v>54</v>
      </c>
      <c r="D157" t="s">
        <v>156</v>
      </c>
      <c r="E157" t="s">
        <v>54</v>
      </c>
      <c r="F157" t="s">
        <v>54</v>
      </c>
      <c r="G157" t="s">
        <v>54</v>
      </c>
      <c r="H157" t="s">
        <v>54</v>
      </c>
      <c r="I157" t="s">
        <v>54</v>
      </c>
      <c r="J157" t="s">
        <v>54</v>
      </c>
      <c r="K157" t="s">
        <v>145</v>
      </c>
      <c r="L157">
        <v>-1</v>
      </c>
      <c r="M157">
        <v>0</v>
      </c>
      <c r="N157">
        <v>-1</v>
      </c>
      <c r="O157">
        <v>0</v>
      </c>
      <c r="P157" t="s">
        <v>70</v>
      </c>
      <c r="Q157">
        <v>0</v>
      </c>
      <c r="R157">
        <v>0</v>
      </c>
      <c r="S157">
        <v>780</v>
      </c>
      <c r="T157" t="s">
        <v>57</v>
      </c>
      <c r="U157">
        <v>0</v>
      </c>
      <c r="V157">
        <v>0</v>
      </c>
      <c r="W157">
        <v>0</v>
      </c>
      <c r="X157">
        <v>0</v>
      </c>
      <c r="Y157" t="s">
        <v>67</v>
      </c>
      <c r="Z157">
        <v>0</v>
      </c>
      <c r="AA157">
        <v>0</v>
      </c>
      <c r="AB157">
        <v>0</v>
      </c>
      <c r="AC157">
        <v>0</v>
      </c>
      <c r="AD157" t="s">
        <v>60</v>
      </c>
      <c r="AE157">
        <v>0</v>
      </c>
      <c r="AF157">
        <v>0</v>
      </c>
      <c r="AG157">
        <v>0</v>
      </c>
      <c r="AH157">
        <v>0</v>
      </c>
      <c r="AI157" t="b">
        <v>0</v>
      </c>
      <c r="AJ157" t="s">
        <v>58</v>
      </c>
      <c r="AK157" t="s">
        <v>58</v>
      </c>
      <c r="AL157" t="s">
        <v>71</v>
      </c>
      <c r="AM157">
        <v>14</v>
      </c>
      <c r="AN157">
        <v>7</v>
      </c>
      <c r="AO157">
        <v>2</v>
      </c>
      <c r="AP157">
        <v>11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s">
        <v>61</v>
      </c>
      <c r="AY157" t="s">
        <v>57</v>
      </c>
      <c r="AZ157" t="s">
        <v>55</v>
      </c>
      <c r="BA157" t="s">
        <v>58</v>
      </c>
      <c r="BB157" t="s">
        <v>58</v>
      </c>
    </row>
    <row r="158" spans="1:54" x14ac:dyDescent="0.25">
      <c r="A158" t="s">
        <v>54</v>
      </c>
      <c r="B158" t="s">
        <v>54</v>
      </c>
      <c r="C158" t="s">
        <v>54</v>
      </c>
      <c r="D158" t="s">
        <v>155</v>
      </c>
      <c r="E158" t="s">
        <v>54</v>
      </c>
      <c r="F158" t="s">
        <v>54</v>
      </c>
      <c r="G158" t="s">
        <v>54</v>
      </c>
      <c r="H158" t="s">
        <v>54</v>
      </c>
      <c r="I158" t="s">
        <v>54</v>
      </c>
      <c r="J158" t="s">
        <v>54</v>
      </c>
      <c r="K158" t="s">
        <v>159</v>
      </c>
      <c r="L158">
        <v>-1</v>
      </c>
      <c r="M158">
        <v>0</v>
      </c>
      <c r="N158">
        <v>-1</v>
      </c>
      <c r="O158">
        <v>0</v>
      </c>
      <c r="P158" t="s">
        <v>70</v>
      </c>
      <c r="Q158">
        <v>0</v>
      </c>
      <c r="R158">
        <v>0</v>
      </c>
      <c r="S158">
        <v>1220</v>
      </c>
      <c r="T158" t="s">
        <v>57</v>
      </c>
      <c r="U158">
        <v>0</v>
      </c>
      <c r="V158">
        <v>0</v>
      </c>
      <c r="W158">
        <v>0</v>
      </c>
      <c r="X158">
        <v>0</v>
      </c>
      <c r="Y158" t="s">
        <v>68</v>
      </c>
      <c r="Z158">
        <v>0</v>
      </c>
      <c r="AA158">
        <v>0</v>
      </c>
      <c r="AB158">
        <v>0</v>
      </c>
      <c r="AC158">
        <v>0</v>
      </c>
      <c r="AD158" t="s">
        <v>68</v>
      </c>
      <c r="AE158">
        <v>0</v>
      </c>
      <c r="AF158">
        <v>0</v>
      </c>
      <c r="AG158">
        <v>0</v>
      </c>
      <c r="AH158">
        <v>0</v>
      </c>
      <c r="AI158" t="b">
        <v>0</v>
      </c>
      <c r="AJ158" t="s">
        <v>58</v>
      </c>
      <c r="AK158" t="s">
        <v>58</v>
      </c>
      <c r="AL158" t="s">
        <v>71</v>
      </c>
      <c r="AM158">
        <v>14</v>
      </c>
      <c r="AN158">
        <v>7</v>
      </c>
      <c r="AO158">
        <v>14</v>
      </c>
      <c r="AP158">
        <v>11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s">
        <v>61</v>
      </c>
      <c r="AY158" t="s">
        <v>57</v>
      </c>
      <c r="AZ158" t="s">
        <v>55</v>
      </c>
      <c r="BA158" t="s">
        <v>58</v>
      </c>
      <c r="BB158" t="s">
        <v>58</v>
      </c>
    </row>
    <row r="159" spans="1:54" x14ac:dyDescent="0.25">
      <c r="A159" t="s">
        <v>54</v>
      </c>
      <c r="B159" t="s">
        <v>54</v>
      </c>
      <c r="C159" t="s">
        <v>54</v>
      </c>
      <c r="D159" t="s">
        <v>156</v>
      </c>
      <c r="E159" t="s">
        <v>54</v>
      </c>
      <c r="F159" t="s">
        <v>54</v>
      </c>
      <c r="G159" t="s">
        <v>54</v>
      </c>
      <c r="H159" t="s">
        <v>54</v>
      </c>
      <c r="I159" t="s">
        <v>54</v>
      </c>
      <c r="J159" t="s">
        <v>54</v>
      </c>
      <c r="K159" t="s">
        <v>162</v>
      </c>
      <c r="L159">
        <v>-1</v>
      </c>
      <c r="M159">
        <v>0</v>
      </c>
      <c r="N159">
        <v>-1</v>
      </c>
      <c r="O159">
        <v>0</v>
      </c>
      <c r="P159" t="s">
        <v>70</v>
      </c>
      <c r="Q159">
        <v>0</v>
      </c>
      <c r="R159">
        <v>0</v>
      </c>
      <c r="S159">
        <v>780</v>
      </c>
      <c r="T159" t="s">
        <v>57</v>
      </c>
      <c r="U159">
        <v>0</v>
      </c>
      <c r="V159">
        <v>0</v>
      </c>
      <c r="W159">
        <v>0</v>
      </c>
      <c r="X159">
        <v>0</v>
      </c>
      <c r="Y159" t="s">
        <v>67</v>
      </c>
      <c r="Z159">
        <v>0</v>
      </c>
      <c r="AA159">
        <v>0</v>
      </c>
      <c r="AB159">
        <v>0</v>
      </c>
      <c r="AC159">
        <v>0</v>
      </c>
      <c r="AD159" t="s">
        <v>60</v>
      </c>
      <c r="AE159">
        <v>0</v>
      </c>
      <c r="AF159">
        <v>0</v>
      </c>
      <c r="AG159">
        <v>0</v>
      </c>
      <c r="AH159">
        <v>0</v>
      </c>
      <c r="AI159" t="b">
        <v>0</v>
      </c>
      <c r="AJ159" t="s">
        <v>58</v>
      </c>
      <c r="AK159" t="s">
        <v>58</v>
      </c>
      <c r="AL159" t="s">
        <v>71</v>
      </c>
      <c r="AM159">
        <v>14</v>
      </c>
      <c r="AN159">
        <v>8</v>
      </c>
      <c r="AO159">
        <v>1</v>
      </c>
      <c r="AP159">
        <v>11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s">
        <v>61</v>
      </c>
      <c r="AY159" t="s">
        <v>57</v>
      </c>
      <c r="AZ159" t="s">
        <v>55</v>
      </c>
      <c r="BA159" t="s">
        <v>58</v>
      </c>
      <c r="BB159" t="s">
        <v>58</v>
      </c>
    </row>
    <row r="160" spans="1:54" x14ac:dyDescent="0.25">
      <c r="A160" t="s">
        <v>54</v>
      </c>
      <c r="B160" t="s">
        <v>54</v>
      </c>
      <c r="C160" t="s">
        <v>54</v>
      </c>
      <c r="D160" t="s">
        <v>169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  <c r="J160" t="s">
        <v>54</v>
      </c>
      <c r="K160" t="s">
        <v>165</v>
      </c>
      <c r="L160">
        <v>-1</v>
      </c>
      <c r="M160">
        <v>0</v>
      </c>
      <c r="N160">
        <v>-1</v>
      </c>
      <c r="O160">
        <v>0</v>
      </c>
      <c r="P160" t="s">
        <v>70</v>
      </c>
      <c r="Q160">
        <v>0</v>
      </c>
      <c r="R160">
        <v>0</v>
      </c>
      <c r="S160">
        <v>1230</v>
      </c>
      <c r="T160" t="s">
        <v>57</v>
      </c>
      <c r="U160">
        <v>0</v>
      </c>
      <c r="V160">
        <v>0</v>
      </c>
      <c r="W160">
        <v>0</v>
      </c>
      <c r="X160">
        <v>0</v>
      </c>
      <c r="Y160" t="s">
        <v>65</v>
      </c>
      <c r="Z160">
        <v>0</v>
      </c>
      <c r="AA160">
        <v>0</v>
      </c>
      <c r="AB160">
        <v>0</v>
      </c>
      <c r="AC160">
        <v>0</v>
      </c>
      <c r="AD160" t="s">
        <v>65</v>
      </c>
      <c r="AE160">
        <v>0</v>
      </c>
      <c r="AF160">
        <v>0</v>
      </c>
      <c r="AG160">
        <v>0</v>
      </c>
      <c r="AH160">
        <v>0</v>
      </c>
      <c r="AI160" t="b">
        <v>0</v>
      </c>
      <c r="AJ160" t="s">
        <v>58</v>
      </c>
      <c r="AK160" t="s">
        <v>58</v>
      </c>
      <c r="AL160" t="s">
        <v>71</v>
      </c>
      <c r="AM160">
        <v>14</v>
      </c>
      <c r="AN160">
        <v>6</v>
      </c>
      <c r="AO160">
        <v>11</v>
      </c>
      <c r="AP160">
        <v>11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s">
        <v>61</v>
      </c>
      <c r="AY160" t="s">
        <v>57</v>
      </c>
      <c r="AZ160" t="s">
        <v>55</v>
      </c>
      <c r="BA160" t="s">
        <v>58</v>
      </c>
      <c r="BB160" t="s">
        <v>58</v>
      </c>
    </row>
    <row r="161" spans="1:54" x14ac:dyDescent="0.25">
      <c r="A161" t="s">
        <v>54</v>
      </c>
      <c r="B161" t="s">
        <v>54</v>
      </c>
      <c r="C161" t="s">
        <v>54</v>
      </c>
      <c r="D161" t="s">
        <v>172</v>
      </c>
      <c r="E161" t="s">
        <v>54</v>
      </c>
      <c r="F161" t="s">
        <v>54</v>
      </c>
      <c r="G161" t="s">
        <v>54</v>
      </c>
      <c r="H161" t="s">
        <v>54</v>
      </c>
      <c r="I161" t="s">
        <v>54</v>
      </c>
      <c r="J161" t="s">
        <v>54</v>
      </c>
      <c r="K161" t="s">
        <v>152</v>
      </c>
      <c r="L161">
        <v>-1</v>
      </c>
      <c r="M161">
        <v>0</v>
      </c>
      <c r="N161">
        <v>-1</v>
      </c>
      <c r="O161">
        <v>0</v>
      </c>
      <c r="P161" t="s">
        <v>70</v>
      </c>
      <c r="Q161">
        <v>0</v>
      </c>
      <c r="R161">
        <v>0</v>
      </c>
      <c r="S161">
        <v>975</v>
      </c>
      <c r="T161" t="s">
        <v>57</v>
      </c>
      <c r="U161">
        <v>0</v>
      </c>
      <c r="V161">
        <v>0</v>
      </c>
      <c r="W161">
        <v>0</v>
      </c>
      <c r="X161">
        <v>0</v>
      </c>
      <c r="Y161" t="s">
        <v>67</v>
      </c>
      <c r="Z161">
        <v>0</v>
      </c>
      <c r="AA161">
        <v>0</v>
      </c>
      <c r="AB161">
        <v>0</v>
      </c>
      <c r="AC161">
        <v>0</v>
      </c>
      <c r="AD161" t="s">
        <v>60</v>
      </c>
      <c r="AE161">
        <v>0</v>
      </c>
      <c r="AF161">
        <v>0</v>
      </c>
      <c r="AG161">
        <v>0</v>
      </c>
      <c r="AH161">
        <v>0</v>
      </c>
      <c r="AI161" t="b">
        <v>0</v>
      </c>
      <c r="AJ161" t="s">
        <v>58</v>
      </c>
      <c r="AK161" t="s">
        <v>58</v>
      </c>
      <c r="AL161" t="s">
        <v>71</v>
      </c>
      <c r="AM161">
        <v>14</v>
      </c>
      <c r="AN161">
        <v>6</v>
      </c>
      <c r="AO161">
        <v>9</v>
      </c>
      <c r="AP161">
        <v>11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s">
        <v>61</v>
      </c>
      <c r="AY161" t="s">
        <v>57</v>
      </c>
      <c r="AZ161" t="s">
        <v>55</v>
      </c>
      <c r="BA161" t="s">
        <v>58</v>
      </c>
      <c r="BB161" t="s">
        <v>58</v>
      </c>
    </row>
    <row r="162" spans="1:54" x14ac:dyDescent="0.25">
      <c r="A162" t="s">
        <v>54</v>
      </c>
      <c r="B162" t="s">
        <v>54</v>
      </c>
      <c r="C162" t="s">
        <v>54</v>
      </c>
      <c r="D162" t="s">
        <v>152</v>
      </c>
      <c r="E162" t="s">
        <v>54</v>
      </c>
      <c r="F162" t="s">
        <v>54</v>
      </c>
      <c r="G162" t="s">
        <v>54</v>
      </c>
      <c r="H162" t="s">
        <v>54</v>
      </c>
      <c r="I162" t="s">
        <v>54</v>
      </c>
      <c r="J162" t="s">
        <v>54</v>
      </c>
      <c r="K162" t="s">
        <v>151</v>
      </c>
      <c r="L162">
        <v>-1</v>
      </c>
      <c r="M162">
        <v>0</v>
      </c>
      <c r="N162">
        <v>-1</v>
      </c>
      <c r="O162">
        <v>0</v>
      </c>
      <c r="P162" t="s">
        <v>70</v>
      </c>
      <c r="Q162">
        <v>0</v>
      </c>
      <c r="R162">
        <v>0</v>
      </c>
      <c r="S162">
        <v>975</v>
      </c>
      <c r="T162" t="s">
        <v>57</v>
      </c>
      <c r="U162">
        <v>0</v>
      </c>
      <c r="V162">
        <v>0</v>
      </c>
      <c r="W162">
        <v>0</v>
      </c>
      <c r="X162">
        <v>0</v>
      </c>
      <c r="Y162" t="s">
        <v>67</v>
      </c>
      <c r="Z162">
        <v>0</v>
      </c>
      <c r="AA162">
        <v>0</v>
      </c>
      <c r="AB162">
        <v>0</v>
      </c>
      <c r="AC162">
        <v>0</v>
      </c>
      <c r="AD162" t="s">
        <v>60</v>
      </c>
      <c r="AE162">
        <v>0</v>
      </c>
      <c r="AF162">
        <v>0</v>
      </c>
      <c r="AG162">
        <v>0</v>
      </c>
      <c r="AH162">
        <v>0</v>
      </c>
      <c r="AI162" t="b">
        <v>0</v>
      </c>
      <c r="AJ162" t="s">
        <v>58</v>
      </c>
      <c r="AK162" t="s">
        <v>58</v>
      </c>
      <c r="AL162" t="s">
        <v>71</v>
      </c>
      <c r="AM162">
        <v>14</v>
      </c>
      <c r="AN162">
        <v>7</v>
      </c>
      <c r="AO162">
        <v>9</v>
      </c>
      <c r="AP162">
        <v>11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s">
        <v>61</v>
      </c>
      <c r="AY162" t="s">
        <v>57</v>
      </c>
      <c r="AZ162" t="s">
        <v>55</v>
      </c>
      <c r="BA162" t="s">
        <v>58</v>
      </c>
      <c r="BB162" t="s">
        <v>58</v>
      </c>
    </row>
    <row r="163" spans="1:54" x14ac:dyDescent="0.25">
      <c r="A163" t="s">
        <v>54</v>
      </c>
      <c r="B163" t="s">
        <v>54</v>
      </c>
      <c r="C163" t="s">
        <v>54</v>
      </c>
      <c r="D163" t="s">
        <v>168</v>
      </c>
      <c r="E163" t="s">
        <v>54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 t="s">
        <v>149</v>
      </c>
      <c r="L163">
        <v>-1</v>
      </c>
      <c r="M163">
        <v>0</v>
      </c>
      <c r="N163">
        <v>-1</v>
      </c>
      <c r="O163">
        <v>0</v>
      </c>
      <c r="P163" t="s">
        <v>70</v>
      </c>
      <c r="Q163">
        <v>0</v>
      </c>
      <c r="R163">
        <v>0</v>
      </c>
      <c r="S163">
        <v>780</v>
      </c>
      <c r="T163" t="s">
        <v>57</v>
      </c>
      <c r="U163">
        <v>0</v>
      </c>
      <c r="V163">
        <v>0</v>
      </c>
      <c r="W163">
        <v>0</v>
      </c>
      <c r="X163">
        <v>0</v>
      </c>
      <c r="Y163" t="s">
        <v>67</v>
      </c>
      <c r="Z163">
        <v>0</v>
      </c>
      <c r="AA163">
        <v>0</v>
      </c>
      <c r="AB163">
        <v>0</v>
      </c>
      <c r="AC163">
        <v>0</v>
      </c>
      <c r="AD163" t="s">
        <v>60</v>
      </c>
      <c r="AE163">
        <v>0</v>
      </c>
      <c r="AF163">
        <v>0</v>
      </c>
      <c r="AG163">
        <v>0</v>
      </c>
      <c r="AH163">
        <v>0</v>
      </c>
      <c r="AI163" t="b">
        <v>0</v>
      </c>
      <c r="AJ163" t="s">
        <v>58</v>
      </c>
      <c r="AK163" t="s">
        <v>58</v>
      </c>
      <c r="AL163" t="s">
        <v>71</v>
      </c>
      <c r="AM163">
        <v>14</v>
      </c>
      <c r="AN163">
        <v>5</v>
      </c>
      <c r="AO163">
        <v>6</v>
      </c>
      <c r="AP163">
        <v>11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s">
        <v>61</v>
      </c>
      <c r="AY163" t="s">
        <v>57</v>
      </c>
      <c r="AZ163" t="s">
        <v>55</v>
      </c>
      <c r="BA163" t="s">
        <v>58</v>
      </c>
      <c r="BB163" t="s">
        <v>58</v>
      </c>
    </row>
    <row r="164" spans="1:54" x14ac:dyDescent="0.25">
      <c r="A164" t="s">
        <v>54</v>
      </c>
      <c r="B164" t="s">
        <v>54</v>
      </c>
      <c r="C164" t="s">
        <v>54</v>
      </c>
      <c r="D164" t="s">
        <v>153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157</v>
      </c>
      <c r="L164">
        <v>-1</v>
      </c>
      <c r="M164">
        <v>0</v>
      </c>
      <c r="N164">
        <v>-1</v>
      </c>
      <c r="O164">
        <v>0</v>
      </c>
      <c r="P164" t="s">
        <v>70</v>
      </c>
      <c r="Q164">
        <v>0</v>
      </c>
      <c r="R164">
        <v>0</v>
      </c>
      <c r="S164">
        <v>780</v>
      </c>
      <c r="T164" t="s">
        <v>57</v>
      </c>
      <c r="U164">
        <v>0</v>
      </c>
      <c r="V164">
        <v>0</v>
      </c>
      <c r="W164">
        <v>0</v>
      </c>
      <c r="X164">
        <v>0</v>
      </c>
      <c r="Y164" t="s">
        <v>67</v>
      </c>
      <c r="Z164">
        <v>0</v>
      </c>
      <c r="AA164">
        <v>0</v>
      </c>
      <c r="AB164">
        <v>0</v>
      </c>
      <c r="AC164">
        <v>0</v>
      </c>
      <c r="AD164" t="s">
        <v>60</v>
      </c>
      <c r="AE164">
        <v>0</v>
      </c>
      <c r="AF164">
        <v>0</v>
      </c>
      <c r="AG164">
        <v>0</v>
      </c>
      <c r="AH164">
        <v>0</v>
      </c>
      <c r="AI164" t="b">
        <v>0</v>
      </c>
      <c r="AJ164" t="s">
        <v>58</v>
      </c>
      <c r="AK164" t="s">
        <v>58</v>
      </c>
      <c r="AL164" t="s">
        <v>71</v>
      </c>
      <c r="AM164">
        <v>14</v>
      </c>
      <c r="AN164">
        <v>7</v>
      </c>
      <c r="AO164">
        <v>3</v>
      </c>
      <c r="AP164">
        <v>11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s">
        <v>61</v>
      </c>
      <c r="AY164" t="s">
        <v>57</v>
      </c>
      <c r="AZ164" t="s">
        <v>55</v>
      </c>
      <c r="BA164" t="s">
        <v>58</v>
      </c>
      <c r="BB164" t="s">
        <v>58</v>
      </c>
    </row>
    <row r="165" spans="1:54" x14ac:dyDescent="0.25">
      <c r="A165" t="s">
        <v>54</v>
      </c>
      <c r="B165" t="s">
        <v>54</v>
      </c>
      <c r="C165" t="s">
        <v>54</v>
      </c>
      <c r="D165" t="s">
        <v>161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154</v>
      </c>
      <c r="L165">
        <v>-1</v>
      </c>
      <c r="M165">
        <v>0</v>
      </c>
      <c r="N165">
        <v>-1</v>
      </c>
      <c r="O165">
        <v>0</v>
      </c>
      <c r="P165" t="s">
        <v>70</v>
      </c>
      <c r="Q165">
        <v>0</v>
      </c>
      <c r="R165">
        <v>0</v>
      </c>
      <c r="S165">
        <v>1230</v>
      </c>
      <c r="T165" t="s">
        <v>57</v>
      </c>
      <c r="U165">
        <v>0</v>
      </c>
      <c r="V165">
        <v>0</v>
      </c>
      <c r="W165">
        <v>0</v>
      </c>
      <c r="X165">
        <v>0</v>
      </c>
      <c r="Y165" t="s">
        <v>65</v>
      </c>
      <c r="Z165">
        <v>0</v>
      </c>
      <c r="AA165">
        <v>0</v>
      </c>
      <c r="AB165">
        <v>0</v>
      </c>
      <c r="AC165">
        <v>0</v>
      </c>
      <c r="AD165" t="s">
        <v>65</v>
      </c>
      <c r="AE165">
        <v>0</v>
      </c>
      <c r="AF165">
        <v>0</v>
      </c>
      <c r="AG165">
        <v>0</v>
      </c>
      <c r="AH165">
        <v>0</v>
      </c>
      <c r="AI165" t="b">
        <v>0</v>
      </c>
      <c r="AJ165" t="s">
        <v>58</v>
      </c>
      <c r="AK165" t="s">
        <v>58</v>
      </c>
      <c r="AL165" t="s">
        <v>71</v>
      </c>
      <c r="AM165">
        <v>14</v>
      </c>
      <c r="AN165">
        <v>7</v>
      </c>
      <c r="AO165">
        <v>13</v>
      </c>
      <c r="AP165">
        <v>11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s">
        <v>61</v>
      </c>
      <c r="AY165" t="s">
        <v>57</v>
      </c>
      <c r="AZ165" t="s">
        <v>55</v>
      </c>
      <c r="BA165" t="s">
        <v>58</v>
      </c>
      <c r="BB165" t="s">
        <v>58</v>
      </c>
    </row>
    <row r="166" spans="1:54" x14ac:dyDescent="0.25">
      <c r="A166" t="s">
        <v>54</v>
      </c>
      <c r="B166" t="s">
        <v>54</v>
      </c>
      <c r="C166" t="s">
        <v>54</v>
      </c>
      <c r="D166" t="s">
        <v>162</v>
      </c>
      <c r="E166" t="s">
        <v>54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170</v>
      </c>
      <c r="L166">
        <v>-1</v>
      </c>
      <c r="M166">
        <v>0</v>
      </c>
      <c r="N166">
        <v>-1</v>
      </c>
      <c r="O166">
        <v>0</v>
      </c>
      <c r="P166" t="s">
        <v>70</v>
      </c>
      <c r="Q166">
        <v>0</v>
      </c>
      <c r="R166">
        <v>0</v>
      </c>
      <c r="S166">
        <v>780</v>
      </c>
      <c r="T166" t="s">
        <v>57</v>
      </c>
      <c r="U166">
        <v>0</v>
      </c>
      <c r="V166">
        <v>0</v>
      </c>
      <c r="W166">
        <v>0</v>
      </c>
      <c r="X166">
        <v>0</v>
      </c>
      <c r="Y166" t="s">
        <v>67</v>
      </c>
      <c r="Z166">
        <v>0</v>
      </c>
      <c r="AA166">
        <v>0</v>
      </c>
      <c r="AB166">
        <v>0</v>
      </c>
      <c r="AC166">
        <v>0</v>
      </c>
      <c r="AD166" t="s">
        <v>60</v>
      </c>
      <c r="AE166">
        <v>0</v>
      </c>
      <c r="AF166">
        <v>0</v>
      </c>
      <c r="AG166">
        <v>0</v>
      </c>
      <c r="AH166">
        <v>0</v>
      </c>
      <c r="AI166" t="b">
        <v>0</v>
      </c>
      <c r="AJ166" t="s">
        <v>58</v>
      </c>
      <c r="AK166" t="s">
        <v>58</v>
      </c>
      <c r="AL166" t="s">
        <v>71</v>
      </c>
      <c r="AM166">
        <v>14</v>
      </c>
      <c r="AN166">
        <v>7</v>
      </c>
      <c r="AO166">
        <v>4</v>
      </c>
      <c r="AP166">
        <v>11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s">
        <v>61</v>
      </c>
      <c r="AY166" t="s">
        <v>57</v>
      </c>
      <c r="AZ166" t="s">
        <v>55</v>
      </c>
      <c r="BA166" t="s">
        <v>58</v>
      </c>
      <c r="BB166" t="s">
        <v>58</v>
      </c>
    </row>
    <row r="167" spans="1:54" x14ac:dyDescent="0.25">
      <c r="A167" t="s">
        <v>54</v>
      </c>
      <c r="B167" t="s">
        <v>54</v>
      </c>
      <c r="C167" t="s">
        <v>54</v>
      </c>
      <c r="D167" t="s">
        <v>168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158</v>
      </c>
      <c r="L167">
        <v>-1</v>
      </c>
      <c r="M167">
        <v>0</v>
      </c>
      <c r="N167">
        <v>-1</v>
      </c>
      <c r="O167">
        <v>0</v>
      </c>
      <c r="P167" t="s">
        <v>70</v>
      </c>
      <c r="Q167">
        <v>0</v>
      </c>
      <c r="R167">
        <v>0</v>
      </c>
      <c r="S167">
        <v>780</v>
      </c>
      <c r="T167" t="s">
        <v>57</v>
      </c>
      <c r="U167">
        <v>0</v>
      </c>
      <c r="V167">
        <v>0</v>
      </c>
      <c r="W167">
        <v>0</v>
      </c>
      <c r="X167">
        <v>0</v>
      </c>
      <c r="Y167" t="s">
        <v>67</v>
      </c>
      <c r="Z167">
        <v>0</v>
      </c>
      <c r="AA167">
        <v>0</v>
      </c>
      <c r="AB167">
        <v>0</v>
      </c>
      <c r="AC167">
        <v>0</v>
      </c>
      <c r="AD167" t="s">
        <v>60</v>
      </c>
      <c r="AE167">
        <v>0</v>
      </c>
      <c r="AF167">
        <v>0</v>
      </c>
      <c r="AG167">
        <v>0</v>
      </c>
      <c r="AH167">
        <v>0</v>
      </c>
      <c r="AI167" t="b">
        <v>0</v>
      </c>
      <c r="AJ167" t="s">
        <v>58</v>
      </c>
      <c r="AK167" t="s">
        <v>58</v>
      </c>
      <c r="AL167" t="s">
        <v>71</v>
      </c>
      <c r="AM167">
        <v>14</v>
      </c>
      <c r="AN167">
        <v>8</v>
      </c>
      <c r="AO167">
        <v>2</v>
      </c>
      <c r="AP167">
        <v>11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s">
        <v>61</v>
      </c>
      <c r="AY167" t="s">
        <v>57</v>
      </c>
      <c r="AZ167" t="s">
        <v>55</v>
      </c>
      <c r="BA167" t="s">
        <v>58</v>
      </c>
      <c r="BB167" t="s">
        <v>58</v>
      </c>
    </row>
    <row r="168" spans="1:54" x14ac:dyDescent="0.25">
      <c r="A168" t="s">
        <v>54</v>
      </c>
      <c r="B168" t="s">
        <v>54</v>
      </c>
      <c r="C168" t="s">
        <v>54</v>
      </c>
      <c r="D168" t="s">
        <v>172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147</v>
      </c>
      <c r="L168">
        <v>-1</v>
      </c>
      <c r="M168">
        <v>0</v>
      </c>
      <c r="N168">
        <v>-1</v>
      </c>
      <c r="O168">
        <v>0</v>
      </c>
      <c r="P168" t="s">
        <v>70</v>
      </c>
      <c r="Q168">
        <v>0</v>
      </c>
      <c r="R168">
        <v>0</v>
      </c>
      <c r="S168">
        <v>780</v>
      </c>
      <c r="T168" t="s">
        <v>57</v>
      </c>
      <c r="U168">
        <v>0</v>
      </c>
      <c r="V168">
        <v>0</v>
      </c>
      <c r="W168">
        <v>0</v>
      </c>
      <c r="X168">
        <v>0</v>
      </c>
      <c r="Y168" t="s">
        <v>67</v>
      </c>
      <c r="Z168">
        <v>0</v>
      </c>
      <c r="AA168">
        <v>0</v>
      </c>
      <c r="AB168">
        <v>0</v>
      </c>
      <c r="AC168">
        <v>0</v>
      </c>
      <c r="AD168" t="s">
        <v>60</v>
      </c>
      <c r="AE168">
        <v>0</v>
      </c>
      <c r="AF168">
        <v>0</v>
      </c>
      <c r="AG168">
        <v>0</v>
      </c>
      <c r="AH168">
        <v>0</v>
      </c>
      <c r="AI168" t="b">
        <v>0</v>
      </c>
      <c r="AJ168" t="s">
        <v>58</v>
      </c>
      <c r="AK168" t="s">
        <v>58</v>
      </c>
      <c r="AL168" t="s">
        <v>71</v>
      </c>
      <c r="AM168">
        <v>14</v>
      </c>
      <c r="AN168">
        <v>7</v>
      </c>
      <c r="AO168">
        <v>5</v>
      </c>
      <c r="AP168">
        <v>11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s">
        <v>61</v>
      </c>
      <c r="AY168" t="s">
        <v>57</v>
      </c>
      <c r="AZ168" t="s">
        <v>55</v>
      </c>
      <c r="BA168" t="s">
        <v>58</v>
      </c>
      <c r="BB168" t="s">
        <v>58</v>
      </c>
    </row>
    <row r="169" spans="1:54" x14ac:dyDescent="0.25">
      <c r="A169" t="s">
        <v>54</v>
      </c>
      <c r="B169" t="s">
        <v>54</v>
      </c>
      <c r="C169" t="s">
        <v>54</v>
      </c>
      <c r="D169" t="s">
        <v>159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165</v>
      </c>
      <c r="L169">
        <v>-1</v>
      </c>
      <c r="M169">
        <v>0</v>
      </c>
      <c r="N169">
        <v>-1</v>
      </c>
      <c r="O169">
        <v>0</v>
      </c>
      <c r="P169" t="s">
        <v>70</v>
      </c>
      <c r="Q169">
        <v>0</v>
      </c>
      <c r="R169">
        <v>0</v>
      </c>
      <c r="S169">
        <v>1220</v>
      </c>
      <c r="T169" t="s">
        <v>57</v>
      </c>
      <c r="U169">
        <v>0</v>
      </c>
      <c r="V169">
        <v>0</v>
      </c>
      <c r="W169">
        <v>0</v>
      </c>
      <c r="X169">
        <v>0</v>
      </c>
      <c r="Y169" t="s">
        <v>60</v>
      </c>
      <c r="Z169">
        <v>0</v>
      </c>
      <c r="AA169">
        <v>0</v>
      </c>
      <c r="AB169">
        <v>0</v>
      </c>
      <c r="AC169">
        <v>0</v>
      </c>
      <c r="AD169" t="s">
        <v>60</v>
      </c>
      <c r="AE169">
        <v>0</v>
      </c>
      <c r="AF169">
        <v>0</v>
      </c>
      <c r="AG169">
        <v>0</v>
      </c>
      <c r="AH169">
        <v>0</v>
      </c>
      <c r="AI169" t="b">
        <v>0</v>
      </c>
      <c r="AJ169" t="s">
        <v>58</v>
      </c>
      <c r="AK169" t="s">
        <v>58</v>
      </c>
      <c r="AL169" t="s">
        <v>71</v>
      </c>
      <c r="AM169">
        <v>14</v>
      </c>
      <c r="AN169">
        <v>8</v>
      </c>
      <c r="AO169">
        <v>11</v>
      </c>
      <c r="AP169">
        <v>11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s">
        <v>61</v>
      </c>
      <c r="AY169" t="s">
        <v>57</v>
      </c>
      <c r="AZ169" t="s">
        <v>55</v>
      </c>
      <c r="BA169" t="s">
        <v>58</v>
      </c>
      <c r="BB169" t="s">
        <v>58</v>
      </c>
    </row>
    <row r="170" spans="1:54" x14ac:dyDescent="0.25">
      <c r="A170" t="s">
        <v>54</v>
      </c>
      <c r="B170" t="s">
        <v>54</v>
      </c>
      <c r="C170" t="s">
        <v>54</v>
      </c>
      <c r="D170" t="s">
        <v>165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174</v>
      </c>
      <c r="L170">
        <v>-1</v>
      </c>
      <c r="M170">
        <v>0</v>
      </c>
      <c r="N170">
        <v>-1</v>
      </c>
      <c r="O170">
        <v>0</v>
      </c>
      <c r="P170" t="s">
        <v>70</v>
      </c>
      <c r="Q170">
        <v>0</v>
      </c>
      <c r="R170">
        <v>0</v>
      </c>
      <c r="S170">
        <v>975</v>
      </c>
      <c r="T170" t="s">
        <v>57</v>
      </c>
      <c r="U170">
        <v>0</v>
      </c>
      <c r="V170">
        <v>0</v>
      </c>
      <c r="W170">
        <v>0</v>
      </c>
      <c r="X170">
        <v>0</v>
      </c>
      <c r="Y170" t="s">
        <v>67</v>
      </c>
      <c r="Z170">
        <v>0</v>
      </c>
      <c r="AA170">
        <v>0</v>
      </c>
      <c r="AB170">
        <v>0</v>
      </c>
      <c r="AC170">
        <v>0</v>
      </c>
      <c r="AD170" t="s">
        <v>60</v>
      </c>
      <c r="AE170">
        <v>0</v>
      </c>
      <c r="AF170">
        <v>0</v>
      </c>
      <c r="AG170">
        <v>0</v>
      </c>
      <c r="AH170">
        <v>0</v>
      </c>
      <c r="AI170" t="b">
        <v>0</v>
      </c>
      <c r="AJ170" t="s">
        <v>58</v>
      </c>
      <c r="AK170" t="s">
        <v>58</v>
      </c>
      <c r="AL170" t="s">
        <v>71</v>
      </c>
      <c r="AM170">
        <v>14</v>
      </c>
      <c r="AN170">
        <v>7</v>
      </c>
      <c r="AO170">
        <v>10</v>
      </c>
      <c r="AP170">
        <v>11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s">
        <v>61</v>
      </c>
      <c r="AY170" t="s">
        <v>57</v>
      </c>
      <c r="AZ170" t="s">
        <v>55</v>
      </c>
      <c r="BA170" t="s">
        <v>58</v>
      </c>
      <c r="BB170" t="s">
        <v>58</v>
      </c>
    </row>
    <row r="171" spans="1:54" x14ac:dyDescent="0.25">
      <c r="A171" t="s">
        <v>54</v>
      </c>
      <c r="B171" t="s">
        <v>54</v>
      </c>
      <c r="C171" t="s">
        <v>54</v>
      </c>
      <c r="D171" t="s">
        <v>145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143</v>
      </c>
      <c r="L171">
        <v>-1</v>
      </c>
      <c r="M171">
        <v>0</v>
      </c>
      <c r="N171">
        <v>-1</v>
      </c>
      <c r="O171">
        <v>0</v>
      </c>
      <c r="P171" t="s">
        <v>70</v>
      </c>
      <c r="Q171">
        <v>0</v>
      </c>
      <c r="R171">
        <v>0</v>
      </c>
      <c r="S171">
        <v>780</v>
      </c>
      <c r="T171" t="s">
        <v>57</v>
      </c>
      <c r="U171">
        <v>0</v>
      </c>
      <c r="V171">
        <v>0</v>
      </c>
      <c r="W171">
        <v>0</v>
      </c>
      <c r="X171">
        <v>0</v>
      </c>
      <c r="Y171" t="s">
        <v>67</v>
      </c>
      <c r="Z171">
        <v>0</v>
      </c>
      <c r="AA171">
        <v>0</v>
      </c>
      <c r="AB171">
        <v>0</v>
      </c>
      <c r="AC171">
        <v>0</v>
      </c>
      <c r="AD171" t="s">
        <v>60</v>
      </c>
      <c r="AE171">
        <v>0</v>
      </c>
      <c r="AF171">
        <v>0</v>
      </c>
      <c r="AG171">
        <v>0</v>
      </c>
      <c r="AH171">
        <v>0</v>
      </c>
      <c r="AI171" t="b">
        <v>0</v>
      </c>
      <c r="AJ171" t="s">
        <v>58</v>
      </c>
      <c r="AK171" t="s">
        <v>58</v>
      </c>
      <c r="AL171" t="s">
        <v>71</v>
      </c>
      <c r="AM171">
        <v>14</v>
      </c>
      <c r="AN171">
        <v>8</v>
      </c>
      <c r="AO171">
        <v>3</v>
      </c>
      <c r="AP171">
        <v>11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s">
        <v>61</v>
      </c>
      <c r="AY171" t="s">
        <v>57</v>
      </c>
      <c r="AZ171" t="s">
        <v>55</v>
      </c>
      <c r="BA171" t="s">
        <v>58</v>
      </c>
      <c r="BB171" t="s">
        <v>58</v>
      </c>
    </row>
    <row r="172" spans="1:54" x14ac:dyDescent="0.25">
      <c r="A172" t="s">
        <v>54</v>
      </c>
      <c r="B172" t="s">
        <v>54</v>
      </c>
      <c r="C172" t="s">
        <v>54</v>
      </c>
      <c r="D172" t="s">
        <v>150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172</v>
      </c>
      <c r="L172">
        <v>-1</v>
      </c>
      <c r="M172">
        <v>0</v>
      </c>
      <c r="N172">
        <v>-1</v>
      </c>
      <c r="O172">
        <v>0</v>
      </c>
      <c r="P172" t="s">
        <v>70</v>
      </c>
      <c r="Q172">
        <v>0</v>
      </c>
      <c r="R172">
        <v>0</v>
      </c>
      <c r="S172">
        <v>1230</v>
      </c>
      <c r="T172" t="s">
        <v>57</v>
      </c>
      <c r="U172">
        <v>0</v>
      </c>
      <c r="V172">
        <v>0</v>
      </c>
      <c r="W172">
        <v>0</v>
      </c>
      <c r="X172">
        <v>0</v>
      </c>
      <c r="Y172" t="s">
        <v>65</v>
      </c>
      <c r="Z172">
        <v>0</v>
      </c>
      <c r="AA172">
        <v>0</v>
      </c>
      <c r="AB172">
        <v>0</v>
      </c>
      <c r="AC172">
        <v>0</v>
      </c>
      <c r="AD172" t="s">
        <v>65</v>
      </c>
      <c r="AE172">
        <v>0</v>
      </c>
      <c r="AF172">
        <v>0</v>
      </c>
      <c r="AG172">
        <v>0</v>
      </c>
      <c r="AH172">
        <v>0</v>
      </c>
      <c r="AI172" t="b">
        <v>0</v>
      </c>
      <c r="AJ172" t="s">
        <v>58</v>
      </c>
      <c r="AK172" t="s">
        <v>58</v>
      </c>
      <c r="AL172" t="s">
        <v>71</v>
      </c>
      <c r="AM172">
        <v>14</v>
      </c>
      <c r="AN172">
        <v>9</v>
      </c>
      <c r="AO172">
        <v>12</v>
      </c>
      <c r="AP172">
        <v>11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s">
        <v>61</v>
      </c>
      <c r="AY172" t="s">
        <v>57</v>
      </c>
      <c r="AZ172" t="s">
        <v>55</v>
      </c>
      <c r="BA172" t="s">
        <v>58</v>
      </c>
      <c r="BB172" t="s">
        <v>58</v>
      </c>
    </row>
    <row r="173" spans="1:54" x14ac:dyDescent="0.25">
      <c r="A173" t="s">
        <v>54</v>
      </c>
      <c r="B173" t="s">
        <v>54</v>
      </c>
      <c r="C173" t="s">
        <v>54</v>
      </c>
      <c r="D173" t="s">
        <v>158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150</v>
      </c>
      <c r="L173">
        <v>-1</v>
      </c>
      <c r="M173">
        <v>0</v>
      </c>
      <c r="N173">
        <v>-1</v>
      </c>
      <c r="O173">
        <v>0</v>
      </c>
      <c r="P173" t="s">
        <v>70</v>
      </c>
      <c r="Q173">
        <v>0</v>
      </c>
      <c r="R173">
        <v>0</v>
      </c>
      <c r="S173">
        <v>965</v>
      </c>
      <c r="T173" t="s">
        <v>57</v>
      </c>
      <c r="U173">
        <v>0</v>
      </c>
      <c r="V173">
        <v>0</v>
      </c>
      <c r="W173">
        <v>0</v>
      </c>
      <c r="X173">
        <v>0</v>
      </c>
      <c r="Y173" t="s">
        <v>67</v>
      </c>
      <c r="Z173">
        <v>0</v>
      </c>
      <c r="AA173">
        <v>0</v>
      </c>
      <c r="AB173">
        <v>0</v>
      </c>
      <c r="AC173">
        <v>0</v>
      </c>
      <c r="AD173" t="s">
        <v>60</v>
      </c>
      <c r="AE173">
        <v>0</v>
      </c>
      <c r="AF173">
        <v>0</v>
      </c>
      <c r="AG173">
        <v>0</v>
      </c>
      <c r="AH173">
        <v>0</v>
      </c>
      <c r="AI173" t="b">
        <v>0</v>
      </c>
      <c r="AJ173" t="s">
        <v>58</v>
      </c>
      <c r="AK173" t="s">
        <v>58</v>
      </c>
      <c r="AL173" t="s">
        <v>71</v>
      </c>
      <c r="AM173">
        <v>14</v>
      </c>
      <c r="AN173">
        <v>7</v>
      </c>
      <c r="AO173">
        <v>8</v>
      </c>
      <c r="AP173">
        <v>11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s">
        <v>61</v>
      </c>
      <c r="AY173" t="s">
        <v>57</v>
      </c>
      <c r="AZ173" t="s">
        <v>55</v>
      </c>
      <c r="BA173" t="s">
        <v>58</v>
      </c>
      <c r="BB173" t="s">
        <v>58</v>
      </c>
    </row>
    <row r="174" spans="1:54" x14ac:dyDescent="0.25">
      <c r="A174" t="s">
        <v>54</v>
      </c>
      <c r="B174" t="s">
        <v>54</v>
      </c>
      <c r="C174" t="s">
        <v>54</v>
      </c>
      <c r="D174" t="s">
        <v>164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 t="s">
        <v>171</v>
      </c>
      <c r="L174">
        <v>-1</v>
      </c>
      <c r="M174">
        <v>0</v>
      </c>
      <c r="N174">
        <v>-1</v>
      </c>
      <c r="O174">
        <v>0</v>
      </c>
      <c r="P174" t="s">
        <v>70</v>
      </c>
      <c r="Q174">
        <v>0</v>
      </c>
      <c r="R174">
        <v>0</v>
      </c>
      <c r="S174">
        <v>780</v>
      </c>
      <c r="T174" t="s">
        <v>57</v>
      </c>
      <c r="U174">
        <v>0</v>
      </c>
      <c r="V174">
        <v>0</v>
      </c>
      <c r="W174">
        <v>0</v>
      </c>
      <c r="X174">
        <v>0</v>
      </c>
      <c r="Y174" t="s">
        <v>67</v>
      </c>
      <c r="Z174">
        <v>0</v>
      </c>
      <c r="AA174">
        <v>0</v>
      </c>
      <c r="AB174">
        <v>0</v>
      </c>
      <c r="AC174">
        <v>0</v>
      </c>
      <c r="AD174" t="s">
        <v>60</v>
      </c>
      <c r="AE174">
        <v>0</v>
      </c>
      <c r="AF174">
        <v>0</v>
      </c>
      <c r="AG174">
        <v>0</v>
      </c>
      <c r="AH174">
        <v>0</v>
      </c>
      <c r="AI174" t="b">
        <v>0</v>
      </c>
      <c r="AJ174" t="s">
        <v>58</v>
      </c>
      <c r="AK174" t="s">
        <v>58</v>
      </c>
      <c r="AL174" t="s">
        <v>71</v>
      </c>
      <c r="AM174">
        <v>14</v>
      </c>
      <c r="AN174">
        <v>7</v>
      </c>
      <c r="AO174">
        <v>6</v>
      </c>
      <c r="AP174">
        <v>11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s">
        <v>61</v>
      </c>
      <c r="AY174" t="s">
        <v>57</v>
      </c>
      <c r="AZ174" t="s">
        <v>55</v>
      </c>
      <c r="BA174" t="s">
        <v>58</v>
      </c>
      <c r="BB174" t="s">
        <v>58</v>
      </c>
    </row>
    <row r="175" spans="1:54" x14ac:dyDescent="0.25">
      <c r="A175" t="s">
        <v>54</v>
      </c>
      <c r="B175" t="s">
        <v>54</v>
      </c>
      <c r="C175" t="s">
        <v>54</v>
      </c>
      <c r="D175" t="s">
        <v>148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149</v>
      </c>
      <c r="L175">
        <v>-1</v>
      </c>
      <c r="M175">
        <v>0</v>
      </c>
      <c r="N175">
        <v>-1</v>
      </c>
      <c r="O175">
        <v>0</v>
      </c>
      <c r="P175" t="s">
        <v>70</v>
      </c>
      <c r="Q175">
        <v>0</v>
      </c>
      <c r="R175">
        <v>0</v>
      </c>
      <c r="S175">
        <v>780</v>
      </c>
      <c r="T175" t="s">
        <v>57</v>
      </c>
      <c r="U175">
        <v>0</v>
      </c>
      <c r="V175">
        <v>0</v>
      </c>
      <c r="W175">
        <v>0</v>
      </c>
      <c r="X175">
        <v>0</v>
      </c>
      <c r="Y175" t="s">
        <v>67</v>
      </c>
      <c r="Z175">
        <v>0</v>
      </c>
      <c r="AA175">
        <v>0</v>
      </c>
      <c r="AB175">
        <v>0</v>
      </c>
      <c r="AC175">
        <v>0</v>
      </c>
      <c r="AD175" t="s">
        <v>60</v>
      </c>
      <c r="AE175">
        <v>0</v>
      </c>
      <c r="AF175">
        <v>0</v>
      </c>
      <c r="AG175">
        <v>0</v>
      </c>
      <c r="AH175">
        <v>0</v>
      </c>
      <c r="AI175" t="b">
        <v>0</v>
      </c>
      <c r="AJ175" t="s">
        <v>58</v>
      </c>
      <c r="AK175" t="s">
        <v>58</v>
      </c>
      <c r="AL175" t="s">
        <v>71</v>
      </c>
      <c r="AM175">
        <v>14</v>
      </c>
      <c r="AN175">
        <v>8</v>
      </c>
      <c r="AO175">
        <v>4</v>
      </c>
      <c r="AP175">
        <v>11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s">
        <v>61</v>
      </c>
      <c r="AY175" t="s">
        <v>57</v>
      </c>
      <c r="AZ175" t="s">
        <v>55</v>
      </c>
      <c r="BA175" t="s">
        <v>58</v>
      </c>
      <c r="BB175" t="s">
        <v>58</v>
      </c>
    </row>
    <row r="176" spans="1:54" x14ac:dyDescent="0.25">
      <c r="A176" t="s">
        <v>54</v>
      </c>
      <c r="B176" t="s">
        <v>54</v>
      </c>
      <c r="C176" t="s">
        <v>54</v>
      </c>
      <c r="D176" t="s">
        <v>155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162</v>
      </c>
      <c r="L176">
        <v>-1</v>
      </c>
      <c r="M176">
        <v>0</v>
      </c>
      <c r="N176">
        <v>-1</v>
      </c>
      <c r="O176">
        <v>0</v>
      </c>
      <c r="P176" t="s">
        <v>70</v>
      </c>
      <c r="Q176">
        <v>0</v>
      </c>
      <c r="R176">
        <v>0</v>
      </c>
      <c r="S176">
        <v>780</v>
      </c>
      <c r="T176" t="s">
        <v>57</v>
      </c>
      <c r="U176">
        <v>0</v>
      </c>
      <c r="V176">
        <v>0</v>
      </c>
      <c r="W176">
        <v>0</v>
      </c>
      <c r="X176">
        <v>0</v>
      </c>
      <c r="Y176" t="s">
        <v>67</v>
      </c>
      <c r="Z176">
        <v>0</v>
      </c>
      <c r="AA176">
        <v>0</v>
      </c>
      <c r="AB176">
        <v>0</v>
      </c>
      <c r="AC176">
        <v>0</v>
      </c>
      <c r="AD176" t="s">
        <v>60</v>
      </c>
      <c r="AE176">
        <v>0</v>
      </c>
      <c r="AF176">
        <v>0</v>
      </c>
      <c r="AG176">
        <v>0</v>
      </c>
      <c r="AH176">
        <v>0</v>
      </c>
      <c r="AI176" t="b">
        <v>0</v>
      </c>
      <c r="AJ176" t="s">
        <v>58</v>
      </c>
      <c r="AK176" t="s">
        <v>58</v>
      </c>
      <c r="AL176" t="s">
        <v>71</v>
      </c>
      <c r="AM176">
        <v>14</v>
      </c>
      <c r="AN176">
        <v>6</v>
      </c>
      <c r="AO176">
        <v>4</v>
      </c>
      <c r="AP176">
        <v>11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s">
        <v>61</v>
      </c>
      <c r="AY176" t="s">
        <v>57</v>
      </c>
      <c r="AZ176" t="s">
        <v>55</v>
      </c>
      <c r="BA176" t="s">
        <v>58</v>
      </c>
      <c r="BB176" t="s">
        <v>58</v>
      </c>
    </row>
    <row r="177" spans="1:54" x14ac:dyDescent="0.25">
      <c r="A177" t="s">
        <v>54</v>
      </c>
      <c r="B177" t="s">
        <v>54</v>
      </c>
      <c r="C177" t="s">
        <v>54</v>
      </c>
      <c r="D177" t="s">
        <v>170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153</v>
      </c>
      <c r="L177">
        <v>-1</v>
      </c>
      <c r="M177">
        <v>0</v>
      </c>
      <c r="N177">
        <v>-1</v>
      </c>
      <c r="O177">
        <v>0</v>
      </c>
      <c r="P177" t="s">
        <v>70</v>
      </c>
      <c r="Q177">
        <v>0</v>
      </c>
      <c r="R177">
        <v>0</v>
      </c>
      <c r="S177">
        <v>1220</v>
      </c>
      <c r="T177" t="s">
        <v>57</v>
      </c>
      <c r="U177">
        <v>0</v>
      </c>
      <c r="V177">
        <v>0</v>
      </c>
      <c r="W177">
        <v>0</v>
      </c>
      <c r="X177">
        <v>0</v>
      </c>
      <c r="Y177" t="s">
        <v>68</v>
      </c>
      <c r="Z177">
        <v>0</v>
      </c>
      <c r="AA177">
        <v>0</v>
      </c>
      <c r="AB177">
        <v>0</v>
      </c>
      <c r="AC177">
        <v>0</v>
      </c>
      <c r="AD177" t="s">
        <v>68</v>
      </c>
      <c r="AE177">
        <v>0</v>
      </c>
      <c r="AF177">
        <v>0</v>
      </c>
      <c r="AG177">
        <v>0</v>
      </c>
      <c r="AH177">
        <v>0</v>
      </c>
      <c r="AI177" t="b">
        <v>0</v>
      </c>
      <c r="AJ177" t="s">
        <v>58</v>
      </c>
      <c r="AK177" t="s">
        <v>58</v>
      </c>
      <c r="AL177" t="s">
        <v>71</v>
      </c>
      <c r="AM177">
        <v>14</v>
      </c>
      <c r="AN177">
        <v>8</v>
      </c>
      <c r="AO177">
        <v>13</v>
      </c>
      <c r="AP177">
        <v>11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s">
        <v>61</v>
      </c>
      <c r="AY177" t="s">
        <v>57</v>
      </c>
      <c r="AZ177" t="s">
        <v>55</v>
      </c>
      <c r="BA177" t="s">
        <v>58</v>
      </c>
      <c r="BB177" t="s">
        <v>58</v>
      </c>
    </row>
    <row r="178" spans="1:54" x14ac:dyDescent="0.25">
      <c r="A178" t="s">
        <v>54</v>
      </c>
      <c r="B178" t="s">
        <v>54</v>
      </c>
      <c r="C178" t="s">
        <v>54</v>
      </c>
      <c r="D178" t="s">
        <v>144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164</v>
      </c>
      <c r="L178">
        <v>-1</v>
      </c>
      <c r="M178">
        <v>0</v>
      </c>
      <c r="N178">
        <v>-1</v>
      </c>
      <c r="O178">
        <v>0</v>
      </c>
      <c r="P178" t="s">
        <v>70</v>
      </c>
      <c r="Q178">
        <v>0</v>
      </c>
      <c r="R178">
        <v>0</v>
      </c>
      <c r="S178">
        <v>1220</v>
      </c>
      <c r="T178" t="s">
        <v>57</v>
      </c>
      <c r="U178">
        <v>0</v>
      </c>
      <c r="V178">
        <v>0</v>
      </c>
      <c r="W178">
        <v>0</v>
      </c>
      <c r="X178">
        <v>0</v>
      </c>
      <c r="Y178" t="s">
        <v>60</v>
      </c>
      <c r="Z178">
        <v>0</v>
      </c>
      <c r="AA178">
        <v>0</v>
      </c>
      <c r="AB178">
        <v>0</v>
      </c>
      <c r="AC178">
        <v>0</v>
      </c>
      <c r="AD178" t="s">
        <v>60</v>
      </c>
      <c r="AE178">
        <v>0</v>
      </c>
      <c r="AF178">
        <v>0</v>
      </c>
      <c r="AG178">
        <v>0</v>
      </c>
      <c r="AH178">
        <v>0</v>
      </c>
      <c r="AI178" t="b">
        <v>0</v>
      </c>
      <c r="AJ178" t="s">
        <v>58</v>
      </c>
      <c r="AK178" t="s">
        <v>58</v>
      </c>
      <c r="AL178" t="s">
        <v>71</v>
      </c>
      <c r="AM178">
        <v>14</v>
      </c>
      <c r="AN178">
        <v>9</v>
      </c>
      <c r="AO178">
        <v>11</v>
      </c>
      <c r="AP178">
        <v>11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s">
        <v>61</v>
      </c>
      <c r="AY178" t="s">
        <v>57</v>
      </c>
      <c r="AZ178" t="s">
        <v>55</v>
      </c>
      <c r="BA178" t="s">
        <v>58</v>
      </c>
      <c r="BB178" t="s">
        <v>58</v>
      </c>
    </row>
    <row r="179" spans="1:54" x14ac:dyDescent="0.25">
      <c r="A179" t="s">
        <v>54</v>
      </c>
      <c r="B179" t="s">
        <v>54</v>
      </c>
      <c r="C179" t="s">
        <v>54</v>
      </c>
      <c r="D179" t="s">
        <v>158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149</v>
      </c>
      <c r="L179">
        <v>-1</v>
      </c>
      <c r="M179">
        <v>0</v>
      </c>
      <c r="N179">
        <v>-1</v>
      </c>
      <c r="O179">
        <v>0</v>
      </c>
      <c r="P179" t="s">
        <v>70</v>
      </c>
      <c r="Q179">
        <v>0</v>
      </c>
      <c r="R179">
        <v>0</v>
      </c>
      <c r="S179">
        <v>780</v>
      </c>
      <c r="T179" t="s">
        <v>57</v>
      </c>
      <c r="U179">
        <v>0</v>
      </c>
      <c r="V179">
        <v>0</v>
      </c>
      <c r="W179">
        <v>0</v>
      </c>
      <c r="X179">
        <v>0</v>
      </c>
      <c r="Y179" t="s">
        <v>67</v>
      </c>
      <c r="Z179">
        <v>0</v>
      </c>
      <c r="AA179">
        <v>0</v>
      </c>
      <c r="AB179">
        <v>0</v>
      </c>
      <c r="AC179">
        <v>0</v>
      </c>
      <c r="AD179" t="s">
        <v>60</v>
      </c>
      <c r="AE179">
        <v>0</v>
      </c>
      <c r="AF179">
        <v>0</v>
      </c>
      <c r="AG179">
        <v>0</v>
      </c>
      <c r="AH179">
        <v>0</v>
      </c>
      <c r="AI179" t="b">
        <v>0</v>
      </c>
      <c r="AJ179" t="s">
        <v>58</v>
      </c>
      <c r="AK179" t="s">
        <v>58</v>
      </c>
      <c r="AL179" t="s">
        <v>71</v>
      </c>
      <c r="AM179">
        <v>14</v>
      </c>
      <c r="AN179">
        <v>6</v>
      </c>
      <c r="AO179">
        <v>5</v>
      </c>
      <c r="AP179">
        <v>11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s">
        <v>61</v>
      </c>
      <c r="AY179" t="s">
        <v>57</v>
      </c>
      <c r="AZ179" t="s">
        <v>55</v>
      </c>
      <c r="BA179" t="s">
        <v>58</v>
      </c>
      <c r="BB179" t="s">
        <v>58</v>
      </c>
    </row>
    <row r="180" spans="1:54" x14ac:dyDescent="0.25">
      <c r="A180" t="s">
        <v>54</v>
      </c>
      <c r="B180" t="s">
        <v>54</v>
      </c>
      <c r="C180" t="s">
        <v>54</v>
      </c>
      <c r="D180" t="s">
        <v>160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148</v>
      </c>
      <c r="L180">
        <v>-1</v>
      </c>
      <c r="M180">
        <v>0</v>
      </c>
      <c r="N180">
        <v>-1</v>
      </c>
      <c r="O180">
        <v>0</v>
      </c>
      <c r="P180" t="s">
        <v>70</v>
      </c>
      <c r="Q180">
        <v>0</v>
      </c>
      <c r="R180">
        <v>0</v>
      </c>
      <c r="S180">
        <v>780</v>
      </c>
      <c r="T180" t="s">
        <v>57</v>
      </c>
      <c r="U180">
        <v>0</v>
      </c>
      <c r="V180">
        <v>0</v>
      </c>
      <c r="W180">
        <v>0</v>
      </c>
      <c r="X180">
        <v>0</v>
      </c>
      <c r="Y180" t="s">
        <v>67</v>
      </c>
      <c r="Z180">
        <v>0</v>
      </c>
      <c r="AA180">
        <v>0</v>
      </c>
      <c r="AB180">
        <v>0</v>
      </c>
      <c r="AC180">
        <v>0</v>
      </c>
      <c r="AD180" t="s">
        <v>60</v>
      </c>
      <c r="AE180">
        <v>0</v>
      </c>
      <c r="AF180">
        <v>0</v>
      </c>
      <c r="AG180">
        <v>0</v>
      </c>
      <c r="AH180">
        <v>0</v>
      </c>
      <c r="AI180" t="b">
        <v>0</v>
      </c>
      <c r="AJ180" t="s">
        <v>58</v>
      </c>
      <c r="AK180" t="s">
        <v>58</v>
      </c>
      <c r="AL180" t="s">
        <v>71</v>
      </c>
      <c r="AM180">
        <v>14</v>
      </c>
      <c r="AN180">
        <v>6</v>
      </c>
      <c r="AO180">
        <v>6</v>
      </c>
      <c r="AP180">
        <v>11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s">
        <v>61</v>
      </c>
      <c r="AY180" t="s">
        <v>57</v>
      </c>
      <c r="AZ180" t="s">
        <v>55</v>
      </c>
      <c r="BA180" t="s">
        <v>58</v>
      </c>
      <c r="BB180" t="s">
        <v>58</v>
      </c>
    </row>
    <row r="181" spans="1:54" x14ac:dyDescent="0.25">
      <c r="A181" t="s">
        <v>54</v>
      </c>
      <c r="B181" t="s">
        <v>54</v>
      </c>
      <c r="C181" t="s">
        <v>54</v>
      </c>
      <c r="D181" t="s">
        <v>157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172</v>
      </c>
      <c r="L181">
        <v>-1</v>
      </c>
      <c r="M181">
        <v>0</v>
      </c>
      <c r="N181">
        <v>-1</v>
      </c>
      <c r="O181">
        <v>0</v>
      </c>
      <c r="P181" t="s">
        <v>70</v>
      </c>
      <c r="Q181">
        <v>0</v>
      </c>
      <c r="R181">
        <v>0</v>
      </c>
      <c r="S181">
        <v>975</v>
      </c>
      <c r="T181" t="s">
        <v>57</v>
      </c>
      <c r="U181">
        <v>0</v>
      </c>
      <c r="V181">
        <v>0</v>
      </c>
      <c r="W181">
        <v>0</v>
      </c>
      <c r="X181">
        <v>0</v>
      </c>
      <c r="Y181" t="s">
        <v>67</v>
      </c>
      <c r="Z181">
        <v>0</v>
      </c>
      <c r="AA181">
        <v>0</v>
      </c>
      <c r="AB181">
        <v>0</v>
      </c>
      <c r="AC181">
        <v>0</v>
      </c>
      <c r="AD181" t="s">
        <v>60</v>
      </c>
      <c r="AE181">
        <v>0</v>
      </c>
      <c r="AF181">
        <v>0</v>
      </c>
      <c r="AG181">
        <v>0</v>
      </c>
      <c r="AH181">
        <v>0</v>
      </c>
      <c r="AI181" t="b">
        <v>0</v>
      </c>
      <c r="AJ181" t="s">
        <v>58</v>
      </c>
      <c r="AK181" t="s">
        <v>58</v>
      </c>
      <c r="AL181" t="s">
        <v>71</v>
      </c>
      <c r="AM181">
        <v>14</v>
      </c>
      <c r="AN181">
        <v>8</v>
      </c>
      <c r="AO181">
        <v>10</v>
      </c>
      <c r="AP181">
        <v>11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s">
        <v>61</v>
      </c>
      <c r="AY181" t="s">
        <v>57</v>
      </c>
      <c r="AZ181" t="s">
        <v>55</v>
      </c>
      <c r="BA181" t="s">
        <v>58</v>
      </c>
      <c r="BB181" t="s">
        <v>58</v>
      </c>
    </row>
    <row r="182" spans="1:54" x14ac:dyDescent="0.25">
      <c r="A182" t="s">
        <v>54</v>
      </c>
      <c r="B182" t="s">
        <v>54</v>
      </c>
      <c r="C182" t="s">
        <v>54</v>
      </c>
      <c r="D182" t="s">
        <v>152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164</v>
      </c>
      <c r="L182">
        <v>-1</v>
      </c>
      <c r="M182">
        <v>0</v>
      </c>
      <c r="N182">
        <v>-1</v>
      </c>
      <c r="O182">
        <v>0</v>
      </c>
      <c r="P182" t="s">
        <v>70</v>
      </c>
      <c r="Q182">
        <v>0</v>
      </c>
      <c r="R182">
        <v>0</v>
      </c>
      <c r="S182">
        <v>1230</v>
      </c>
      <c r="T182" t="s">
        <v>57</v>
      </c>
      <c r="U182">
        <v>0</v>
      </c>
      <c r="V182">
        <v>0</v>
      </c>
      <c r="W182">
        <v>0</v>
      </c>
      <c r="X182">
        <v>0</v>
      </c>
      <c r="Y182" t="s">
        <v>65</v>
      </c>
      <c r="Z182">
        <v>0</v>
      </c>
      <c r="AA182">
        <v>0</v>
      </c>
      <c r="AB182">
        <v>0</v>
      </c>
      <c r="AC182">
        <v>0</v>
      </c>
      <c r="AD182" t="s">
        <v>65</v>
      </c>
      <c r="AE182">
        <v>0</v>
      </c>
      <c r="AF182">
        <v>0</v>
      </c>
      <c r="AG182">
        <v>0</v>
      </c>
      <c r="AH182">
        <v>0</v>
      </c>
      <c r="AI182" t="b">
        <v>0</v>
      </c>
      <c r="AJ182" t="s">
        <v>58</v>
      </c>
      <c r="AK182" t="s">
        <v>58</v>
      </c>
      <c r="AL182" t="s">
        <v>71</v>
      </c>
      <c r="AM182">
        <v>14</v>
      </c>
      <c r="AN182">
        <v>8</v>
      </c>
      <c r="AO182">
        <v>12</v>
      </c>
      <c r="AP182">
        <v>11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s">
        <v>61</v>
      </c>
      <c r="AY182" t="s">
        <v>57</v>
      </c>
      <c r="AZ182" t="s">
        <v>55</v>
      </c>
      <c r="BA182" t="s">
        <v>58</v>
      </c>
      <c r="BB182" t="s">
        <v>58</v>
      </c>
    </row>
    <row r="183" spans="1:54" x14ac:dyDescent="0.25">
      <c r="A183" t="s">
        <v>54</v>
      </c>
      <c r="B183" t="s">
        <v>54</v>
      </c>
      <c r="C183" t="s">
        <v>54</v>
      </c>
      <c r="D183" t="s">
        <v>151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155</v>
      </c>
      <c r="L183">
        <v>-1</v>
      </c>
      <c r="M183">
        <v>0</v>
      </c>
      <c r="N183">
        <v>-1</v>
      </c>
      <c r="O183">
        <v>0</v>
      </c>
      <c r="P183" t="s">
        <v>70</v>
      </c>
      <c r="Q183">
        <v>0</v>
      </c>
      <c r="R183">
        <v>0</v>
      </c>
      <c r="S183">
        <v>780</v>
      </c>
      <c r="T183" t="s">
        <v>57</v>
      </c>
      <c r="U183">
        <v>0</v>
      </c>
      <c r="V183">
        <v>0</v>
      </c>
      <c r="W183">
        <v>0</v>
      </c>
      <c r="X183">
        <v>0</v>
      </c>
      <c r="Y183" t="s">
        <v>67</v>
      </c>
      <c r="Z183">
        <v>0</v>
      </c>
      <c r="AA183">
        <v>0</v>
      </c>
      <c r="AB183">
        <v>0</v>
      </c>
      <c r="AC183">
        <v>0</v>
      </c>
      <c r="AD183" t="s">
        <v>60</v>
      </c>
      <c r="AE183">
        <v>0</v>
      </c>
      <c r="AF183">
        <v>0</v>
      </c>
      <c r="AG183">
        <v>0</v>
      </c>
      <c r="AH183">
        <v>0</v>
      </c>
      <c r="AI183" t="b">
        <v>0</v>
      </c>
      <c r="AJ183" t="s">
        <v>58</v>
      </c>
      <c r="AK183" t="s">
        <v>58</v>
      </c>
      <c r="AL183" t="s">
        <v>71</v>
      </c>
      <c r="AM183">
        <v>14</v>
      </c>
      <c r="AN183">
        <v>9</v>
      </c>
      <c r="AO183">
        <v>0</v>
      </c>
      <c r="AP183">
        <v>11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s">
        <v>61</v>
      </c>
      <c r="AY183" t="s">
        <v>57</v>
      </c>
      <c r="AZ183" t="s">
        <v>55</v>
      </c>
      <c r="BA183" t="s">
        <v>58</v>
      </c>
      <c r="BB183" t="s">
        <v>58</v>
      </c>
    </row>
    <row r="184" spans="1:54" x14ac:dyDescent="0.25">
      <c r="A184" t="s">
        <v>54</v>
      </c>
      <c r="B184" t="s">
        <v>54</v>
      </c>
      <c r="C184" t="s">
        <v>54</v>
      </c>
      <c r="D184" t="s">
        <v>173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146</v>
      </c>
      <c r="L184">
        <v>-1</v>
      </c>
      <c r="M184">
        <v>0</v>
      </c>
      <c r="N184">
        <v>-1</v>
      </c>
      <c r="O184">
        <v>0</v>
      </c>
      <c r="P184" t="s">
        <v>70</v>
      </c>
      <c r="Q184">
        <v>0</v>
      </c>
      <c r="R184">
        <v>0</v>
      </c>
      <c r="S184">
        <v>780</v>
      </c>
      <c r="T184" t="s">
        <v>57</v>
      </c>
      <c r="U184">
        <v>0</v>
      </c>
      <c r="V184">
        <v>0</v>
      </c>
      <c r="W184">
        <v>0</v>
      </c>
      <c r="X184">
        <v>0</v>
      </c>
      <c r="Y184" t="s">
        <v>67</v>
      </c>
      <c r="Z184">
        <v>0</v>
      </c>
      <c r="AA184">
        <v>0</v>
      </c>
      <c r="AB184">
        <v>0</v>
      </c>
      <c r="AC184">
        <v>0</v>
      </c>
      <c r="AD184" t="s">
        <v>60</v>
      </c>
      <c r="AE184">
        <v>0</v>
      </c>
      <c r="AF184">
        <v>0</v>
      </c>
      <c r="AG184">
        <v>0</v>
      </c>
      <c r="AH184">
        <v>0</v>
      </c>
      <c r="AI184" t="b">
        <v>0</v>
      </c>
      <c r="AJ184" t="s">
        <v>58</v>
      </c>
      <c r="AK184" t="s">
        <v>58</v>
      </c>
      <c r="AL184" t="s">
        <v>71</v>
      </c>
      <c r="AM184">
        <v>14</v>
      </c>
      <c r="AN184">
        <v>9</v>
      </c>
      <c r="AO184">
        <v>1</v>
      </c>
      <c r="AP184">
        <v>11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s">
        <v>61</v>
      </c>
      <c r="AY184" t="s">
        <v>57</v>
      </c>
      <c r="AZ184" t="s">
        <v>55</v>
      </c>
      <c r="BA184" t="s">
        <v>58</v>
      </c>
      <c r="BB184" t="s">
        <v>58</v>
      </c>
    </row>
    <row r="185" spans="1:54" x14ac:dyDescent="0.25">
      <c r="A185" t="s">
        <v>54</v>
      </c>
      <c r="B185" t="s">
        <v>54</v>
      </c>
      <c r="C185" t="s">
        <v>54</v>
      </c>
      <c r="D185" t="s">
        <v>167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146</v>
      </c>
      <c r="L185">
        <v>-1</v>
      </c>
      <c r="M185">
        <v>0</v>
      </c>
      <c r="N185">
        <v>-1</v>
      </c>
      <c r="O185">
        <v>0</v>
      </c>
      <c r="P185" t="s">
        <v>70</v>
      </c>
      <c r="Q185">
        <v>0</v>
      </c>
      <c r="R185">
        <v>0</v>
      </c>
      <c r="S185">
        <v>965</v>
      </c>
      <c r="T185" t="s">
        <v>57</v>
      </c>
      <c r="U185">
        <v>0</v>
      </c>
      <c r="V185">
        <v>0</v>
      </c>
      <c r="W185">
        <v>0</v>
      </c>
      <c r="X185">
        <v>0</v>
      </c>
      <c r="Y185" t="s">
        <v>67</v>
      </c>
      <c r="Z185">
        <v>0</v>
      </c>
      <c r="AA185">
        <v>0</v>
      </c>
      <c r="AB185">
        <v>0</v>
      </c>
      <c r="AC185">
        <v>0</v>
      </c>
      <c r="AD185" t="s">
        <v>60</v>
      </c>
      <c r="AE185">
        <v>0</v>
      </c>
      <c r="AF185">
        <v>0</v>
      </c>
      <c r="AG185">
        <v>0</v>
      </c>
      <c r="AH185">
        <v>0</v>
      </c>
      <c r="AI185" t="b">
        <v>0</v>
      </c>
      <c r="AJ185" t="s">
        <v>58</v>
      </c>
      <c r="AK185" t="s">
        <v>58</v>
      </c>
      <c r="AL185" t="s">
        <v>71</v>
      </c>
      <c r="AM185">
        <v>14</v>
      </c>
      <c r="AN185">
        <v>8</v>
      </c>
      <c r="AO185">
        <v>7</v>
      </c>
      <c r="AP185">
        <v>11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s">
        <v>61</v>
      </c>
      <c r="AY185" t="s">
        <v>57</v>
      </c>
      <c r="AZ185" t="s">
        <v>55</v>
      </c>
      <c r="BA185" t="s">
        <v>58</v>
      </c>
      <c r="BB185" t="s">
        <v>58</v>
      </c>
    </row>
    <row r="186" spans="1:54" x14ac:dyDescent="0.25">
      <c r="A186" t="s">
        <v>54</v>
      </c>
      <c r="B186" t="s">
        <v>54</v>
      </c>
      <c r="C186" t="s">
        <v>54</v>
      </c>
      <c r="D186" t="s">
        <v>169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166</v>
      </c>
      <c r="L186">
        <v>-1</v>
      </c>
      <c r="M186">
        <v>0</v>
      </c>
      <c r="N186">
        <v>-1</v>
      </c>
      <c r="O186">
        <v>0</v>
      </c>
      <c r="P186" t="s">
        <v>70</v>
      </c>
      <c r="Q186">
        <v>0</v>
      </c>
      <c r="R186">
        <v>0</v>
      </c>
      <c r="S186">
        <v>780</v>
      </c>
      <c r="T186" t="s">
        <v>57</v>
      </c>
      <c r="U186">
        <v>0</v>
      </c>
      <c r="V186">
        <v>0</v>
      </c>
      <c r="W186">
        <v>0</v>
      </c>
      <c r="X186">
        <v>0</v>
      </c>
      <c r="Y186" t="s">
        <v>67</v>
      </c>
      <c r="Z186">
        <v>0</v>
      </c>
      <c r="AA186">
        <v>0</v>
      </c>
      <c r="AB186">
        <v>0</v>
      </c>
      <c r="AC186">
        <v>0</v>
      </c>
      <c r="AD186" t="s">
        <v>60</v>
      </c>
      <c r="AE186">
        <v>0</v>
      </c>
      <c r="AF186">
        <v>0</v>
      </c>
      <c r="AG186">
        <v>0</v>
      </c>
      <c r="AH186">
        <v>0</v>
      </c>
      <c r="AI186" t="b">
        <v>0</v>
      </c>
      <c r="AJ186" t="s">
        <v>58</v>
      </c>
      <c r="AK186" t="s">
        <v>58</v>
      </c>
      <c r="AL186" t="s">
        <v>71</v>
      </c>
      <c r="AM186">
        <v>14</v>
      </c>
      <c r="AN186">
        <v>10</v>
      </c>
      <c r="AO186">
        <v>0</v>
      </c>
      <c r="AP186">
        <v>11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s">
        <v>61</v>
      </c>
      <c r="AY186" t="s">
        <v>57</v>
      </c>
      <c r="AZ186" t="s">
        <v>55</v>
      </c>
      <c r="BA186" t="s">
        <v>58</v>
      </c>
      <c r="BB186" t="s">
        <v>58</v>
      </c>
    </row>
    <row r="187" spans="1:54" x14ac:dyDescent="0.25">
      <c r="A187" t="s">
        <v>54</v>
      </c>
      <c r="B187" t="s">
        <v>54</v>
      </c>
      <c r="C187" t="s">
        <v>54</v>
      </c>
      <c r="D187" t="s">
        <v>174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171</v>
      </c>
      <c r="L187">
        <v>-1</v>
      </c>
      <c r="M187">
        <v>0</v>
      </c>
      <c r="N187">
        <v>-1</v>
      </c>
      <c r="O187">
        <v>0</v>
      </c>
      <c r="P187" t="s">
        <v>70</v>
      </c>
      <c r="Q187">
        <v>0</v>
      </c>
      <c r="R187">
        <v>0</v>
      </c>
      <c r="S187">
        <v>975</v>
      </c>
      <c r="T187" t="s">
        <v>57</v>
      </c>
      <c r="U187">
        <v>0</v>
      </c>
      <c r="V187">
        <v>0</v>
      </c>
      <c r="W187">
        <v>0</v>
      </c>
      <c r="X187">
        <v>0</v>
      </c>
      <c r="Y187" t="s">
        <v>67</v>
      </c>
      <c r="Z187">
        <v>0</v>
      </c>
      <c r="AA187">
        <v>0</v>
      </c>
      <c r="AB187">
        <v>0</v>
      </c>
      <c r="AC187">
        <v>0</v>
      </c>
      <c r="AD187" t="s">
        <v>60</v>
      </c>
      <c r="AE187">
        <v>0</v>
      </c>
      <c r="AF187">
        <v>0</v>
      </c>
      <c r="AG187">
        <v>0</v>
      </c>
      <c r="AH187">
        <v>0</v>
      </c>
      <c r="AI187" t="b">
        <v>0</v>
      </c>
      <c r="AJ187" t="s">
        <v>58</v>
      </c>
      <c r="AK187" t="s">
        <v>58</v>
      </c>
      <c r="AL187" t="s">
        <v>71</v>
      </c>
      <c r="AM187">
        <v>14</v>
      </c>
      <c r="AN187">
        <v>9</v>
      </c>
      <c r="AO187">
        <v>9</v>
      </c>
      <c r="AP187">
        <v>11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s">
        <v>61</v>
      </c>
      <c r="AY187" t="s">
        <v>57</v>
      </c>
      <c r="AZ187" t="s">
        <v>55</v>
      </c>
      <c r="BA187" t="s">
        <v>58</v>
      </c>
      <c r="BB187" t="s">
        <v>58</v>
      </c>
    </row>
    <row r="188" spans="1:54" x14ac:dyDescent="0.25">
      <c r="A188" t="s">
        <v>54</v>
      </c>
      <c r="B188" t="s">
        <v>54</v>
      </c>
      <c r="C188" t="s">
        <v>54</v>
      </c>
      <c r="D188" t="s">
        <v>165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167</v>
      </c>
      <c r="L188">
        <v>-1</v>
      </c>
      <c r="M188">
        <v>0</v>
      </c>
      <c r="N188">
        <v>-1</v>
      </c>
      <c r="O188">
        <v>0</v>
      </c>
      <c r="P188" t="s">
        <v>70</v>
      </c>
      <c r="Q188">
        <v>0</v>
      </c>
      <c r="R188">
        <v>0</v>
      </c>
      <c r="S188">
        <v>965</v>
      </c>
      <c r="T188" t="s">
        <v>57</v>
      </c>
      <c r="U188">
        <v>0</v>
      </c>
      <c r="V188">
        <v>0</v>
      </c>
      <c r="W188">
        <v>0</v>
      </c>
      <c r="X188">
        <v>0</v>
      </c>
      <c r="Y188" t="s">
        <v>67</v>
      </c>
      <c r="Z188">
        <v>0</v>
      </c>
      <c r="AA188">
        <v>0</v>
      </c>
      <c r="AB188">
        <v>0</v>
      </c>
      <c r="AC188">
        <v>0</v>
      </c>
      <c r="AD188" t="s">
        <v>60</v>
      </c>
      <c r="AE188">
        <v>0</v>
      </c>
      <c r="AF188">
        <v>0</v>
      </c>
      <c r="AG188">
        <v>0</v>
      </c>
      <c r="AH188">
        <v>0</v>
      </c>
      <c r="AI188" t="b">
        <v>0</v>
      </c>
      <c r="AJ188" t="s">
        <v>58</v>
      </c>
      <c r="AK188" t="s">
        <v>58</v>
      </c>
      <c r="AL188" t="s">
        <v>71</v>
      </c>
      <c r="AM188">
        <v>14</v>
      </c>
      <c r="AN188">
        <v>9</v>
      </c>
      <c r="AO188">
        <v>7</v>
      </c>
      <c r="AP188">
        <v>11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s">
        <v>61</v>
      </c>
      <c r="AY188" t="s">
        <v>57</v>
      </c>
      <c r="AZ188" t="s">
        <v>55</v>
      </c>
      <c r="BA188" t="s">
        <v>58</v>
      </c>
      <c r="BB188" t="s">
        <v>58</v>
      </c>
    </row>
    <row r="189" spans="1:54" x14ac:dyDescent="0.25">
      <c r="A189" t="s">
        <v>54</v>
      </c>
      <c r="B189" t="s">
        <v>54</v>
      </c>
      <c r="C189" t="s">
        <v>54</v>
      </c>
      <c r="D189" t="s">
        <v>163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153</v>
      </c>
      <c r="L189">
        <v>-1</v>
      </c>
      <c r="M189">
        <v>0</v>
      </c>
      <c r="N189">
        <v>-1</v>
      </c>
      <c r="O189">
        <v>0</v>
      </c>
      <c r="P189" t="s">
        <v>70</v>
      </c>
      <c r="Q189">
        <v>0</v>
      </c>
      <c r="R189">
        <v>0</v>
      </c>
      <c r="S189">
        <v>780</v>
      </c>
      <c r="T189" t="s">
        <v>57</v>
      </c>
      <c r="U189">
        <v>0</v>
      </c>
      <c r="V189">
        <v>0</v>
      </c>
      <c r="W189">
        <v>0</v>
      </c>
      <c r="X189">
        <v>0</v>
      </c>
      <c r="Y189" t="s">
        <v>67</v>
      </c>
      <c r="Z189">
        <v>0</v>
      </c>
      <c r="AA189">
        <v>0</v>
      </c>
      <c r="AB189">
        <v>0</v>
      </c>
      <c r="AC189">
        <v>0</v>
      </c>
      <c r="AD189" t="s">
        <v>60</v>
      </c>
      <c r="AE189">
        <v>0</v>
      </c>
      <c r="AF189">
        <v>0</v>
      </c>
      <c r="AG189">
        <v>0</v>
      </c>
      <c r="AH189">
        <v>0</v>
      </c>
      <c r="AI189" t="b">
        <v>0</v>
      </c>
      <c r="AJ189" t="s">
        <v>58</v>
      </c>
      <c r="AK189" t="s">
        <v>58</v>
      </c>
      <c r="AL189" t="s">
        <v>71</v>
      </c>
      <c r="AM189">
        <v>14</v>
      </c>
      <c r="AN189">
        <v>9</v>
      </c>
      <c r="AO189">
        <v>2</v>
      </c>
      <c r="AP189">
        <v>11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s">
        <v>61</v>
      </c>
      <c r="AY189" t="s">
        <v>57</v>
      </c>
      <c r="AZ189" t="s">
        <v>55</v>
      </c>
      <c r="BA189" t="s">
        <v>58</v>
      </c>
      <c r="BB189" t="s">
        <v>58</v>
      </c>
    </row>
    <row r="190" spans="1:54" x14ac:dyDescent="0.25">
      <c r="A190" t="s">
        <v>54</v>
      </c>
      <c r="B190" t="s">
        <v>54</v>
      </c>
      <c r="C190" t="s">
        <v>54</v>
      </c>
      <c r="D190" t="s">
        <v>160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168</v>
      </c>
      <c r="L190">
        <v>-1</v>
      </c>
      <c r="M190">
        <v>0</v>
      </c>
      <c r="N190">
        <v>-1</v>
      </c>
      <c r="O190">
        <v>0</v>
      </c>
      <c r="P190" t="s">
        <v>70</v>
      </c>
      <c r="Q190">
        <v>0</v>
      </c>
      <c r="R190">
        <v>0</v>
      </c>
      <c r="S190">
        <v>975</v>
      </c>
      <c r="T190" t="s">
        <v>57</v>
      </c>
      <c r="U190">
        <v>0</v>
      </c>
      <c r="V190">
        <v>0</v>
      </c>
      <c r="W190">
        <v>0</v>
      </c>
      <c r="X190">
        <v>0</v>
      </c>
      <c r="Y190" t="s">
        <v>67</v>
      </c>
      <c r="Z190">
        <v>0</v>
      </c>
      <c r="AA190">
        <v>0</v>
      </c>
      <c r="AB190">
        <v>0</v>
      </c>
      <c r="AC190">
        <v>0</v>
      </c>
      <c r="AD190" t="s">
        <v>60</v>
      </c>
      <c r="AE190">
        <v>0</v>
      </c>
      <c r="AF190">
        <v>0</v>
      </c>
      <c r="AG190">
        <v>0</v>
      </c>
      <c r="AH190">
        <v>0</v>
      </c>
      <c r="AI190" t="b">
        <v>0</v>
      </c>
      <c r="AJ190" t="s">
        <v>58</v>
      </c>
      <c r="AK190" t="s">
        <v>58</v>
      </c>
      <c r="AL190" t="s">
        <v>71</v>
      </c>
      <c r="AM190">
        <v>14</v>
      </c>
      <c r="AN190">
        <v>7</v>
      </c>
      <c r="AO190">
        <v>11</v>
      </c>
      <c r="AP190">
        <v>11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s">
        <v>61</v>
      </c>
      <c r="AY190" t="s">
        <v>57</v>
      </c>
      <c r="AZ190" t="s">
        <v>55</v>
      </c>
      <c r="BA190" t="s">
        <v>58</v>
      </c>
      <c r="BB190" t="s">
        <v>58</v>
      </c>
    </row>
    <row r="191" spans="1:54" x14ac:dyDescent="0.25">
      <c r="A191" t="s">
        <v>54</v>
      </c>
      <c r="B191" t="s">
        <v>54</v>
      </c>
      <c r="C191" t="s">
        <v>54</v>
      </c>
      <c r="D191" t="s">
        <v>157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156</v>
      </c>
      <c r="L191">
        <v>-1</v>
      </c>
      <c r="M191">
        <v>0</v>
      </c>
      <c r="N191">
        <v>-1</v>
      </c>
      <c r="O191">
        <v>0</v>
      </c>
      <c r="P191" t="s">
        <v>70</v>
      </c>
      <c r="Q191">
        <v>0</v>
      </c>
      <c r="R191">
        <v>0</v>
      </c>
      <c r="S191">
        <v>1220</v>
      </c>
      <c r="T191" t="s">
        <v>57</v>
      </c>
      <c r="U191">
        <v>0</v>
      </c>
      <c r="V191">
        <v>0</v>
      </c>
      <c r="W191">
        <v>0</v>
      </c>
      <c r="X191">
        <v>0</v>
      </c>
      <c r="Y191" t="s">
        <v>68</v>
      </c>
      <c r="Z191">
        <v>0</v>
      </c>
      <c r="AA191">
        <v>0</v>
      </c>
      <c r="AB191">
        <v>0</v>
      </c>
      <c r="AC191">
        <v>0</v>
      </c>
      <c r="AD191" t="s">
        <v>68</v>
      </c>
      <c r="AE191">
        <v>0</v>
      </c>
      <c r="AF191">
        <v>0</v>
      </c>
      <c r="AG191">
        <v>0</v>
      </c>
      <c r="AH191">
        <v>0</v>
      </c>
      <c r="AI191" t="b">
        <v>0</v>
      </c>
      <c r="AJ191" t="s">
        <v>58</v>
      </c>
      <c r="AK191" t="s">
        <v>58</v>
      </c>
      <c r="AL191" t="s">
        <v>71</v>
      </c>
      <c r="AM191">
        <v>14</v>
      </c>
      <c r="AN191">
        <v>10</v>
      </c>
      <c r="AO191">
        <v>14</v>
      </c>
      <c r="AP191">
        <v>11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s">
        <v>61</v>
      </c>
      <c r="AY191" t="s">
        <v>57</v>
      </c>
      <c r="AZ191" t="s">
        <v>55</v>
      </c>
      <c r="BA191" t="s">
        <v>58</v>
      </c>
      <c r="BB191" t="s">
        <v>58</v>
      </c>
    </row>
    <row r="192" spans="1:54" x14ac:dyDescent="0.25">
      <c r="A192" t="s">
        <v>54</v>
      </c>
      <c r="B192" t="s">
        <v>54</v>
      </c>
      <c r="C192" t="s">
        <v>54</v>
      </c>
      <c r="D192" t="s">
        <v>161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162</v>
      </c>
      <c r="L192">
        <v>-1</v>
      </c>
      <c r="M192">
        <v>0</v>
      </c>
      <c r="N192">
        <v>-1</v>
      </c>
      <c r="O192">
        <v>0</v>
      </c>
      <c r="P192" t="s">
        <v>70</v>
      </c>
      <c r="Q192">
        <v>0</v>
      </c>
      <c r="R192">
        <v>0</v>
      </c>
      <c r="S192">
        <v>780</v>
      </c>
      <c r="T192" t="s">
        <v>57</v>
      </c>
      <c r="U192">
        <v>0</v>
      </c>
      <c r="V192">
        <v>0</v>
      </c>
      <c r="W192">
        <v>0</v>
      </c>
      <c r="X192">
        <v>0</v>
      </c>
      <c r="Y192" t="s">
        <v>67</v>
      </c>
      <c r="Z192">
        <v>0</v>
      </c>
      <c r="AA192">
        <v>0</v>
      </c>
      <c r="AB192">
        <v>0</v>
      </c>
      <c r="AC192">
        <v>0</v>
      </c>
      <c r="AD192" t="s">
        <v>60</v>
      </c>
      <c r="AE192">
        <v>0</v>
      </c>
      <c r="AF192">
        <v>0</v>
      </c>
      <c r="AG192">
        <v>0</v>
      </c>
      <c r="AH192">
        <v>0</v>
      </c>
      <c r="AI192" t="b">
        <v>0</v>
      </c>
      <c r="AJ192" t="s">
        <v>58</v>
      </c>
      <c r="AK192" t="s">
        <v>58</v>
      </c>
      <c r="AL192" t="s">
        <v>71</v>
      </c>
      <c r="AM192">
        <v>14</v>
      </c>
      <c r="AN192">
        <v>9</v>
      </c>
      <c r="AO192">
        <v>3</v>
      </c>
      <c r="AP192">
        <v>11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s">
        <v>61</v>
      </c>
      <c r="AY192" t="s">
        <v>57</v>
      </c>
      <c r="AZ192" t="s">
        <v>55</v>
      </c>
      <c r="BA192" t="s">
        <v>58</v>
      </c>
      <c r="BB192" t="s">
        <v>58</v>
      </c>
    </row>
    <row r="193" spans="1:54" x14ac:dyDescent="0.25">
      <c r="A193" t="s">
        <v>54</v>
      </c>
      <c r="B193" t="s">
        <v>54</v>
      </c>
      <c r="C193" t="s">
        <v>54</v>
      </c>
      <c r="D193" t="s">
        <v>148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166</v>
      </c>
      <c r="L193">
        <v>-1</v>
      </c>
      <c r="M193">
        <v>0</v>
      </c>
      <c r="N193">
        <v>-1</v>
      </c>
      <c r="O193">
        <v>0</v>
      </c>
      <c r="P193" t="s">
        <v>70</v>
      </c>
      <c r="Q193">
        <v>0</v>
      </c>
      <c r="R193">
        <v>0</v>
      </c>
      <c r="S193">
        <v>780</v>
      </c>
      <c r="T193" t="s">
        <v>57</v>
      </c>
      <c r="U193">
        <v>0</v>
      </c>
      <c r="V193">
        <v>0</v>
      </c>
      <c r="W193">
        <v>0</v>
      </c>
      <c r="X193">
        <v>0</v>
      </c>
      <c r="Y193" t="s">
        <v>67</v>
      </c>
      <c r="Z193">
        <v>0</v>
      </c>
      <c r="AA193">
        <v>0</v>
      </c>
      <c r="AB193">
        <v>0</v>
      </c>
      <c r="AC193">
        <v>0</v>
      </c>
      <c r="AD193" t="s">
        <v>60</v>
      </c>
      <c r="AE193">
        <v>0</v>
      </c>
      <c r="AF193">
        <v>0</v>
      </c>
      <c r="AG193">
        <v>0</v>
      </c>
      <c r="AH193">
        <v>0</v>
      </c>
      <c r="AI193" t="b">
        <v>0</v>
      </c>
      <c r="AJ193" t="s">
        <v>58</v>
      </c>
      <c r="AK193" t="s">
        <v>58</v>
      </c>
      <c r="AL193" t="s">
        <v>71</v>
      </c>
      <c r="AM193">
        <v>14</v>
      </c>
      <c r="AN193">
        <v>7</v>
      </c>
      <c r="AO193">
        <v>7</v>
      </c>
      <c r="AP193">
        <v>11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s">
        <v>61</v>
      </c>
      <c r="AY193" t="s">
        <v>57</v>
      </c>
      <c r="AZ193" t="s">
        <v>55</v>
      </c>
      <c r="BA193" t="s">
        <v>58</v>
      </c>
      <c r="BB193" t="s">
        <v>58</v>
      </c>
    </row>
    <row r="194" spans="1:54" x14ac:dyDescent="0.25">
      <c r="A194" t="s">
        <v>54</v>
      </c>
      <c r="B194" t="s">
        <v>54</v>
      </c>
      <c r="C194" t="s">
        <v>54</v>
      </c>
      <c r="D194" t="s">
        <v>145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159</v>
      </c>
      <c r="L194">
        <v>-1</v>
      </c>
      <c r="M194">
        <v>0</v>
      </c>
      <c r="N194">
        <v>-1</v>
      </c>
      <c r="O194">
        <v>0</v>
      </c>
      <c r="P194" t="s">
        <v>70</v>
      </c>
      <c r="Q194">
        <v>0</v>
      </c>
      <c r="R194">
        <v>0</v>
      </c>
      <c r="S194">
        <v>780</v>
      </c>
      <c r="T194" t="s">
        <v>57</v>
      </c>
      <c r="U194">
        <v>0</v>
      </c>
      <c r="V194">
        <v>0</v>
      </c>
      <c r="W194">
        <v>0</v>
      </c>
      <c r="X194">
        <v>0</v>
      </c>
      <c r="Y194" t="s">
        <v>67</v>
      </c>
      <c r="Z194">
        <v>0</v>
      </c>
      <c r="AA194">
        <v>0</v>
      </c>
      <c r="AB194">
        <v>0</v>
      </c>
      <c r="AC194">
        <v>0</v>
      </c>
      <c r="AD194" t="s">
        <v>60</v>
      </c>
      <c r="AE194">
        <v>0</v>
      </c>
      <c r="AF194">
        <v>0</v>
      </c>
      <c r="AG194">
        <v>0</v>
      </c>
      <c r="AH194">
        <v>0</v>
      </c>
      <c r="AI194" t="b">
        <v>0</v>
      </c>
      <c r="AJ194" t="s">
        <v>58</v>
      </c>
      <c r="AK194" t="s">
        <v>58</v>
      </c>
      <c r="AL194" t="s">
        <v>71</v>
      </c>
      <c r="AM194">
        <v>14</v>
      </c>
      <c r="AN194">
        <v>9</v>
      </c>
      <c r="AO194">
        <v>4</v>
      </c>
      <c r="AP194">
        <v>11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s">
        <v>61</v>
      </c>
      <c r="AY194" t="s">
        <v>57</v>
      </c>
      <c r="AZ194" t="s">
        <v>55</v>
      </c>
      <c r="BA194" t="s">
        <v>58</v>
      </c>
      <c r="BB194" t="s">
        <v>58</v>
      </c>
    </row>
    <row r="195" spans="1:54" x14ac:dyDescent="0.25">
      <c r="A195" t="s">
        <v>54</v>
      </c>
      <c r="B195" t="s">
        <v>54</v>
      </c>
      <c r="C195" t="s">
        <v>54</v>
      </c>
      <c r="D195" t="s">
        <v>168</v>
      </c>
      <c r="E195" t="s">
        <v>54</v>
      </c>
      <c r="F195" t="s">
        <v>54</v>
      </c>
      <c r="G195" t="s">
        <v>54</v>
      </c>
      <c r="H195" t="s">
        <v>54</v>
      </c>
      <c r="I195" t="s">
        <v>54</v>
      </c>
      <c r="J195" t="s">
        <v>54</v>
      </c>
      <c r="K195" t="s">
        <v>150</v>
      </c>
      <c r="L195">
        <v>-1</v>
      </c>
      <c r="M195">
        <v>0</v>
      </c>
      <c r="N195">
        <v>-1</v>
      </c>
      <c r="O195">
        <v>0</v>
      </c>
      <c r="P195" t="s">
        <v>70</v>
      </c>
      <c r="Q195">
        <v>0</v>
      </c>
      <c r="R195">
        <v>0</v>
      </c>
      <c r="S195">
        <v>965</v>
      </c>
      <c r="T195" t="s">
        <v>57</v>
      </c>
      <c r="U195">
        <v>0</v>
      </c>
      <c r="V195">
        <v>0</v>
      </c>
      <c r="W195">
        <v>0</v>
      </c>
      <c r="X195">
        <v>0</v>
      </c>
      <c r="Y195" t="s">
        <v>67</v>
      </c>
      <c r="Z195">
        <v>0</v>
      </c>
      <c r="AA195">
        <v>0</v>
      </c>
      <c r="AB195">
        <v>0</v>
      </c>
      <c r="AC195">
        <v>0</v>
      </c>
      <c r="AD195" t="s">
        <v>60</v>
      </c>
      <c r="AE195">
        <v>0</v>
      </c>
      <c r="AF195">
        <v>0</v>
      </c>
      <c r="AG195">
        <v>0</v>
      </c>
      <c r="AH195">
        <v>0</v>
      </c>
      <c r="AI195" t="b">
        <v>0</v>
      </c>
      <c r="AJ195" t="s">
        <v>58</v>
      </c>
      <c r="AK195" t="s">
        <v>58</v>
      </c>
      <c r="AL195" t="s">
        <v>71</v>
      </c>
      <c r="AM195">
        <v>14</v>
      </c>
      <c r="AN195">
        <v>10</v>
      </c>
      <c r="AO195">
        <v>8</v>
      </c>
      <c r="AP195">
        <v>11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s">
        <v>61</v>
      </c>
      <c r="AY195" t="s">
        <v>57</v>
      </c>
      <c r="AZ195" t="s">
        <v>55</v>
      </c>
      <c r="BA195" t="s">
        <v>58</v>
      </c>
      <c r="BB195" t="s">
        <v>58</v>
      </c>
    </row>
    <row r="196" spans="1:54" x14ac:dyDescent="0.25">
      <c r="A196" t="s">
        <v>54</v>
      </c>
      <c r="B196" t="s">
        <v>54</v>
      </c>
      <c r="C196" t="s">
        <v>54</v>
      </c>
      <c r="D196" t="s">
        <v>158</v>
      </c>
      <c r="E196" t="s">
        <v>54</v>
      </c>
      <c r="F196" t="s">
        <v>54</v>
      </c>
      <c r="G196" t="s">
        <v>54</v>
      </c>
      <c r="H196" t="s">
        <v>54</v>
      </c>
      <c r="I196" t="s">
        <v>54</v>
      </c>
      <c r="J196" t="s">
        <v>54</v>
      </c>
      <c r="K196" t="s">
        <v>151</v>
      </c>
      <c r="L196">
        <v>-1</v>
      </c>
      <c r="M196">
        <v>0</v>
      </c>
      <c r="N196">
        <v>-1</v>
      </c>
      <c r="O196">
        <v>0</v>
      </c>
      <c r="P196" t="s">
        <v>70</v>
      </c>
      <c r="Q196">
        <v>0</v>
      </c>
      <c r="R196">
        <v>0</v>
      </c>
      <c r="S196">
        <v>965</v>
      </c>
      <c r="T196" t="s">
        <v>57</v>
      </c>
      <c r="U196">
        <v>0</v>
      </c>
      <c r="V196">
        <v>0</v>
      </c>
      <c r="W196">
        <v>0</v>
      </c>
      <c r="X196">
        <v>0</v>
      </c>
      <c r="Y196" t="s">
        <v>67</v>
      </c>
      <c r="Z196">
        <v>0</v>
      </c>
      <c r="AA196">
        <v>0</v>
      </c>
      <c r="AB196">
        <v>0</v>
      </c>
      <c r="AC196">
        <v>0</v>
      </c>
      <c r="AD196" t="s">
        <v>60</v>
      </c>
      <c r="AE196">
        <v>0</v>
      </c>
      <c r="AF196">
        <v>0</v>
      </c>
      <c r="AG196">
        <v>0</v>
      </c>
      <c r="AH196">
        <v>0</v>
      </c>
      <c r="AI196" t="b">
        <v>0</v>
      </c>
      <c r="AJ196" t="s">
        <v>58</v>
      </c>
      <c r="AK196" t="s">
        <v>58</v>
      </c>
      <c r="AL196" t="s">
        <v>71</v>
      </c>
      <c r="AM196">
        <v>14</v>
      </c>
      <c r="AN196">
        <v>10</v>
      </c>
      <c r="AO196">
        <v>9</v>
      </c>
      <c r="AP196">
        <v>11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s">
        <v>61</v>
      </c>
      <c r="AY196" t="s">
        <v>57</v>
      </c>
      <c r="AZ196" t="s">
        <v>55</v>
      </c>
      <c r="BA196" t="s">
        <v>58</v>
      </c>
      <c r="BB196" t="s">
        <v>58</v>
      </c>
    </row>
    <row r="197" spans="1:54" x14ac:dyDescent="0.25">
      <c r="A197" t="s">
        <v>54</v>
      </c>
      <c r="B197" t="s">
        <v>54</v>
      </c>
      <c r="C197" t="s">
        <v>54</v>
      </c>
      <c r="D197" t="s">
        <v>159</v>
      </c>
      <c r="E197" t="s">
        <v>54</v>
      </c>
      <c r="F197" t="s">
        <v>54</v>
      </c>
      <c r="G197" t="s">
        <v>54</v>
      </c>
      <c r="H197" t="s">
        <v>54</v>
      </c>
      <c r="I197" t="s">
        <v>54</v>
      </c>
      <c r="J197" t="s">
        <v>54</v>
      </c>
      <c r="K197" t="s">
        <v>172</v>
      </c>
      <c r="L197">
        <v>-1</v>
      </c>
      <c r="M197">
        <v>0</v>
      </c>
      <c r="N197">
        <v>-1</v>
      </c>
      <c r="O197">
        <v>0</v>
      </c>
      <c r="P197" t="s">
        <v>70</v>
      </c>
      <c r="Q197">
        <v>0</v>
      </c>
      <c r="R197">
        <v>0</v>
      </c>
      <c r="S197">
        <v>780</v>
      </c>
      <c r="T197" t="s">
        <v>57</v>
      </c>
      <c r="U197">
        <v>0</v>
      </c>
      <c r="V197">
        <v>0</v>
      </c>
      <c r="W197">
        <v>0</v>
      </c>
      <c r="X197">
        <v>0</v>
      </c>
      <c r="Y197" t="s">
        <v>67</v>
      </c>
      <c r="Z197">
        <v>0</v>
      </c>
      <c r="AA197">
        <v>0</v>
      </c>
      <c r="AB197">
        <v>0</v>
      </c>
      <c r="AC197">
        <v>0</v>
      </c>
      <c r="AD197" t="s">
        <v>60</v>
      </c>
      <c r="AE197">
        <v>0</v>
      </c>
      <c r="AF197">
        <v>0</v>
      </c>
      <c r="AG197">
        <v>0</v>
      </c>
      <c r="AH197">
        <v>0</v>
      </c>
      <c r="AI197" t="b">
        <v>0</v>
      </c>
      <c r="AJ197" t="s">
        <v>58</v>
      </c>
      <c r="AK197" t="s">
        <v>58</v>
      </c>
      <c r="AL197" t="s">
        <v>71</v>
      </c>
      <c r="AM197">
        <v>14</v>
      </c>
      <c r="AN197">
        <v>10</v>
      </c>
      <c r="AO197">
        <v>1</v>
      </c>
      <c r="AP197">
        <v>11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s">
        <v>61</v>
      </c>
      <c r="AY197" t="s">
        <v>57</v>
      </c>
      <c r="AZ197" t="s">
        <v>55</v>
      </c>
      <c r="BA197" t="s">
        <v>58</v>
      </c>
      <c r="BB197" t="s">
        <v>58</v>
      </c>
    </row>
    <row r="198" spans="1:54" x14ac:dyDescent="0.25">
      <c r="A198" t="s">
        <v>54</v>
      </c>
      <c r="B198" t="s">
        <v>54</v>
      </c>
      <c r="C198" t="s">
        <v>54</v>
      </c>
      <c r="D198" t="s">
        <v>152</v>
      </c>
      <c r="E198" t="s">
        <v>54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169</v>
      </c>
      <c r="L198">
        <v>-1</v>
      </c>
      <c r="M198">
        <v>0</v>
      </c>
      <c r="N198">
        <v>-1</v>
      </c>
      <c r="O198">
        <v>0</v>
      </c>
      <c r="P198" t="s">
        <v>70</v>
      </c>
      <c r="Q198">
        <v>0</v>
      </c>
      <c r="R198">
        <v>0</v>
      </c>
      <c r="S198">
        <v>780</v>
      </c>
      <c r="T198" t="s">
        <v>57</v>
      </c>
      <c r="U198">
        <v>0</v>
      </c>
      <c r="V198">
        <v>0</v>
      </c>
      <c r="W198">
        <v>0</v>
      </c>
      <c r="X198">
        <v>0</v>
      </c>
      <c r="Y198" t="s">
        <v>67</v>
      </c>
      <c r="Z198">
        <v>0</v>
      </c>
      <c r="AA198">
        <v>0</v>
      </c>
      <c r="AB198">
        <v>0</v>
      </c>
      <c r="AC198">
        <v>0</v>
      </c>
      <c r="AD198" t="s">
        <v>60</v>
      </c>
      <c r="AE198">
        <v>0</v>
      </c>
      <c r="AF198">
        <v>0</v>
      </c>
      <c r="AG198">
        <v>0</v>
      </c>
      <c r="AH198">
        <v>0</v>
      </c>
      <c r="AI198" t="b">
        <v>0</v>
      </c>
      <c r="AJ198" t="s">
        <v>58</v>
      </c>
      <c r="AK198" t="s">
        <v>58</v>
      </c>
      <c r="AL198" t="s">
        <v>71</v>
      </c>
      <c r="AM198">
        <v>14</v>
      </c>
      <c r="AN198">
        <v>11</v>
      </c>
      <c r="AO198">
        <v>0</v>
      </c>
      <c r="AP198">
        <v>11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s">
        <v>61</v>
      </c>
      <c r="AY198" t="s">
        <v>57</v>
      </c>
      <c r="AZ198" t="s">
        <v>55</v>
      </c>
      <c r="BA198" t="s">
        <v>58</v>
      </c>
      <c r="BB198" t="s">
        <v>58</v>
      </c>
    </row>
    <row r="199" spans="1:54" x14ac:dyDescent="0.25">
      <c r="A199" t="s">
        <v>54</v>
      </c>
      <c r="B199" t="s">
        <v>54</v>
      </c>
      <c r="C199" t="s">
        <v>54</v>
      </c>
      <c r="D199" t="s">
        <v>144</v>
      </c>
      <c r="E199" t="s">
        <v>54</v>
      </c>
      <c r="F199" t="s">
        <v>54</v>
      </c>
      <c r="G199" t="s">
        <v>54</v>
      </c>
      <c r="H199" t="s">
        <v>54</v>
      </c>
      <c r="I199" t="s">
        <v>54</v>
      </c>
      <c r="J199" t="s">
        <v>54</v>
      </c>
      <c r="K199" t="s">
        <v>167</v>
      </c>
      <c r="L199">
        <v>-1</v>
      </c>
      <c r="M199">
        <v>0</v>
      </c>
      <c r="N199">
        <v>-1</v>
      </c>
      <c r="O199">
        <v>0</v>
      </c>
      <c r="P199" t="s">
        <v>70</v>
      </c>
      <c r="Q199">
        <v>0</v>
      </c>
      <c r="R199">
        <v>0</v>
      </c>
      <c r="S199">
        <v>1230</v>
      </c>
      <c r="T199" t="s">
        <v>57</v>
      </c>
      <c r="U199">
        <v>0</v>
      </c>
      <c r="V199">
        <v>0</v>
      </c>
      <c r="W199">
        <v>0</v>
      </c>
      <c r="X199">
        <v>0</v>
      </c>
      <c r="Y199" t="s">
        <v>65</v>
      </c>
      <c r="Z199">
        <v>0</v>
      </c>
      <c r="AA199">
        <v>0</v>
      </c>
      <c r="AB199">
        <v>0</v>
      </c>
      <c r="AC199">
        <v>0</v>
      </c>
      <c r="AD199" t="s">
        <v>65</v>
      </c>
      <c r="AE199">
        <v>0</v>
      </c>
      <c r="AF199">
        <v>0</v>
      </c>
      <c r="AG199">
        <v>0</v>
      </c>
      <c r="AH199">
        <v>0</v>
      </c>
      <c r="AI199" t="b">
        <v>0</v>
      </c>
      <c r="AJ199" t="s">
        <v>58</v>
      </c>
      <c r="AK199" t="s">
        <v>58</v>
      </c>
      <c r="AL199" t="s">
        <v>71</v>
      </c>
      <c r="AM199">
        <v>14</v>
      </c>
      <c r="AN199">
        <v>10</v>
      </c>
      <c r="AO199">
        <v>13</v>
      </c>
      <c r="AP199">
        <v>11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s">
        <v>61</v>
      </c>
      <c r="AY199" t="s">
        <v>57</v>
      </c>
      <c r="AZ199" t="s">
        <v>55</v>
      </c>
      <c r="BA199" t="s">
        <v>58</v>
      </c>
      <c r="BB199" t="s">
        <v>58</v>
      </c>
    </row>
    <row r="200" spans="1:54" x14ac:dyDescent="0.25">
      <c r="A200" t="s">
        <v>54</v>
      </c>
      <c r="B200" t="s">
        <v>54</v>
      </c>
      <c r="C200" t="s">
        <v>54</v>
      </c>
      <c r="D200" t="s">
        <v>154</v>
      </c>
      <c r="E200" t="s">
        <v>54</v>
      </c>
      <c r="F200" t="s">
        <v>54</v>
      </c>
      <c r="G200" t="s">
        <v>54</v>
      </c>
      <c r="H200" t="s">
        <v>54</v>
      </c>
      <c r="I200" t="s">
        <v>54</v>
      </c>
      <c r="J200" t="s">
        <v>54</v>
      </c>
      <c r="K200" t="s">
        <v>160</v>
      </c>
      <c r="L200">
        <v>-1</v>
      </c>
      <c r="M200">
        <v>0</v>
      </c>
      <c r="N200">
        <v>-1</v>
      </c>
      <c r="O200">
        <v>0</v>
      </c>
      <c r="P200" t="s">
        <v>70</v>
      </c>
      <c r="Q200">
        <v>0</v>
      </c>
      <c r="R200">
        <v>0</v>
      </c>
      <c r="S200">
        <v>780</v>
      </c>
      <c r="T200" t="s">
        <v>57</v>
      </c>
      <c r="U200">
        <v>0</v>
      </c>
      <c r="V200">
        <v>0</v>
      </c>
      <c r="W200">
        <v>0</v>
      </c>
      <c r="X200">
        <v>0</v>
      </c>
      <c r="Y200" t="s">
        <v>67</v>
      </c>
      <c r="Z200">
        <v>0</v>
      </c>
      <c r="AA200">
        <v>0</v>
      </c>
      <c r="AB200">
        <v>0</v>
      </c>
      <c r="AC200">
        <v>0</v>
      </c>
      <c r="AD200" t="s">
        <v>60</v>
      </c>
      <c r="AE200">
        <v>0</v>
      </c>
      <c r="AF200">
        <v>0</v>
      </c>
      <c r="AG200">
        <v>0</v>
      </c>
      <c r="AH200">
        <v>0</v>
      </c>
      <c r="AI200" t="b">
        <v>0</v>
      </c>
      <c r="AJ200" t="s">
        <v>58</v>
      </c>
      <c r="AK200" t="s">
        <v>58</v>
      </c>
      <c r="AL200" t="s">
        <v>71</v>
      </c>
      <c r="AM200">
        <v>14</v>
      </c>
      <c r="AN200">
        <v>10</v>
      </c>
      <c r="AO200">
        <v>2</v>
      </c>
      <c r="AP200">
        <v>11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s">
        <v>61</v>
      </c>
      <c r="AY200" t="s">
        <v>57</v>
      </c>
      <c r="AZ200" t="s">
        <v>55</v>
      </c>
      <c r="BA200" t="s">
        <v>58</v>
      </c>
      <c r="BB200" t="s">
        <v>58</v>
      </c>
    </row>
    <row r="201" spans="1:54" x14ac:dyDescent="0.25">
      <c r="A201" t="s">
        <v>54</v>
      </c>
      <c r="B201" t="s">
        <v>54</v>
      </c>
      <c r="C201" t="s">
        <v>54</v>
      </c>
      <c r="D201" t="s">
        <v>147</v>
      </c>
      <c r="E201" t="s">
        <v>54</v>
      </c>
      <c r="F201" t="s">
        <v>54</v>
      </c>
      <c r="G201" t="s">
        <v>54</v>
      </c>
      <c r="H201" t="s">
        <v>54</v>
      </c>
      <c r="I201" t="s">
        <v>54</v>
      </c>
      <c r="J201" t="s">
        <v>54</v>
      </c>
      <c r="K201" t="s">
        <v>149</v>
      </c>
      <c r="L201">
        <v>-1</v>
      </c>
      <c r="M201">
        <v>0</v>
      </c>
      <c r="N201">
        <v>-1</v>
      </c>
      <c r="O201">
        <v>0</v>
      </c>
      <c r="P201" t="s">
        <v>70</v>
      </c>
      <c r="Q201">
        <v>0</v>
      </c>
      <c r="R201">
        <v>0</v>
      </c>
      <c r="S201">
        <v>780</v>
      </c>
      <c r="T201" t="s">
        <v>57</v>
      </c>
      <c r="U201">
        <v>0</v>
      </c>
      <c r="V201">
        <v>0</v>
      </c>
      <c r="W201">
        <v>0</v>
      </c>
      <c r="X201">
        <v>0</v>
      </c>
      <c r="Y201" t="s">
        <v>67</v>
      </c>
      <c r="Z201">
        <v>0</v>
      </c>
      <c r="AA201">
        <v>0</v>
      </c>
      <c r="AB201">
        <v>0</v>
      </c>
      <c r="AC201">
        <v>0</v>
      </c>
      <c r="AD201" t="s">
        <v>60</v>
      </c>
      <c r="AE201">
        <v>0</v>
      </c>
      <c r="AF201">
        <v>0</v>
      </c>
      <c r="AG201">
        <v>0</v>
      </c>
      <c r="AH201">
        <v>0</v>
      </c>
      <c r="AI201" t="b">
        <v>0</v>
      </c>
      <c r="AJ201" t="s">
        <v>58</v>
      </c>
      <c r="AK201" t="s">
        <v>58</v>
      </c>
      <c r="AL201" t="s">
        <v>71</v>
      </c>
      <c r="AM201">
        <v>14</v>
      </c>
      <c r="AN201">
        <v>9</v>
      </c>
      <c r="AO201">
        <v>5</v>
      </c>
      <c r="AP201">
        <v>11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s">
        <v>61</v>
      </c>
      <c r="AY201" t="s">
        <v>57</v>
      </c>
      <c r="AZ201" t="s">
        <v>55</v>
      </c>
      <c r="BA201" t="s">
        <v>58</v>
      </c>
      <c r="BB201" t="s">
        <v>58</v>
      </c>
    </row>
    <row r="202" spans="1:54" x14ac:dyDescent="0.25">
      <c r="A202" t="s">
        <v>54</v>
      </c>
      <c r="B202" t="s">
        <v>54</v>
      </c>
      <c r="C202" t="s">
        <v>54</v>
      </c>
      <c r="D202" t="s">
        <v>154</v>
      </c>
      <c r="E202" t="s">
        <v>54</v>
      </c>
      <c r="F202" t="s">
        <v>54</v>
      </c>
      <c r="G202" t="s">
        <v>54</v>
      </c>
      <c r="H202" t="s">
        <v>54</v>
      </c>
      <c r="I202" t="s">
        <v>54</v>
      </c>
      <c r="J202" t="s">
        <v>54</v>
      </c>
      <c r="K202" t="s">
        <v>147</v>
      </c>
      <c r="L202">
        <v>-1</v>
      </c>
      <c r="M202">
        <v>0</v>
      </c>
      <c r="N202">
        <v>-1</v>
      </c>
      <c r="O202">
        <v>0</v>
      </c>
      <c r="P202" t="s">
        <v>70</v>
      </c>
      <c r="Q202">
        <v>0</v>
      </c>
      <c r="R202">
        <v>0</v>
      </c>
      <c r="S202">
        <v>780</v>
      </c>
      <c r="T202" t="s">
        <v>57</v>
      </c>
      <c r="U202">
        <v>0</v>
      </c>
      <c r="V202">
        <v>0</v>
      </c>
      <c r="W202">
        <v>0</v>
      </c>
      <c r="X202">
        <v>0</v>
      </c>
      <c r="Y202" t="s">
        <v>67</v>
      </c>
      <c r="Z202">
        <v>0</v>
      </c>
      <c r="AA202">
        <v>0</v>
      </c>
      <c r="AB202">
        <v>0</v>
      </c>
      <c r="AC202">
        <v>0</v>
      </c>
      <c r="AD202" t="s">
        <v>60</v>
      </c>
      <c r="AE202">
        <v>0</v>
      </c>
      <c r="AF202">
        <v>0</v>
      </c>
      <c r="AG202">
        <v>0</v>
      </c>
      <c r="AH202">
        <v>0</v>
      </c>
      <c r="AI202" t="b">
        <v>0</v>
      </c>
      <c r="AJ202" t="s">
        <v>58</v>
      </c>
      <c r="AK202" t="s">
        <v>58</v>
      </c>
      <c r="AL202" t="s">
        <v>71</v>
      </c>
      <c r="AM202">
        <v>14</v>
      </c>
      <c r="AN202">
        <v>8</v>
      </c>
      <c r="AO202">
        <v>5</v>
      </c>
      <c r="AP202">
        <v>11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s">
        <v>61</v>
      </c>
      <c r="AY202" t="s">
        <v>57</v>
      </c>
      <c r="AZ202" t="s">
        <v>55</v>
      </c>
      <c r="BA202" t="s">
        <v>58</v>
      </c>
      <c r="BB202" t="s">
        <v>58</v>
      </c>
    </row>
    <row r="203" spans="1:54" x14ac:dyDescent="0.25">
      <c r="A203" t="s">
        <v>54</v>
      </c>
      <c r="B203" t="s">
        <v>54</v>
      </c>
      <c r="C203" t="s">
        <v>54</v>
      </c>
      <c r="D203" t="s">
        <v>152</v>
      </c>
      <c r="E203" t="s">
        <v>54</v>
      </c>
      <c r="F203" t="s">
        <v>54</v>
      </c>
      <c r="G203" t="s">
        <v>54</v>
      </c>
      <c r="H203" t="s">
        <v>54</v>
      </c>
      <c r="I203" t="s">
        <v>54</v>
      </c>
      <c r="J203" t="s">
        <v>54</v>
      </c>
      <c r="K203" t="s">
        <v>173</v>
      </c>
      <c r="L203">
        <v>-1</v>
      </c>
      <c r="M203">
        <v>0</v>
      </c>
      <c r="N203">
        <v>-1</v>
      </c>
      <c r="O203">
        <v>0</v>
      </c>
      <c r="P203" t="s">
        <v>70</v>
      </c>
      <c r="Q203">
        <v>0</v>
      </c>
      <c r="R203">
        <v>0</v>
      </c>
      <c r="S203">
        <v>965</v>
      </c>
      <c r="T203" t="s">
        <v>57</v>
      </c>
      <c r="U203">
        <v>0</v>
      </c>
      <c r="V203">
        <v>0</v>
      </c>
      <c r="W203">
        <v>0</v>
      </c>
      <c r="X203">
        <v>0</v>
      </c>
      <c r="Y203" t="s">
        <v>67</v>
      </c>
      <c r="Z203">
        <v>0</v>
      </c>
      <c r="AA203">
        <v>0</v>
      </c>
      <c r="AB203">
        <v>0</v>
      </c>
      <c r="AC203">
        <v>0</v>
      </c>
      <c r="AD203" t="s">
        <v>60</v>
      </c>
      <c r="AE203">
        <v>0</v>
      </c>
      <c r="AF203">
        <v>0</v>
      </c>
      <c r="AG203">
        <v>0</v>
      </c>
      <c r="AH203">
        <v>0</v>
      </c>
      <c r="AI203" t="b">
        <v>0</v>
      </c>
      <c r="AJ203" t="s">
        <v>58</v>
      </c>
      <c r="AK203" t="s">
        <v>58</v>
      </c>
      <c r="AL203" t="s">
        <v>71</v>
      </c>
      <c r="AM203">
        <v>14</v>
      </c>
      <c r="AN203">
        <v>10</v>
      </c>
      <c r="AO203">
        <v>10</v>
      </c>
      <c r="AP203">
        <v>11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s">
        <v>61</v>
      </c>
      <c r="AY203" t="s">
        <v>57</v>
      </c>
      <c r="AZ203" t="s">
        <v>55</v>
      </c>
      <c r="BA203" t="s">
        <v>58</v>
      </c>
      <c r="BB203" t="s">
        <v>58</v>
      </c>
    </row>
    <row r="204" spans="1:54" x14ac:dyDescent="0.25">
      <c r="A204" t="s">
        <v>54</v>
      </c>
      <c r="B204" t="s">
        <v>54</v>
      </c>
      <c r="C204" t="s">
        <v>54</v>
      </c>
      <c r="D204" t="s">
        <v>165</v>
      </c>
      <c r="E204" t="s">
        <v>54</v>
      </c>
      <c r="F204" t="s">
        <v>54</v>
      </c>
      <c r="G204" t="s">
        <v>54</v>
      </c>
      <c r="H204" t="s">
        <v>54</v>
      </c>
      <c r="I204" t="s">
        <v>54</v>
      </c>
      <c r="J204" t="s">
        <v>54</v>
      </c>
      <c r="K204" t="s">
        <v>161</v>
      </c>
      <c r="L204">
        <v>-1</v>
      </c>
      <c r="M204">
        <v>0</v>
      </c>
      <c r="N204">
        <v>-1</v>
      </c>
      <c r="O204">
        <v>0</v>
      </c>
      <c r="P204" t="s">
        <v>70</v>
      </c>
      <c r="Q204">
        <v>0</v>
      </c>
      <c r="R204">
        <v>0</v>
      </c>
      <c r="S204">
        <v>1220</v>
      </c>
      <c r="T204" t="s">
        <v>57</v>
      </c>
      <c r="U204">
        <v>0</v>
      </c>
      <c r="V204">
        <v>0</v>
      </c>
      <c r="W204">
        <v>0</v>
      </c>
      <c r="X204">
        <v>0</v>
      </c>
      <c r="Y204" t="s">
        <v>60</v>
      </c>
      <c r="Z204">
        <v>0</v>
      </c>
      <c r="AA204">
        <v>0</v>
      </c>
      <c r="AB204">
        <v>0</v>
      </c>
      <c r="AC204">
        <v>0</v>
      </c>
      <c r="AD204" t="s">
        <v>60</v>
      </c>
      <c r="AE204">
        <v>0</v>
      </c>
      <c r="AF204">
        <v>0</v>
      </c>
      <c r="AG204">
        <v>0</v>
      </c>
      <c r="AH204">
        <v>0</v>
      </c>
      <c r="AI204" t="b">
        <v>0</v>
      </c>
      <c r="AJ204" t="s">
        <v>58</v>
      </c>
      <c r="AK204" t="s">
        <v>58</v>
      </c>
      <c r="AL204" t="s">
        <v>71</v>
      </c>
      <c r="AM204">
        <v>14</v>
      </c>
      <c r="AN204">
        <v>10</v>
      </c>
      <c r="AO204">
        <v>12</v>
      </c>
      <c r="AP204">
        <v>11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s">
        <v>61</v>
      </c>
      <c r="AY204" t="s">
        <v>57</v>
      </c>
      <c r="AZ204" t="s">
        <v>55</v>
      </c>
      <c r="BA204" t="s">
        <v>58</v>
      </c>
      <c r="BB204" t="s">
        <v>58</v>
      </c>
    </row>
    <row r="205" spans="1:54" x14ac:dyDescent="0.25">
      <c r="A205" t="s">
        <v>54</v>
      </c>
      <c r="B205" t="s">
        <v>54</v>
      </c>
      <c r="C205" t="s">
        <v>54</v>
      </c>
      <c r="D205" t="s">
        <v>166</v>
      </c>
      <c r="E205" t="s">
        <v>54</v>
      </c>
      <c r="F205" t="s">
        <v>54</v>
      </c>
      <c r="G205" t="s">
        <v>54</v>
      </c>
      <c r="H205" t="s">
        <v>54</v>
      </c>
      <c r="I205" t="s">
        <v>54</v>
      </c>
      <c r="J205" t="s">
        <v>54</v>
      </c>
      <c r="K205" t="s">
        <v>157</v>
      </c>
      <c r="L205">
        <v>-1</v>
      </c>
      <c r="M205">
        <v>0</v>
      </c>
      <c r="N205">
        <v>-1</v>
      </c>
      <c r="O205">
        <v>0</v>
      </c>
      <c r="P205" t="s">
        <v>70</v>
      </c>
      <c r="Q205">
        <v>0</v>
      </c>
      <c r="R205">
        <v>0</v>
      </c>
      <c r="S205">
        <v>1220</v>
      </c>
      <c r="T205" t="s">
        <v>57</v>
      </c>
      <c r="U205">
        <v>0</v>
      </c>
      <c r="V205">
        <v>0</v>
      </c>
      <c r="W205">
        <v>0</v>
      </c>
      <c r="X205">
        <v>0</v>
      </c>
      <c r="Y205" t="s">
        <v>68</v>
      </c>
      <c r="Z205">
        <v>0</v>
      </c>
      <c r="AA205">
        <v>0</v>
      </c>
      <c r="AB205">
        <v>0</v>
      </c>
      <c r="AC205">
        <v>0</v>
      </c>
      <c r="AD205" t="s">
        <v>68</v>
      </c>
      <c r="AE205">
        <v>0</v>
      </c>
      <c r="AF205">
        <v>0</v>
      </c>
      <c r="AG205">
        <v>0</v>
      </c>
      <c r="AH205">
        <v>0</v>
      </c>
      <c r="AI205" t="b">
        <v>0</v>
      </c>
      <c r="AJ205" t="s">
        <v>58</v>
      </c>
      <c r="AK205" t="s">
        <v>58</v>
      </c>
      <c r="AL205" t="s">
        <v>71</v>
      </c>
      <c r="AM205">
        <v>14</v>
      </c>
      <c r="AN205">
        <v>9</v>
      </c>
      <c r="AO205">
        <v>13</v>
      </c>
      <c r="AP205">
        <v>11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s">
        <v>61</v>
      </c>
      <c r="AY205" t="s">
        <v>57</v>
      </c>
      <c r="AZ205" t="s">
        <v>55</v>
      </c>
      <c r="BA205" t="s">
        <v>58</v>
      </c>
      <c r="BB205" t="s">
        <v>58</v>
      </c>
    </row>
    <row r="206" spans="1:54" x14ac:dyDescent="0.25">
      <c r="A206" t="s">
        <v>54</v>
      </c>
      <c r="B206" t="s">
        <v>54</v>
      </c>
      <c r="C206" t="s">
        <v>54</v>
      </c>
      <c r="D206" t="s">
        <v>169</v>
      </c>
      <c r="E206" t="s">
        <v>54</v>
      </c>
      <c r="F206" t="s">
        <v>54</v>
      </c>
      <c r="G206" t="s">
        <v>54</v>
      </c>
      <c r="H206" t="s">
        <v>54</v>
      </c>
      <c r="I206" t="s">
        <v>54</v>
      </c>
      <c r="J206" t="s">
        <v>54</v>
      </c>
      <c r="K206" t="s">
        <v>174</v>
      </c>
      <c r="L206">
        <v>-1</v>
      </c>
      <c r="M206">
        <v>0</v>
      </c>
      <c r="N206">
        <v>-1</v>
      </c>
      <c r="O206">
        <v>0</v>
      </c>
      <c r="P206" t="s">
        <v>70</v>
      </c>
      <c r="Q206">
        <v>0</v>
      </c>
      <c r="R206">
        <v>0</v>
      </c>
      <c r="S206">
        <v>965</v>
      </c>
      <c r="T206" t="s">
        <v>57</v>
      </c>
      <c r="U206">
        <v>0</v>
      </c>
      <c r="V206">
        <v>0</v>
      </c>
      <c r="W206">
        <v>0</v>
      </c>
      <c r="X206">
        <v>0</v>
      </c>
      <c r="Y206" t="s">
        <v>67</v>
      </c>
      <c r="Z206">
        <v>0</v>
      </c>
      <c r="AA206">
        <v>0</v>
      </c>
      <c r="AB206">
        <v>0</v>
      </c>
      <c r="AC206">
        <v>0</v>
      </c>
      <c r="AD206" t="s">
        <v>60</v>
      </c>
      <c r="AE206">
        <v>0</v>
      </c>
      <c r="AF206">
        <v>0</v>
      </c>
      <c r="AG206">
        <v>0</v>
      </c>
      <c r="AH206">
        <v>0</v>
      </c>
      <c r="AI206" t="b">
        <v>0</v>
      </c>
      <c r="AJ206" t="s">
        <v>58</v>
      </c>
      <c r="AK206" t="s">
        <v>58</v>
      </c>
      <c r="AL206" t="s">
        <v>71</v>
      </c>
      <c r="AM206">
        <v>14</v>
      </c>
      <c r="AN206">
        <v>8</v>
      </c>
      <c r="AO206">
        <v>8</v>
      </c>
      <c r="AP206">
        <v>11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s">
        <v>61</v>
      </c>
      <c r="AY206" t="s">
        <v>57</v>
      </c>
      <c r="AZ206" t="s">
        <v>55</v>
      </c>
      <c r="BA206" t="s">
        <v>58</v>
      </c>
      <c r="BB206" t="s">
        <v>58</v>
      </c>
    </row>
    <row r="207" spans="1:54" x14ac:dyDescent="0.25">
      <c r="A207" t="s">
        <v>54</v>
      </c>
      <c r="B207" t="s">
        <v>54</v>
      </c>
      <c r="C207" t="s">
        <v>54</v>
      </c>
      <c r="D207" t="s">
        <v>163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144</v>
      </c>
      <c r="L207">
        <v>-1</v>
      </c>
      <c r="M207">
        <v>0</v>
      </c>
      <c r="N207">
        <v>-1</v>
      </c>
      <c r="O207">
        <v>0</v>
      </c>
      <c r="P207" t="s">
        <v>70</v>
      </c>
      <c r="Q207">
        <v>0</v>
      </c>
      <c r="R207">
        <v>0</v>
      </c>
      <c r="S207">
        <v>780</v>
      </c>
      <c r="T207" t="s">
        <v>57</v>
      </c>
      <c r="U207">
        <v>0</v>
      </c>
      <c r="V207">
        <v>0</v>
      </c>
      <c r="W207">
        <v>0</v>
      </c>
      <c r="X207">
        <v>0</v>
      </c>
      <c r="Y207" t="s">
        <v>67</v>
      </c>
      <c r="Z207">
        <v>0</v>
      </c>
      <c r="AA207">
        <v>0</v>
      </c>
      <c r="AB207">
        <v>0</v>
      </c>
      <c r="AC207">
        <v>0</v>
      </c>
      <c r="AD207" t="s">
        <v>60</v>
      </c>
      <c r="AE207">
        <v>0</v>
      </c>
      <c r="AF207">
        <v>0</v>
      </c>
      <c r="AG207">
        <v>0</v>
      </c>
      <c r="AH207">
        <v>0</v>
      </c>
      <c r="AI207" t="b">
        <v>0</v>
      </c>
      <c r="AJ207" t="s">
        <v>58</v>
      </c>
      <c r="AK207" t="s">
        <v>58</v>
      </c>
      <c r="AL207" t="s">
        <v>71</v>
      </c>
      <c r="AM207">
        <v>14</v>
      </c>
      <c r="AN207">
        <v>8</v>
      </c>
      <c r="AO207">
        <v>6</v>
      </c>
      <c r="AP207">
        <v>11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s">
        <v>61</v>
      </c>
      <c r="AY207" t="s">
        <v>57</v>
      </c>
      <c r="AZ207" t="s">
        <v>55</v>
      </c>
      <c r="BA207" t="s">
        <v>58</v>
      </c>
      <c r="BB207" t="s">
        <v>58</v>
      </c>
    </row>
    <row r="208" spans="1:54" x14ac:dyDescent="0.25">
      <c r="A208" t="s">
        <v>54</v>
      </c>
      <c r="B208" t="s">
        <v>54</v>
      </c>
      <c r="C208" t="s">
        <v>54</v>
      </c>
      <c r="D208" t="s">
        <v>150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143</v>
      </c>
      <c r="L208">
        <v>-1</v>
      </c>
      <c r="M208">
        <v>0</v>
      </c>
      <c r="N208">
        <v>-1</v>
      </c>
      <c r="O208">
        <v>0</v>
      </c>
      <c r="P208" t="s">
        <v>70</v>
      </c>
      <c r="Q208">
        <v>0</v>
      </c>
      <c r="R208">
        <v>0</v>
      </c>
      <c r="S208">
        <v>780</v>
      </c>
      <c r="T208" t="s">
        <v>57</v>
      </c>
      <c r="U208">
        <v>0</v>
      </c>
      <c r="V208">
        <v>0</v>
      </c>
      <c r="W208">
        <v>0</v>
      </c>
      <c r="X208">
        <v>0</v>
      </c>
      <c r="Y208" t="s">
        <v>67</v>
      </c>
      <c r="Z208">
        <v>0</v>
      </c>
      <c r="AA208">
        <v>0</v>
      </c>
      <c r="AB208">
        <v>0</v>
      </c>
      <c r="AC208">
        <v>0</v>
      </c>
      <c r="AD208" t="s">
        <v>60</v>
      </c>
      <c r="AE208">
        <v>0</v>
      </c>
      <c r="AF208">
        <v>0</v>
      </c>
      <c r="AG208">
        <v>0</v>
      </c>
      <c r="AH208">
        <v>0</v>
      </c>
      <c r="AI208" t="b">
        <v>0</v>
      </c>
      <c r="AJ208" t="s">
        <v>58</v>
      </c>
      <c r="AK208" t="s">
        <v>58</v>
      </c>
      <c r="AL208" t="s">
        <v>71</v>
      </c>
      <c r="AM208">
        <v>14</v>
      </c>
      <c r="AN208">
        <v>11</v>
      </c>
      <c r="AO208">
        <v>1</v>
      </c>
      <c r="AP208">
        <v>11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s">
        <v>61</v>
      </c>
      <c r="AY208" t="s">
        <v>57</v>
      </c>
      <c r="AZ208" t="s">
        <v>55</v>
      </c>
      <c r="BA208" t="s">
        <v>58</v>
      </c>
      <c r="BB208" t="s">
        <v>58</v>
      </c>
    </row>
    <row r="209" spans="1:54" x14ac:dyDescent="0.25">
      <c r="A209" t="s">
        <v>54</v>
      </c>
      <c r="B209" t="s">
        <v>54</v>
      </c>
      <c r="C209" t="s">
        <v>54</v>
      </c>
      <c r="D209" t="s">
        <v>152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174</v>
      </c>
      <c r="L209">
        <v>-1</v>
      </c>
      <c r="M209">
        <v>0</v>
      </c>
      <c r="N209">
        <v>-1</v>
      </c>
      <c r="O209">
        <v>0</v>
      </c>
      <c r="P209" t="s">
        <v>70</v>
      </c>
      <c r="Q209">
        <v>0</v>
      </c>
      <c r="R209">
        <v>0</v>
      </c>
      <c r="S209">
        <v>965</v>
      </c>
      <c r="T209" t="s">
        <v>57</v>
      </c>
      <c r="U209">
        <v>0</v>
      </c>
      <c r="V209">
        <v>0</v>
      </c>
      <c r="W209">
        <v>0</v>
      </c>
      <c r="X209">
        <v>0</v>
      </c>
      <c r="Y209" t="s">
        <v>67</v>
      </c>
      <c r="Z209">
        <v>0</v>
      </c>
      <c r="AA209">
        <v>0</v>
      </c>
      <c r="AB209">
        <v>0</v>
      </c>
      <c r="AC209">
        <v>0</v>
      </c>
      <c r="AD209" t="s">
        <v>60</v>
      </c>
      <c r="AE209">
        <v>0</v>
      </c>
      <c r="AF209">
        <v>0</v>
      </c>
      <c r="AG209">
        <v>0</v>
      </c>
      <c r="AH209">
        <v>0</v>
      </c>
      <c r="AI209" t="b">
        <v>0</v>
      </c>
      <c r="AJ209" t="s">
        <v>58</v>
      </c>
      <c r="AK209" t="s">
        <v>58</v>
      </c>
      <c r="AL209" t="s">
        <v>71</v>
      </c>
      <c r="AM209">
        <v>14</v>
      </c>
      <c r="AN209">
        <v>12</v>
      </c>
      <c r="AO209">
        <v>7</v>
      </c>
      <c r="AP209">
        <v>11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s">
        <v>61</v>
      </c>
      <c r="AY209" t="s">
        <v>57</v>
      </c>
      <c r="AZ209" t="s">
        <v>55</v>
      </c>
      <c r="BA209" t="s">
        <v>58</v>
      </c>
      <c r="BB209" t="s">
        <v>58</v>
      </c>
    </row>
    <row r="210" spans="1:54" x14ac:dyDescent="0.25">
      <c r="A210" t="s">
        <v>54</v>
      </c>
      <c r="B210" t="s">
        <v>54</v>
      </c>
      <c r="C210" t="s">
        <v>54</v>
      </c>
      <c r="D210" t="s">
        <v>146</v>
      </c>
      <c r="E210" t="s">
        <v>54</v>
      </c>
      <c r="F210" t="s">
        <v>54</v>
      </c>
      <c r="G210" t="s">
        <v>54</v>
      </c>
      <c r="H210" t="s">
        <v>54</v>
      </c>
      <c r="I210" t="s">
        <v>54</v>
      </c>
      <c r="J210" t="s">
        <v>54</v>
      </c>
      <c r="K210" t="s">
        <v>158</v>
      </c>
      <c r="L210">
        <v>-1</v>
      </c>
      <c r="M210">
        <v>0</v>
      </c>
      <c r="N210">
        <v>-1</v>
      </c>
      <c r="O210">
        <v>0</v>
      </c>
      <c r="P210" t="s">
        <v>70</v>
      </c>
      <c r="Q210">
        <v>0</v>
      </c>
      <c r="R210">
        <v>0</v>
      </c>
      <c r="S210">
        <v>1220</v>
      </c>
      <c r="T210" t="s">
        <v>57</v>
      </c>
      <c r="U210">
        <v>0</v>
      </c>
      <c r="V210">
        <v>0</v>
      </c>
      <c r="W210">
        <v>0</v>
      </c>
      <c r="X210">
        <v>0</v>
      </c>
      <c r="Y210" t="s">
        <v>68</v>
      </c>
      <c r="Z210">
        <v>0</v>
      </c>
      <c r="AA210">
        <v>0</v>
      </c>
      <c r="AB210">
        <v>0</v>
      </c>
      <c r="AC210">
        <v>0</v>
      </c>
      <c r="AD210" t="s">
        <v>68</v>
      </c>
      <c r="AE210">
        <v>0</v>
      </c>
      <c r="AF210">
        <v>0</v>
      </c>
      <c r="AG210">
        <v>0</v>
      </c>
      <c r="AH210">
        <v>0</v>
      </c>
      <c r="AI210" t="b">
        <v>0</v>
      </c>
      <c r="AJ210" t="s">
        <v>58</v>
      </c>
      <c r="AK210" t="s">
        <v>58</v>
      </c>
      <c r="AL210" t="s">
        <v>71</v>
      </c>
      <c r="AM210">
        <v>14</v>
      </c>
      <c r="AN210">
        <v>12</v>
      </c>
      <c r="AO210">
        <v>13</v>
      </c>
      <c r="AP210">
        <v>11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s">
        <v>61</v>
      </c>
      <c r="AY210" t="s">
        <v>57</v>
      </c>
      <c r="AZ210" t="s">
        <v>55</v>
      </c>
      <c r="BA210" t="s">
        <v>58</v>
      </c>
      <c r="BB210" t="s">
        <v>58</v>
      </c>
    </row>
    <row r="211" spans="1:54" x14ac:dyDescent="0.25">
      <c r="A211" t="s">
        <v>54</v>
      </c>
      <c r="B211" t="s">
        <v>54</v>
      </c>
      <c r="C211" t="s">
        <v>54</v>
      </c>
      <c r="D211" t="s">
        <v>146</v>
      </c>
      <c r="E211" t="s">
        <v>54</v>
      </c>
      <c r="F211" t="s">
        <v>54</v>
      </c>
      <c r="G211" t="s">
        <v>54</v>
      </c>
      <c r="H211" t="s">
        <v>54</v>
      </c>
      <c r="I211" t="s">
        <v>54</v>
      </c>
      <c r="J211" t="s">
        <v>54</v>
      </c>
      <c r="K211" t="s">
        <v>170</v>
      </c>
      <c r="L211">
        <v>-1</v>
      </c>
      <c r="M211">
        <v>0</v>
      </c>
      <c r="N211">
        <v>-1</v>
      </c>
      <c r="O211">
        <v>0</v>
      </c>
      <c r="P211" t="s">
        <v>70</v>
      </c>
      <c r="Q211">
        <v>0</v>
      </c>
      <c r="R211">
        <v>0</v>
      </c>
      <c r="S211">
        <v>975</v>
      </c>
      <c r="T211" t="s">
        <v>57</v>
      </c>
      <c r="U211">
        <v>0</v>
      </c>
      <c r="V211">
        <v>0</v>
      </c>
      <c r="W211">
        <v>0</v>
      </c>
      <c r="X211">
        <v>0</v>
      </c>
      <c r="Y211" t="s">
        <v>67</v>
      </c>
      <c r="Z211">
        <v>0</v>
      </c>
      <c r="AA211">
        <v>0</v>
      </c>
      <c r="AB211">
        <v>0</v>
      </c>
      <c r="AC211">
        <v>0</v>
      </c>
      <c r="AD211" t="s">
        <v>60</v>
      </c>
      <c r="AE211">
        <v>0</v>
      </c>
      <c r="AF211">
        <v>0</v>
      </c>
      <c r="AG211">
        <v>0</v>
      </c>
      <c r="AH211">
        <v>0</v>
      </c>
      <c r="AI211" t="b">
        <v>0</v>
      </c>
      <c r="AJ211" t="s">
        <v>58</v>
      </c>
      <c r="AK211" t="s">
        <v>58</v>
      </c>
      <c r="AL211" t="s">
        <v>71</v>
      </c>
      <c r="AM211">
        <v>14</v>
      </c>
      <c r="AN211">
        <v>10</v>
      </c>
      <c r="AO211">
        <v>11</v>
      </c>
      <c r="AP211">
        <v>11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s">
        <v>61</v>
      </c>
      <c r="AY211" t="s">
        <v>57</v>
      </c>
      <c r="AZ211" t="s">
        <v>55</v>
      </c>
      <c r="BA211" t="s">
        <v>58</v>
      </c>
      <c r="BB211" t="s">
        <v>58</v>
      </c>
    </row>
    <row r="212" spans="1:54" x14ac:dyDescent="0.25">
      <c r="A212" t="s">
        <v>54</v>
      </c>
      <c r="B212" t="s">
        <v>54</v>
      </c>
      <c r="C212" t="s">
        <v>54</v>
      </c>
      <c r="D212" t="s">
        <v>149</v>
      </c>
      <c r="E212" t="s">
        <v>54</v>
      </c>
      <c r="F212" t="s">
        <v>54</v>
      </c>
      <c r="G212" t="s">
        <v>54</v>
      </c>
      <c r="H212" t="s">
        <v>54</v>
      </c>
      <c r="I212" t="s">
        <v>54</v>
      </c>
      <c r="J212" t="s">
        <v>54</v>
      </c>
      <c r="K212" t="s">
        <v>143</v>
      </c>
      <c r="L212">
        <v>-1</v>
      </c>
      <c r="M212">
        <v>0</v>
      </c>
      <c r="N212">
        <v>-1</v>
      </c>
      <c r="O212">
        <v>0</v>
      </c>
      <c r="P212" t="s">
        <v>70</v>
      </c>
      <c r="Q212">
        <v>0</v>
      </c>
      <c r="R212">
        <v>0</v>
      </c>
      <c r="S212">
        <v>780</v>
      </c>
      <c r="T212" t="s">
        <v>57</v>
      </c>
      <c r="U212">
        <v>0</v>
      </c>
      <c r="V212">
        <v>0</v>
      </c>
      <c r="W212">
        <v>0</v>
      </c>
      <c r="X212">
        <v>0</v>
      </c>
      <c r="Y212" t="s">
        <v>67</v>
      </c>
      <c r="Z212">
        <v>0</v>
      </c>
      <c r="AA212">
        <v>0</v>
      </c>
      <c r="AB212">
        <v>0</v>
      </c>
      <c r="AC212">
        <v>0</v>
      </c>
      <c r="AD212" t="s">
        <v>60</v>
      </c>
      <c r="AE212">
        <v>0</v>
      </c>
      <c r="AF212">
        <v>0</v>
      </c>
      <c r="AG212">
        <v>0</v>
      </c>
      <c r="AH212">
        <v>0</v>
      </c>
      <c r="AI212" t="b">
        <v>0</v>
      </c>
      <c r="AJ212" t="s">
        <v>58</v>
      </c>
      <c r="AK212" t="s">
        <v>58</v>
      </c>
      <c r="AL212" t="s">
        <v>71</v>
      </c>
      <c r="AM212">
        <v>14</v>
      </c>
      <c r="AN212">
        <v>10</v>
      </c>
      <c r="AO212">
        <v>3</v>
      </c>
      <c r="AP212">
        <v>11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s">
        <v>61</v>
      </c>
      <c r="AY212" t="s">
        <v>57</v>
      </c>
      <c r="AZ212" t="s">
        <v>55</v>
      </c>
      <c r="BA212" t="s">
        <v>58</v>
      </c>
      <c r="BB212" t="s">
        <v>58</v>
      </c>
    </row>
    <row r="213" spans="1:54" x14ac:dyDescent="0.25">
      <c r="A213" t="s">
        <v>54</v>
      </c>
      <c r="B213" t="s">
        <v>54</v>
      </c>
      <c r="C213" t="s">
        <v>54</v>
      </c>
      <c r="D213" t="s">
        <v>158</v>
      </c>
      <c r="E213" t="s">
        <v>54</v>
      </c>
      <c r="F213" t="s">
        <v>54</v>
      </c>
      <c r="G213" t="s">
        <v>54</v>
      </c>
      <c r="H213" t="s">
        <v>54</v>
      </c>
      <c r="I213" t="s">
        <v>54</v>
      </c>
      <c r="J213" t="s">
        <v>54</v>
      </c>
      <c r="K213" t="s">
        <v>154</v>
      </c>
      <c r="L213">
        <v>-1</v>
      </c>
      <c r="M213">
        <v>0</v>
      </c>
      <c r="N213">
        <v>-1</v>
      </c>
      <c r="O213">
        <v>0</v>
      </c>
      <c r="P213" t="s">
        <v>70</v>
      </c>
      <c r="Q213">
        <v>0</v>
      </c>
      <c r="R213">
        <v>0</v>
      </c>
      <c r="S213">
        <v>975</v>
      </c>
      <c r="T213" t="s">
        <v>57</v>
      </c>
      <c r="U213">
        <v>0</v>
      </c>
      <c r="V213">
        <v>0</v>
      </c>
      <c r="W213">
        <v>0</v>
      </c>
      <c r="X213">
        <v>0</v>
      </c>
      <c r="Y213" t="s">
        <v>67</v>
      </c>
      <c r="Z213">
        <v>0</v>
      </c>
      <c r="AA213">
        <v>0</v>
      </c>
      <c r="AB213">
        <v>0</v>
      </c>
      <c r="AC213">
        <v>0</v>
      </c>
      <c r="AD213" t="s">
        <v>60</v>
      </c>
      <c r="AE213">
        <v>0</v>
      </c>
      <c r="AF213">
        <v>0</v>
      </c>
      <c r="AG213">
        <v>0</v>
      </c>
      <c r="AH213">
        <v>0</v>
      </c>
      <c r="AI213" t="b">
        <v>0</v>
      </c>
      <c r="AJ213" t="s">
        <v>58</v>
      </c>
      <c r="AK213" t="s">
        <v>58</v>
      </c>
      <c r="AL213" t="s">
        <v>71</v>
      </c>
      <c r="AM213">
        <v>14</v>
      </c>
      <c r="AN213">
        <v>9</v>
      </c>
      <c r="AO213">
        <v>10</v>
      </c>
      <c r="AP213">
        <v>11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s">
        <v>61</v>
      </c>
      <c r="AY213" t="s">
        <v>57</v>
      </c>
      <c r="AZ213" t="s">
        <v>55</v>
      </c>
      <c r="BA213" t="s">
        <v>58</v>
      </c>
      <c r="BB213" t="s">
        <v>58</v>
      </c>
    </row>
    <row r="214" spans="1:54" x14ac:dyDescent="0.25">
      <c r="A214" t="s">
        <v>54</v>
      </c>
      <c r="B214" t="s">
        <v>54</v>
      </c>
      <c r="C214" t="s">
        <v>54</v>
      </c>
      <c r="D214" t="s">
        <v>160</v>
      </c>
      <c r="E214" t="s">
        <v>54</v>
      </c>
      <c r="F214" t="s">
        <v>54</v>
      </c>
      <c r="G214" t="s">
        <v>54</v>
      </c>
      <c r="H214" t="s">
        <v>54</v>
      </c>
      <c r="I214" t="s">
        <v>54</v>
      </c>
      <c r="J214" t="s">
        <v>54</v>
      </c>
      <c r="K214" t="s">
        <v>173</v>
      </c>
      <c r="L214">
        <v>-1</v>
      </c>
      <c r="M214">
        <v>0</v>
      </c>
      <c r="N214">
        <v>-1</v>
      </c>
      <c r="O214">
        <v>0</v>
      </c>
      <c r="P214" t="s">
        <v>70</v>
      </c>
      <c r="Q214">
        <v>0</v>
      </c>
      <c r="R214">
        <v>0</v>
      </c>
      <c r="S214">
        <v>975</v>
      </c>
      <c r="T214" t="s">
        <v>57</v>
      </c>
      <c r="U214">
        <v>0</v>
      </c>
      <c r="V214">
        <v>0</v>
      </c>
      <c r="W214">
        <v>0</v>
      </c>
      <c r="X214">
        <v>0</v>
      </c>
      <c r="Y214" t="s">
        <v>67</v>
      </c>
      <c r="Z214">
        <v>0</v>
      </c>
      <c r="AA214">
        <v>0</v>
      </c>
      <c r="AB214">
        <v>0</v>
      </c>
      <c r="AC214">
        <v>0</v>
      </c>
      <c r="AD214" t="s">
        <v>60</v>
      </c>
      <c r="AE214">
        <v>0</v>
      </c>
      <c r="AF214">
        <v>0</v>
      </c>
      <c r="AG214">
        <v>0</v>
      </c>
      <c r="AH214">
        <v>0</v>
      </c>
      <c r="AI214" t="b">
        <v>0</v>
      </c>
      <c r="AJ214" t="s">
        <v>58</v>
      </c>
      <c r="AK214" t="s">
        <v>58</v>
      </c>
      <c r="AL214" t="s">
        <v>71</v>
      </c>
      <c r="AM214">
        <v>14</v>
      </c>
      <c r="AN214">
        <v>11</v>
      </c>
      <c r="AO214">
        <v>8</v>
      </c>
      <c r="AP214">
        <v>11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s">
        <v>61</v>
      </c>
      <c r="AY214" t="s">
        <v>57</v>
      </c>
      <c r="AZ214" t="s">
        <v>55</v>
      </c>
      <c r="BA214" t="s">
        <v>58</v>
      </c>
      <c r="BB214" t="s">
        <v>58</v>
      </c>
    </row>
    <row r="215" spans="1:54" x14ac:dyDescent="0.25">
      <c r="A215" t="s">
        <v>54</v>
      </c>
      <c r="B215" t="s">
        <v>54</v>
      </c>
      <c r="C215" t="s">
        <v>54</v>
      </c>
      <c r="D215" t="s">
        <v>164</v>
      </c>
      <c r="E215" t="s">
        <v>54</v>
      </c>
      <c r="F215" t="s">
        <v>54</v>
      </c>
      <c r="G215" t="s">
        <v>54</v>
      </c>
      <c r="H215" t="s">
        <v>54</v>
      </c>
      <c r="I215" t="s">
        <v>54</v>
      </c>
      <c r="J215" t="s">
        <v>54</v>
      </c>
      <c r="K215" t="s">
        <v>145</v>
      </c>
      <c r="L215">
        <v>-1</v>
      </c>
      <c r="M215">
        <v>0</v>
      </c>
      <c r="N215">
        <v>-1</v>
      </c>
      <c r="O215">
        <v>0</v>
      </c>
      <c r="P215" t="s">
        <v>70</v>
      </c>
      <c r="Q215">
        <v>0</v>
      </c>
      <c r="R215">
        <v>0</v>
      </c>
      <c r="S215">
        <v>780</v>
      </c>
      <c r="T215" t="s">
        <v>57</v>
      </c>
      <c r="U215">
        <v>0</v>
      </c>
      <c r="V215">
        <v>0</v>
      </c>
      <c r="W215">
        <v>0</v>
      </c>
      <c r="X215">
        <v>0</v>
      </c>
      <c r="Y215" t="s">
        <v>67</v>
      </c>
      <c r="Z215">
        <v>0</v>
      </c>
      <c r="AA215">
        <v>0</v>
      </c>
      <c r="AB215">
        <v>0</v>
      </c>
      <c r="AC215">
        <v>0</v>
      </c>
      <c r="AD215" t="s">
        <v>60</v>
      </c>
      <c r="AE215">
        <v>0</v>
      </c>
      <c r="AF215">
        <v>0</v>
      </c>
      <c r="AG215">
        <v>0</v>
      </c>
      <c r="AH215">
        <v>0</v>
      </c>
      <c r="AI215" t="b">
        <v>0</v>
      </c>
      <c r="AJ215" t="s">
        <v>58</v>
      </c>
      <c r="AK215" t="s">
        <v>58</v>
      </c>
      <c r="AL215" t="s">
        <v>71</v>
      </c>
      <c r="AM215">
        <v>14</v>
      </c>
      <c r="AN215">
        <v>10</v>
      </c>
      <c r="AO215">
        <v>4</v>
      </c>
      <c r="AP215">
        <v>11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s">
        <v>61</v>
      </c>
      <c r="AY215" t="s">
        <v>57</v>
      </c>
      <c r="AZ215" t="s">
        <v>55</v>
      </c>
      <c r="BA215" t="s">
        <v>58</v>
      </c>
      <c r="BB215" t="s">
        <v>58</v>
      </c>
    </row>
    <row r="216" spans="1:54" x14ac:dyDescent="0.25">
      <c r="A216" t="s">
        <v>54</v>
      </c>
      <c r="B216" t="s">
        <v>54</v>
      </c>
      <c r="C216" t="s">
        <v>54</v>
      </c>
      <c r="D216" t="s">
        <v>147</v>
      </c>
      <c r="E216" t="s">
        <v>54</v>
      </c>
      <c r="F216" t="s">
        <v>54</v>
      </c>
      <c r="G216" t="s">
        <v>54</v>
      </c>
      <c r="H216" t="s">
        <v>54</v>
      </c>
      <c r="I216" t="s">
        <v>54</v>
      </c>
      <c r="J216" t="s">
        <v>54</v>
      </c>
      <c r="K216" t="s">
        <v>157</v>
      </c>
      <c r="L216">
        <v>-1</v>
      </c>
      <c r="M216">
        <v>0</v>
      </c>
      <c r="N216">
        <v>-1</v>
      </c>
      <c r="O216">
        <v>0</v>
      </c>
      <c r="P216" t="s">
        <v>70</v>
      </c>
      <c r="Q216">
        <v>0</v>
      </c>
      <c r="R216">
        <v>0</v>
      </c>
      <c r="S216">
        <v>975</v>
      </c>
      <c r="T216" t="s">
        <v>57</v>
      </c>
      <c r="U216">
        <v>0</v>
      </c>
      <c r="V216">
        <v>0</v>
      </c>
      <c r="W216">
        <v>0</v>
      </c>
      <c r="X216">
        <v>0</v>
      </c>
      <c r="Y216" t="s">
        <v>67</v>
      </c>
      <c r="Z216">
        <v>0</v>
      </c>
      <c r="AA216">
        <v>0</v>
      </c>
      <c r="AB216">
        <v>0</v>
      </c>
      <c r="AC216">
        <v>0</v>
      </c>
      <c r="AD216" t="s">
        <v>60</v>
      </c>
      <c r="AE216">
        <v>0</v>
      </c>
      <c r="AF216">
        <v>0</v>
      </c>
      <c r="AG216">
        <v>0</v>
      </c>
      <c r="AH216">
        <v>0</v>
      </c>
      <c r="AI216" t="b">
        <v>0</v>
      </c>
      <c r="AJ216" t="s">
        <v>58</v>
      </c>
      <c r="AK216" t="s">
        <v>58</v>
      </c>
      <c r="AL216" t="s">
        <v>71</v>
      </c>
      <c r="AM216">
        <v>14</v>
      </c>
      <c r="AN216">
        <v>11</v>
      </c>
      <c r="AO216">
        <v>9</v>
      </c>
      <c r="AP216">
        <v>11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61</v>
      </c>
      <c r="AY216" t="s">
        <v>57</v>
      </c>
      <c r="AZ216" t="s">
        <v>55</v>
      </c>
      <c r="BA216" t="s">
        <v>58</v>
      </c>
      <c r="BB216" t="s">
        <v>58</v>
      </c>
    </row>
    <row r="217" spans="1:54" x14ac:dyDescent="0.25">
      <c r="A217" t="s">
        <v>54</v>
      </c>
      <c r="B217" t="s">
        <v>54</v>
      </c>
      <c r="C217" t="s">
        <v>54</v>
      </c>
      <c r="D217" t="s">
        <v>168</v>
      </c>
      <c r="E217" t="s">
        <v>54</v>
      </c>
      <c r="F217" t="s">
        <v>54</v>
      </c>
      <c r="G217" t="s">
        <v>54</v>
      </c>
      <c r="H217" t="s">
        <v>54</v>
      </c>
      <c r="I217" t="s">
        <v>54</v>
      </c>
      <c r="J217" t="s">
        <v>54</v>
      </c>
      <c r="K217" t="s">
        <v>167</v>
      </c>
      <c r="L217">
        <v>-1</v>
      </c>
      <c r="M217">
        <v>0</v>
      </c>
      <c r="N217">
        <v>-1</v>
      </c>
      <c r="O217">
        <v>0</v>
      </c>
      <c r="P217" t="s">
        <v>70</v>
      </c>
      <c r="Q217">
        <v>0</v>
      </c>
      <c r="R217">
        <v>0</v>
      </c>
      <c r="S217">
        <v>965</v>
      </c>
      <c r="T217" t="s">
        <v>57</v>
      </c>
      <c r="U217">
        <v>0</v>
      </c>
      <c r="V217">
        <v>0</v>
      </c>
      <c r="W217">
        <v>0</v>
      </c>
      <c r="X217">
        <v>0</v>
      </c>
      <c r="Y217" t="s">
        <v>67</v>
      </c>
      <c r="Z217">
        <v>0</v>
      </c>
      <c r="AA217">
        <v>0</v>
      </c>
      <c r="AB217">
        <v>0</v>
      </c>
      <c r="AC217">
        <v>0</v>
      </c>
      <c r="AD217" t="s">
        <v>60</v>
      </c>
      <c r="AE217">
        <v>0</v>
      </c>
      <c r="AF217">
        <v>0</v>
      </c>
      <c r="AG217">
        <v>0</v>
      </c>
      <c r="AH217">
        <v>0</v>
      </c>
      <c r="AI217" t="b">
        <v>0</v>
      </c>
      <c r="AJ217" t="s">
        <v>58</v>
      </c>
      <c r="AK217" t="s">
        <v>58</v>
      </c>
      <c r="AL217" t="s">
        <v>71</v>
      </c>
      <c r="AM217">
        <v>14</v>
      </c>
      <c r="AN217">
        <v>12</v>
      </c>
      <c r="AO217">
        <v>8</v>
      </c>
      <c r="AP217">
        <v>11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s">
        <v>61</v>
      </c>
      <c r="AY217" t="s">
        <v>57</v>
      </c>
      <c r="AZ217" t="s">
        <v>55</v>
      </c>
      <c r="BA217" t="s">
        <v>58</v>
      </c>
      <c r="BB217" t="s">
        <v>58</v>
      </c>
    </row>
    <row r="218" spans="1:54" x14ac:dyDescent="0.25">
      <c r="A218" t="s">
        <v>54</v>
      </c>
      <c r="B218" t="s">
        <v>54</v>
      </c>
      <c r="C218" t="s">
        <v>54</v>
      </c>
      <c r="D218" t="s">
        <v>144</v>
      </c>
      <c r="E218" t="s">
        <v>54</v>
      </c>
      <c r="F218" t="s">
        <v>54</v>
      </c>
      <c r="G218" t="s">
        <v>54</v>
      </c>
      <c r="H218" t="s">
        <v>54</v>
      </c>
      <c r="I218" t="s">
        <v>54</v>
      </c>
      <c r="J218" t="s">
        <v>54</v>
      </c>
      <c r="K218" t="s">
        <v>168</v>
      </c>
      <c r="L218">
        <v>-1</v>
      </c>
      <c r="M218">
        <v>0</v>
      </c>
      <c r="N218">
        <v>-1</v>
      </c>
      <c r="O218">
        <v>0</v>
      </c>
      <c r="P218" t="s">
        <v>70</v>
      </c>
      <c r="Q218">
        <v>0</v>
      </c>
      <c r="R218">
        <v>0</v>
      </c>
      <c r="S218">
        <v>1220</v>
      </c>
      <c r="T218" t="s">
        <v>57</v>
      </c>
      <c r="U218">
        <v>0</v>
      </c>
      <c r="V218">
        <v>0</v>
      </c>
      <c r="W218">
        <v>0</v>
      </c>
      <c r="X218">
        <v>0</v>
      </c>
      <c r="Y218" t="s">
        <v>60</v>
      </c>
      <c r="Z218">
        <v>0</v>
      </c>
      <c r="AA218">
        <v>0</v>
      </c>
      <c r="AB218">
        <v>0</v>
      </c>
      <c r="AC218">
        <v>0</v>
      </c>
      <c r="AD218" t="s">
        <v>60</v>
      </c>
      <c r="AE218">
        <v>0</v>
      </c>
      <c r="AF218">
        <v>0</v>
      </c>
      <c r="AG218">
        <v>0</v>
      </c>
      <c r="AH218">
        <v>0</v>
      </c>
      <c r="AI218" t="b">
        <v>0</v>
      </c>
      <c r="AJ218" t="s">
        <v>58</v>
      </c>
      <c r="AK218" t="s">
        <v>58</v>
      </c>
      <c r="AL218" t="s">
        <v>71</v>
      </c>
      <c r="AM218">
        <v>14</v>
      </c>
      <c r="AN218">
        <v>11</v>
      </c>
      <c r="AO218">
        <v>10</v>
      </c>
      <c r="AP218">
        <v>11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s">
        <v>61</v>
      </c>
      <c r="AY218" t="s">
        <v>57</v>
      </c>
      <c r="AZ218" t="s">
        <v>55</v>
      </c>
      <c r="BA218" t="s">
        <v>58</v>
      </c>
      <c r="BB218" t="s">
        <v>58</v>
      </c>
    </row>
    <row r="219" spans="1:54" x14ac:dyDescent="0.25">
      <c r="A219" t="s">
        <v>54</v>
      </c>
      <c r="B219" t="s">
        <v>54</v>
      </c>
      <c r="C219" t="s">
        <v>54</v>
      </c>
      <c r="D219" t="s">
        <v>143</v>
      </c>
      <c r="E219" t="s">
        <v>54</v>
      </c>
      <c r="F219" t="s">
        <v>54</v>
      </c>
      <c r="G219" t="s">
        <v>54</v>
      </c>
      <c r="H219" t="s">
        <v>54</v>
      </c>
      <c r="I219" t="s">
        <v>54</v>
      </c>
      <c r="J219" t="s">
        <v>54</v>
      </c>
      <c r="K219" t="s">
        <v>168</v>
      </c>
      <c r="L219">
        <v>-1</v>
      </c>
      <c r="M219">
        <v>0</v>
      </c>
      <c r="N219">
        <v>-1</v>
      </c>
      <c r="O219">
        <v>0</v>
      </c>
      <c r="P219" t="s">
        <v>70</v>
      </c>
      <c r="Q219">
        <v>0</v>
      </c>
      <c r="R219">
        <v>0</v>
      </c>
      <c r="S219">
        <v>965</v>
      </c>
      <c r="T219" t="s">
        <v>57</v>
      </c>
      <c r="U219">
        <v>0</v>
      </c>
      <c r="V219">
        <v>0</v>
      </c>
      <c r="W219">
        <v>0</v>
      </c>
      <c r="X219">
        <v>0</v>
      </c>
      <c r="Y219" t="s">
        <v>67</v>
      </c>
      <c r="Z219">
        <v>0</v>
      </c>
      <c r="AA219">
        <v>0</v>
      </c>
      <c r="AB219">
        <v>0</v>
      </c>
      <c r="AC219">
        <v>0</v>
      </c>
      <c r="AD219" t="s">
        <v>60</v>
      </c>
      <c r="AE219">
        <v>0</v>
      </c>
      <c r="AF219">
        <v>0</v>
      </c>
      <c r="AG219">
        <v>0</v>
      </c>
      <c r="AH219">
        <v>0</v>
      </c>
      <c r="AI219" t="b">
        <v>0</v>
      </c>
      <c r="AJ219" t="s">
        <v>58</v>
      </c>
      <c r="AK219" t="s">
        <v>58</v>
      </c>
      <c r="AL219" t="s">
        <v>71</v>
      </c>
      <c r="AM219">
        <v>14</v>
      </c>
      <c r="AN219">
        <v>9</v>
      </c>
      <c r="AO219">
        <v>8</v>
      </c>
      <c r="AP219">
        <v>11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s">
        <v>61</v>
      </c>
      <c r="AY219" t="s">
        <v>57</v>
      </c>
      <c r="AZ219" t="s">
        <v>55</v>
      </c>
      <c r="BA219" t="s">
        <v>58</v>
      </c>
      <c r="BB219" t="s">
        <v>58</v>
      </c>
    </row>
    <row r="220" spans="1:54" x14ac:dyDescent="0.25">
      <c r="A220" t="s">
        <v>54</v>
      </c>
      <c r="B220" t="s">
        <v>54</v>
      </c>
      <c r="C220" t="s">
        <v>54</v>
      </c>
      <c r="D220" t="s">
        <v>156</v>
      </c>
      <c r="E220" t="s">
        <v>54</v>
      </c>
      <c r="F220" t="s">
        <v>54</v>
      </c>
      <c r="G220" t="s">
        <v>54</v>
      </c>
      <c r="H220" t="s">
        <v>54</v>
      </c>
      <c r="I220" t="s">
        <v>54</v>
      </c>
      <c r="J220" t="s">
        <v>54</v>
      </c>
      <c r="K220" t="s">
        <v>169</v>
      </c>
      <c r="L220">
        <v>-1</v>
      </c>
      <c r="M220">
        <v>0</v>
      </c>
      <c r="N220">
        <v>-1</v>
      </c>
      <c r="O220">
        <v>0</v>
      </c>
      <c r="P220" t="s">
        <v>70</v>
      </c>
      <c r="Q220">
        <v>0</v>
      </c>
      <c r="R220">
        <v>0</v>
      </c>
      <c r="S220">
        <v>780</v>
      </c>
      <c r="T220" t="s">
        <v>57</v>
      </c>
      <c r="U220">
        <v>0</v>
      </c>
      <c r="V220">
        <v>0</v>
      </c>
      <c r="W220">
        <v>0</v>
      </c>
      <c r="X220">
        <v>0</v>
      </c>
      <c r="Y220" t="s">
        <v>67</v>
      </c>
      <c r="Z220">
        <v>0</v>
      </c>
      <c r="AA220">
        <v>0</v>
      </c>
      <c r="AB220">
        <v>0</v>
      </c>
      <c r="AC220">
        <v>0</v>
      </c>
      <c r="AD220" t="s">
        <v>60</v>
      </c>
      <c r="AE220">
        <v>0</v>
      </c>
      <c r="AF220">
        <v>0</v>
      </c>
      <c r="AG220">
        <v>0</v>
      </c>
      <c r="AH220">
        <v>0</v>
      </c>
      <c r="AI220" t="b">
        <v>0</v>
      </c>
      <c r="AJ220" t="s">
        <v>58</v>
      </c>
      <c r="AK220" t="s">
        <v>58</v>
      </c>
      <c r="AL220" t="s">
        <v>71</v>
      </c>
      <c r="AM220">
        <v>14</v>
      </c>
      <c r="AN220">
        <v>9</v>
      </c>
      <c r="AO220">
        <v>6</v>
      </c>
      <c r="AP220">
        <v>11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s">
        <v>61</v>
      </c>
      <c r="AY220" t="s">
        <v>57</v>
      </c>
      <c r="AZ220" t="s">
        <v>55</v>
      </c>
      <c r="BA220" t="s">
        <v>58</v>
      </c>
      <c r="BB220" t="s">
        <v>58</v>
      </c>
    </row>
    <row r="221" spans="1:54" x14ac:dyDescent="0.25">
      <c r="A221" t="s">
        <v>54</v>
      </c>
      <c r="B221" t="s">
        <v>54</v>
      </c>
      <c r="C221" t="s">
        <v>54</v>
      </c>
      <c r="D221" t="s">
        <v>145</v>
      </c>
      <c r="E221" t="s">
        <v>54</v>
      </c>
      <c r="F221" t="s">
        <v>54</v>
      </c>
      <c r="G221" t="s">
        <v>54</v>
      </c>
      <c r="H221" t="s">
        <v>54</v>
      </c>
      <c r="I221" t="s">
        <v>54</v>
      </c>
      <c r="J221" t="s">
        <v>54</v>
      </c>
      <c r="K221" t="s">
        <v>153</v>
      </c>
      <c r="L221">
        <v>-1</v>
      </c>
      <c r="M221">
        <v>0</v>
      </c>
      <c r="N221">
        <v>-1</v>
      </c>
      <c r="O221">
        <v>0</v>
      </c>
      <c r="P221" t="s">
        <v>70</v>
      </c>
      <c r="Q221">
        <v>0</v>
      </c>
      <c r="R221">
        <v>0</v>
      </c>
      <c r="S221">
        <v>965</v>
      </c>
      <c r="T221" t="s">
        <v>57</v>
      </c>
      <c r="U221">
        <v>0</v>
      </c>
      <c r="V221">
        <v>0</v>
      </c>
      <c r="W221">
        <v>0</v>
      </c>
      <c r="X221">
        <v>0</v>
      </c>
      <c r="Y221" t="s">
        <v>67</v>
      </c>
      <c r="Z221">
        <v>0</v>
      </c>
      <c r="AA221">
        <v>0</v>
      </c>
      <c r="AB221">
        <v>0</v>
      </c>
      <c r="AC221">
        <v>0</v>
      </c>
      <c r="AD221" t="s">
        <v>60</v>
      </c>
      <c r="AE221">
        <v>0</v>
      </c>
      <c r="AF221">
        <v>0</v>
      </c>
      <c r="AG221">
        <v>0</v>
      </c>
      <c r="AH221">
        <v>0</v>
      </c>
      <c r="AI221" t="b">
        <v>0</v>
      </c>
      <c r="AJ221" t="s">
        <v>58</v>
      </c>
      <c r="AK221" t="s">
        <v>58</v>
      </c>
      <c r="AL221" t="s">
        <v>71</v>
      </c>
      <c r="AM221">
        <v>14</v>
      </c>
      <c r="AN221">
        <v>11</v>
      </c>
      <c r="AO221">
        <v>7</v>
      </c>
      <c r="AP221">
        <v>11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s">
        <v>61</v>
      </c>
      <c r="AY221" t="s">
        <v>57</v>
      </c>
      <c r="AZ221" t="s">
        <v>55</v>
      </c>
      <c r="BA221" t="s">
        <v>58</v>
      </c>
      <c r="BB221" t="s">
        <v>58</v>
      </c>
    </row>
    <row r="222" spans="1:54" x14ac:dyDescent="0.25">
      <c r="A222" t="s">
        <v>54</v>
      </c>
      <c r="B222" t="s">
        <v>54</v>
      </c>
      <c r="C222" t="s">
        <v>54</v>
      </c>
      <c r="D222" t="s">
        <v>174</v>
      </c>
      <c r="E222" t="s">
        <v>54</v>
      </c>
      <c r="F222" t="s">
        <v>54</v>
      </c>
      <c r="G222" t="s">
        <v>54</v>
      </c>
      <c r="H222" t="s">
        <v>54</v>
      </c>
      <c r="I222" t="s">
        <v>54</v>
      </c>
      <c r="J222" t="s">
        <v>54</v>
      </c>
      <c r="K222" t="s">
        <v>155</v>
      </c>
      <c r="L222">
        <v>-1</v>
      </c>
      <c r="M222">
        <v>0</v>
      </c>
      <c r="N222">
        <v>-1</v>
      </c>
      <c r="O222">
        <v>0</v>
      </c>
      <c r="P222" t="s">
        <v>70</v>
      </c>
      <c r="Q222">
        <v>0</v>
      </c>
      <c r="R222">
        <v>0</v>
      </c>
      <c r="S222">
        <v>780</v>
      </c>
      <c r="T222" t="s">
        <v>57</v>
      </c>
      <c r="U222">
        <v>0</v>
      </c>
      <c r="V222">
        <v>0</v>
      </c>
      <c r="W222">
        <v>0</v>
      </c>
      <c r="X222">
        <v>0</v>
      </c>
      <c r="Y222" t="s">
        <v>67</v>
      </c>
      <c r="Z222">
        <v>0</v>
      </c>
      <c r="AA222">
        <v>0</v>
      </c>
      <c r="AB222">
        <v>0</v>
      </c>
      <c r="AC222">
        <v>0</v>
      </c>
      <c r="AD222" t="s">
        <v>60</v>
      </c>
      <c r="AE222">
        <v>0</v>
      </c>
      <c r="AF222">
        <v>0</v>
      </c>
      <c r="AG222">
        <v>0</v>
      </c>
      <c r="AH222">
        <v>0</v>
      </c>
      <c r="AI222" t="b">
        <v>0</v>
      </c>
      <c r="AJ222" t="s">
        <v>58</v>
      </c>
      <c r="AK222" t="s">
        <v>58</v>
      </c>
      <c r="AL222" t="s">
        <v>71</v>
      </c>
      <c r="AM222">
        <v>14</v>
      </c>
      <c r="AN222">
        <v>10</v>
      </c>
      <c r="AO222">
        <v>5</v>
      </c>
      <c r="AP222">
        <v>11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s">
        <v>61</v>
      </c>
      <c r="AY222" t="s">
        <v>57</v>
      </c>
      <c r="AZ222" t="s">
        <v>55</v>
      </c>
      <c r="BA222" t="s">
        <v>58</v>
      </c>
      <c r="BB222" t="s">
        <v>58</v>
      </c>
    </row>
    <row r="223" spans="1:54" x14ac:dyDescent="0.25">
      <c r="A223" t="s">
        <v>54</v>
      </c>
      <c r="B223" t="s">
        <v>54</v>
      </c>
      <c r="C223" t="s">
        <v>54</v>
      </c>
      <c r="D223" t="s">
        <v>162</v>
      </c>
      <c r="E223" t="s">
        <v>54</v>
      </c>
      <c r="F223" t="s">
        <v>54</v>
      </c>
      <c r="G223" t="s">
        <v>54</v>
      </c>
      <c r="H223" t="s">
        <v>54</v>
      </c>
      <c r="I223" t="s">
        <v>54</v>
      </c>
      <c r="J223" t="s">
        <v>54</v>
      </c>
      <c r="K223" t="s">
        <v>148</v>
      </c>
      <c r="L223">
        <v>-1</v>
      </c>
      <c r="M223">
        <v>0</v>
      </c>
      <c r="N223">
        <v>-1</v>
      </c>
      <c r="O223">
        <v>0</v>
      </c>
      <c r="P223" t="s">
        <v>70</v>
      </c>
      <c r="Q223">
        <v>0</v>
      </c>
      <c r="R223">
        <v>0</v>
      </c>
      <c r="S223">
        <v>780</v>
      </c>
      <c r="T223" t="s">
        <v>57</v>
      </c>
      <c r="U223">
        <v>0</v>
      </c>
      <c r="V223">
        <v>0</v>
      </c>
      <c r="W223">
        <v>0</v>
      </c>
      <c r="X223">
        <v>0</v>
      </c>
      <c r="Y223" t="s">
        <v>67</v>
      </c>
      <c r="Z223">
        <v>0</v>
      </c>
      <c r="AA223">
        <v>0</v>
      </c>
      <c r="AB223">
        <v>0</v>
      </c>
      <c r="AC223">
        <v>0</v>
      </c>
      <c r="AD223" t="s">
        <v>60</v>
      </c>
      <c r="AE223">
        <v>0</v>
      </c>
      <c r="AF223">
        <v>0</v>
      </c>
      <c r="AG223">
        <v>0</v>
      </c>
      <c r="AH223">
        <v>0</v>
      </c>
      <c r="AI223" t="b">
        <v>0</v>
      </c>
      <c r="AJ223" t="s">
        <v>58</v>
      </c>
      <c r="AK223" t="s">
        <v>58</v>
      </c>
      <c r="AL223" t="s">
        <v>71</v>
      </c>
      <c r="AM223">
        <v>14</v>
      </c>
      <c r="AN223">
        <v>10</v>
      </c>
      <c r="AO223">
        <v>6</v>
      </c>
      <c r="AP223">
        <v>11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s">
        <v>61</v>
      </c>
      <c r="AY223" t="s">
        <v>57</v>
      </c>
      <c r="AZ223" t="s">
        <v>55</v>
      </c>
      <c r="BA223" t="s">
        <v>58</v>
      </c>
      <c r="BB223" t="s">
        <v>58</v>
      </c>
    </row>
    <row r="224" spans="1:54" x14ac:dyDescent="0.25">
      <c r="A224" t="s">
        <v>54</v>
      </c>
      <c r="B224" t="s">
        <v>54</v>
      </c>
      <c r="C224" t="s">
        <v>54</v>
      </c>
      <c r="D224" t="s">
        <v>146</v>
      </c>
      <c r="E224" t="s">
        <v>54</v>
      </c>
      <c r="F224" t="s">
        <v>54</v>
      </c>
      <c r="G224" t="s">
        <v>54</v>
      </c>
      <c r="H224" t="s">
        <v>54</v>
      </c>
      <c r="I224" t="s">
        <v>54</v>
      </c>
      <c r="J224" t="s">
        <v>54</v>
      </c>
      <c r="K224" t="s">
        <v>171</v>
      </c>
      <c r="L224">
        <v>-1</v>
      </c>
      <c r="M224">
        <v>0</v>
      </c>
      <c r="N224">
        <v>-1</v>
      </c>
      <c r="O224">
        <v>0</v>
      </c>
      <c r="P224" t="s">
        <v>70</v>
      </c>
      <c r="Q224">
        <v>0</v>
      </c>
      <c r="R224">
        <v>0</v>
      </c>
      <c r="S224">
        <v>975</v>
      </c>
      <c r="T224" t="s">
        <v>57</v>
      </c>
      <c r="U224">
        <v>0</v>
      </c>
      <c r="V224">
        <v>0</v>
      </c>
      <c r="W224">
        <v>0</v>
      </c>
      <c r="X224">
        <v>0</v>
      </c>
      <c r="Y224" t="s">
        <v>67</v>
      </c>
      <c r="Z224">
        <v>0</v>
      </c>
      <c r="AA224">
        <v>0</v>
      </c>
      <c r="AB224">
        <v>0</v>
      </c>
      <c r="AC224">
        <v>0</v>
      </c>
      <c r="AD224" t="s">
        <v>68</v>
      </c>
      <c r="AE224">
        <v>0</v>
      </c>
      <c r="AF224">
        <v>0</v>
      </c>
      <c r="AG224">
        <v>0</v>
      </c>
      <c r="AH224">
        <v>0</v>
      </c>
      <c r="AI224" t="b">
        <v>0</v>
      </c>
      <c r="AJ224" t="s">
        <v>58</v>
      </c>
      <c r="AK224" t="s">
        <v>58</v>
      </c>
      <c r="AL224" t="s">
        <v>71</v>
      </c>
      <c r="AM224">
        <v>14</v>
      </c>
      <c r="AN224">
        <v>11</v>
      </c>
      <c r="AO224">
        <v>13</v>
      </c>
      <c r="AP224">
        <v>11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s">
        <v>61</v>
      </c>
      <c r="AY224" t="s">
        <v>57</v>
      </c>
      <c r="AZ224" t="s">
        <v>55</v>
      </c>
      <c r="BA224" t="s">
        <v>58</v>
      </c>
      <c r="BB224" t="s">
        <v>58</v>
      </c>
    </row>
    <row r="225" spans="1:54" x14ac:dyDescent="0.25">
      <c r="A225" t="s">
        <v>54</v>
      </c>
      <c r="B225" t="s">
        <v>54</v>
      </c>
      <c r="C225" t="s">
        <v>54</v>
      </c>
      <c r="D225" t="s">
        <v>166</v>
      </c>
      <c r="E225" t="s">
        <v>54</v>
      </c>
      <c r="F225" t="s">
        <v>54</v>
      </c>
      <c r="G225" t="s">
        <v>54</v>
      </c>
      <c r="H225" t="s">
        <v>54</v>
      </c>
      <c r="I225" t="s">
        <v>54</v>
      </c>
      <c r="J225" t="s">
        <v>54</v>
      </c>
      <c r="K225" t="s">
        <v>161</v>
      </c>
      <c r="L225">
        <v>-1</v>
      </c>
      <c r="M225">
        <v>0</v>
      </c>
      <c r="N225">
        <v>-1</v>
      </c>
      <c r="O225">
        <v>0</v>
      </c>
      <c r="P225" t="s">
        <v>70</v>
      </c>
      <c r="Q225">
        <v>0</v>
      </c>
      <c r="R225">
        <v>0</v>
      </c>
      <c r="S225">
        <v>780</v>
      </c>
      <c r="T225" t="s">
        <v>57</v>
      </c>
      <c r="U225">
        <v>0</v>
      </c>
      <c r="V225">
        <v>0</v>
      </c>
      <c r="W225">
        <v>0</v>
      </c>
      <c r="X225">
        <v>0</v>
      </c>
      <c r="Y225" t="s">
        <v>67</v>
      </c>
      <c r="Z225">
        <v>0</v>
      </c>
      <c r="AA225">
        <v>0</v>
      </c>
      <c r="AB225">
        <v>0</v>
      </c>
      <c r="AC225">
        <v>0</v>
      </c>
      <c r="AD225" t="s">
        <v>60</v>
      </c>
      <c r="AE225">
        <v>0</v>
      </c>
      <c r="AF225">
        <v>0</v>
      </c>
      <c r="AG225">
        <v>0</v>
      </c>
      <c r="AH225">
        <v>0</v>
      </c>
      <c r="AI225" t="b">
        <v>0</v>
      </c>
      <c r="AJ225" t="s">
        <v>58</v>
      </c>
      <c r="AK225" t="s">
        <v>58</v>
      </c>
      <c r="AL225" t="s">
        <v>71</v>
      </c>
      <c r="AM225">
        <v>14</v>
      </c>
      <c r="AN225">
        <v>13</v>
      </c>
      <c r="AO225">
        <v>0</v>
      </c>
      <c r="AP225">
        <v>11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s">
        <v>61</v>
      </c>
      <c r="AY225" t="s">
        <v>57</v>
      </c>
      <c r="AZ225" t="s">
        <v>55</v>
      </c>
      <c r="BA225" t="s">
        <v>58</v>
      </c>
      <c r="BB225" t="s">
        <v>58</v>
      </c>
    </row>
    <row r="226" spans="1:54" x14ac:dyDescent="0.25">
      <c r="A226" t="s">
        <v>54</v>
      </c>
      <c r="B226" t="s">
        <v>54</v>
      </c>
      <c r="C226" t="s">
        <v>54</v>
      </c>
      <c r="D226" t="s">
        <v>148</v>
      </c>
      <c r="E226" t="s">
        <v>54</v>
      </c>
      <c r="F226" t="s">
        <v>54</v>
      </c>
      <c r="G226" t="s">
        <v>54</v>
      </c>
      <c r="H226" t="s">
        <v>54</v>
      </c>
      <c r="I226" t="s">
        <v>54</v>
      </c>
      <c r="J226" t="s">
        <v>54</v>
      </c>
      <c r="K226" t="s">
        <v>158</v>
      </c>
      <c r="L226">
        <v>-1</v>
      </c>
      <c r="M226">
        <v>0</v>
      </c>
      <c r="N226">
        <v>-1</v>
      </c>
      <c r="O226">
        <v>0</v>
      </c>
      <c r="P226" t="s">
        <v>70</v>
      </c>
      <c r="Q226">
        <v>0</v>
      </c>
      <c r="R226">
        <v>0</v>
      </c>
      <c r="S226">
        <v>780</v>
      </c>
      <c r="T226" t="s">
        <v>57</v>
      </c>
      <c r="U226">
        <v>0</v>
      </c>
      <c r="V226">
        <v>0</v>
      </c>
      <c r="W226">
        <v>0</v>
      </c>
      <c r="X226">
        <v>0</v>
      </c>
      <c r="Y226" t="s">
        <v>67</v>
      </c>
      <c r="Z226">
        <v>0</v>
      </c>
      <c r="AA226">
        <v>0</v>
      </c>
      <c r="AB226">
        <v>0</v>
      </c>
      <c r="AC226">
        <v>0</v>
      </c>
      <c r="AD226" t="s">
        <v>60</v>
      </c>
      <c r="AE226">
        <v>0</v>
      </c>
      <c r="AF226">
        <v>0</v>
      </c>
      <c r="AG226">
        <v>0</v>
      </c>
      <c r="AH226">
        <v>0</v>
      </c>
      <c r="AI226" t="b">
        <v>0</v>
      </c>
      <c r="AJ226" t="s">
        <v>58</v>
      </c>
      <c r="AK226" t="s">
        <v>58</v>
      </c>
      <c r="AL226" t="s">
        <v>71</v>
      </c>
      <c r="AM226">
        <v>14</v>
      </c>
      <c r="AN226">
        <v>11</v>
      </c>
      <c r="AO226">
        <v>2</v>
      </c>
      <c r="AP226">
        <v>11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s">
        <v>61</v>
      </c>
      <c r="AY226" t="s">
        <v>57</v>
      </c>
      <c r="AZ226" t="s">
        <v>55</v>
      </c>
      <c r="BA226" t="s">
        <v>58</v>
      </c>
      <c r="BB226" t="s">
        <v>58</v>
      </c>
    </row>
    <row r="227" spans="1:54" x14ac:dyDescent="0.25">
      <c r="A227" t="s">
        <v>54</v>
      </c>
      <c r="B227" t="s">
        <v>54</v>
      </c>
      <c r="C227" t="s">
        <v>54</v>
      </c>
      <c r="D227" t="s">
        <v>143</v>
      </c>
      <c r="E227" t="s">
        <v>54</v>
      </c>
      <c r="F227" t="s">
        <v>54</v>
      </c>
      <c r="G227" t="s">
        <v>54</v>
      </c>
      <c r="H227" t="s">
        <v>54</v>
      </c>
      <c r="I227" t="s">
        <v>54</v>
      </c>
      <c r="J227" t="s">
        <v>54</v>
      </c>
      <c r="K227" t="s">
        <v>163</v>
      </c>
      <c r="L227">
        <v>-1</v>
      </c>
      <c r="M227">
        <v>0</v>
      </c>
      <c r="N227">
        <v>-1</v>
      </c>
      <c r="O227">
        <v>0</v>
      </c>
      <c r="P227" t="s">
        <v>70</v>
      </c>
      <c r="Q227">
        <v>0</v>
      </c>
      <c r="R227">
        <v>0</v>
      </c>
      <c r="S227">
        <v>975</v>
      </c>
      <c r="T227" t="s">
        <v>57</v>
      </c>
      <c r="U227">
        <v>0</v>
      </c>
      <c r="V227">
        <v>0</v>
      </c>
      <c r="W227">
        <v>0</v>
      </c>
      <c r="X227">
        <v>0</v>
      </c>
      <c r="Y227" t="s">
        <v>67</v>
      </c>
      <c r="Z227">
        <v>0</v>
      </c>
      <c r="AA227">
        <v>0</v>
      </c>
      <c r="AB227">
        <v>0</v>
      </c>
      <c r="AC227">
        <v>0</v>
      </c>
      <c r="AD227" t="s">
        <v>60</v>
      </c>
      <c r="AE227">
        <v>0</v>
      </c>
      <c r="AF227">
        <v>0</v>
      </c>
      <c r="AG227">
        <v>0</v>
      </c>
      <c r="AH227">
        <v>0</v>
      </c>
      <c r="AI227" t="b">
        <v>0</v>
      </c>
      <c r="AJ227" t="s">
        <v>58</v>
      </c>
      <c r="AK227" t="s">
        <v>58</v>
      </c>
      <c r="AL227" t="s">
        <v>71</v>
      </c>
      <c r="AM227">
        <v>14</v>
      </c>
      <c r="AN227">
        <v>12</v>
      </c>
      <c r="AO227">
        <v>9</v>
      </c>
      <c r="AP227">
        <v>11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s">
        <v>61</v>
      </c>
      <c r="AY227" t="s">
        <v>57</v>
      </c>
      <c r="AZ227" t="s">
        <v>55</v>
      </c>
      <c r="BA227" t="s">
        <v>58</v>
      </c>
      <c r="BB227" t="s">
        <v>58</v>
      </c>
    </row>
    <row r="228" spans="1:54" x14ac:dyDescent="0.25">
      <c r="A228" t="s">
        <v>54</v>
      </c>
      <c r="B228" t="s">
        <v>54</v>
      </c>
      <c r="C228" t="s">
        <v>54</v>
      </c>
      <c r="D228" t="s">
        <v>148</v>
      </c>
      <c r="E228" t="s">
        <v>54</v>
      </c>
      <c r="F228" t="s">
        <v>54</v>
      </c>
      <c r="G228" t="s">
        <v>54</v>
      </c>
      <c r="H228" t="s">
        <v>54</v>
      </c>
      <c r="I228" t="s">
        <v>54</v>
      </c>
      <c r="J228" t="s">
        <v>54</v>
      </c>
      <c r="K228" t="s">
        <v>157</v>
      </c>
      <c r="L228">
        <v>-1</v>
      </c>
      <c r="M228">
        <v>0</v>
      </c>
      <c r="N228">
        <v>-1</v>
      </c>
      <c r="O228">
        <v>0</v>
      </c>
      <c r="P228" t="s">
        <v>70</v>
      </c>
      <c r="Q228">
        <v>0</v>
      </c>
      <c r="R228">
        <v>0</v>
      </c>
      <c r="S228">
        <v>1220</v>
      </c>
      <c r="T228" t="s">
        <v>57</v>
      </c>
      <c r="U228">
        <v>0</v>
      </c>
      <c r="V228">
        <v>0</v>
      </c>
      <c r="W228">
        <v>0</v>
      </c>
      <c r="X228">
        <v>0</v>
      </c>
      <c r="Y228" t="s">
        <v>68</v>
      </c>
      <c r="Z228">
        <v>0</v>
      </c>
      <c r="AA228">
        <v>0</v>
      </c>
      <c r="AB228">
        <v>0</v>
      </c>
      <c r="AC228">
        <v>0</v>
      </c>
      <c r="AD228" t="s">
        <v>68</v>
      </c>
      <c r="AE228">
        <v>0</v>
      </c>
      <c r="AF228">
        <v>0</v>
      </c>
      <c r="AG228">
        <v>0</v>
      </c>
      <c r="AH228">
        <v>0</v>
      </c>
      <c r="AI228" t="b">
        <v>0</v>
      </c>
      <c r="AJ228" t="s">
        <v>58</v>
      </c>
      <c r="AK228" t="s">
        <v>58</v>
      </c>
      <c r="AL228" t="s">
        <v>71</v>
      </c>
      <c r="AM228">
        <v>14</v>
      </c>
      <c r="AN228">
        <v>13</v>
      </c>
      <c r="AO228">
        <v>13</v>
      </c>
      <c r="AP228">
        <v>11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s">
        <v>61</v>
      </c>
      <c r="AY228" t="s">
        <v>57</v>
      </c>
      <c r="AZ228" t="s">
        <v>55</v>
      </c>
      <c r="BA228" t="s">
        <v>58</v>
      </c>
      <c r="BB228" t="s">
        <v>58</v>
      </c>
    </row>
    <row r="229" spans="1:54" x14ac:dyDescent="0.25">
      <c r="A229" t="s">
        <v>54</v>
      </c>
      <c r="B229" t="s">
        <v>54</v>
      </c>
      <c r="C229" t="s">
        <v>54</v>
      </c>
      <c r="D229" t="s">
        <v>159</v>
      </c>
      <c r="E229" t="s">
        <v>54</v>
      </c>
      <c r="F229" t="s">
        <v>54</v>
      </c>
      <c r="G229" t="s">
        <v>54</v>
      </c>
      <c r="H229" t="s">
        <v>54</v>
      </c>
      <c r="I229" t="s">
        <v>54</v>
      </c>
      <c r="J229" t="s">
        <v>54</v>
      </c>
      <c r="K229" t="s">
        <v>169</v>
      </c>
      <c r="L229">
        <v>-1</v>
      </c>
      <c r="M229">
        <v>0</v>
      </c>
      <c r="N229">
        <v>-1</v>
      </c>
      <c r="O229">
        <v>0</v>
      </c>
      <c r="P229" t="s">
        <v>70</v>
      </c>
      <c r="Q229">
        <v>0</v>
      </c>
      <c r="R229">
        <v>0</v>
      </c>
      <c r="S229">
        <v>780</v>
      </c>
      <c r="T229" t="s">
        <v>57</v>
      </c>
      <c r="U229">
        <v>0</v>
      </c>
      <c r="V229">
        <v>0</v>
      </c>
      <c r="W229">
        <v>0</v>
      </c>
      <c r="X229">
        <v>0</v>
      </c>
      <c r="Y229" t="s">
        <v>67</v>
      </c>
      <c r="Z229">
        <v>0</v>
      </c>
      <c r="AA229">
        <v>0</v>
      </c>
      <c r="AB229">
        <v>0</v>
      </c>
      <c r="AC229">
        <v>0</v>
      </c>
      <c r="AD229" t="s">
        <v>60</v>
      </c>
      <c r="AE229">
        <v>0</v>
      </c>
      <c r="AF229">
        <v>0</v>
      </c>
      <c r="AG229">
        <v>0</v>
      </c>
      <c r="AH229">
        <v>0</v>
      </c>
      <c r="AI229" t="b">
        <v>0</v>
      </c>
      <c r="AJ229" t="s">
        <v>58</v>
      </c>
      <c r="AK229" t="s">
        <v>58</v>
      </c>
      <c r="AL229" t="s">
        <v>71</v>
      </c>
      <c r="AM229">
        <v>14</v>
      </c>
      <c r="AN229">
        <v>12</v>
      </c>
      <c r="AO229">
        <v>0</v>
      </c>
      <c r="AP229">
        <v>11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s">
        <v>61</v>
      </c>
      <c r="AY229" t="s">
        <v>57</v>
      </c>
      <c r="AZ229" t="s">
        <v>55</v>
      </c>
      <c r="BA229" t="s">
        <v>58</v>
      </c>
      <c r="BB229" t="s">
        <v>58</v>
      </c>
    </row>
    <row r="230" spans="1:54" x14ac:dyDescent="0.25">
      <c r="A230" t="s">
        <v>54</v>
      </c>
      <c r="B230" t="s">
        <v>54</v>
      </c>
      <c r="C230" t="s">
        <v>54</v>
      </c>
      <c r="D230" t="s">
        <v>166</v>
      </c>
      <c r="E230" t="s">
        <v>54</v>
      </c>
      <c r="F230" t="s">
        <v>54</v>
      </c>
      <c r="G230" t="s">
        <v>54</v>
      </c>
      <c r="H230" t="s">
        <v>54</v>
      </c>
      <c r="I230" t="s">
        <v>54</v>
      </c>
      <c r="J230" t="s">
        <v>54</v>
      </c>
      <c r="K230" t="s">
        <v>154</v>
      </c>
      <c r="L230">
        <v>-1</v>
      </c>
      <c r="M230">
        <v>0</v>
      </c>
      <c r="N230">
        <v>-1</v>
      </c>
      <c r="O230">
        <v>0</v>
      </c>
      <c r="P230" t="s">
        <v>70</v>
      </c>
      <c r="Q230">
        <v>0</v>
      </c>
      <c r="R230">
        <v>0</v>
      </c>
      <c r="S230">
        <v>780</v>
      </c>
      <c r="T230" t="s">
        <v>57</v>
      </c>
      <c r="U230">
        <v>0</v>
      </c>
      <c r="V230">
        <v>0</v>
      </c>
      <c r="W230">
        <v>0</v>
      </c>
      <c r="X230">
        <v>0</v>
      </c>
      <c r="Y230" t="s">
        <v>67</v>
      </c>
      <c r="Z230">
        <v>0</v>
      </c>
      <c r="AA230">
        <v>0</v>
      </c>
      <c r="AB230">
        <v>0</v>
      </c>
      <c r="AC230">
        <v>0</v>
      </c>
      <c r="AD230" t="s">
        <v>60</v>
      </c>
      <c r="AE230">
        <v>0</v>
      </c>
      <c r="AF230">
        <v>0</v>
      </c>
      <c r="AG230">
        <v>0</v>
      </c>
      <c r="AH230">
        <v>0</v>
      </c>
      <c r="AI230" t="b">
        <v>0</v>
      </c>
      <c r="AJ230" t="s">
        <v>58</v>
      </c>
      <c r="AK230" t="s">
        <v>58</v>
      </c>
      <c r="AL230" t="s">
        <v>71</v>
      </c>
      <c r="AM230">
        <v>14</v>
      </c>
      <c r="AN230">
        <v>12</v>
      </c>
      <c r="AO230">
        <v>1</v>
      </c>
      <c r="AP230">
        <v>11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s">
        <v>61</v>
      </c>
      <c r="AY230" t="s">
        <v>57</v>
      </c>
      <c r="AZ230" t="s">
        <v>55</v>
      </c>
      <c r="BA230" t="s">
        <v>58</v>
      </c>
      <c r="BB230" t="s">
        <v>58</v>
      </c>
    </row>
    <row r="231" spans="1:54" x14ac:dyDescent="0.25">
      <c r="A231" t="s">
        <v>54</v>
      </c>
      <c r="B231" t="s">
        <v>54</v>
      </c>
      <c r="C231" t="s">
        <v>54</v>
      </c>
      <c r="D231" t="s">
        <v>160</v>
      </c>
      <c r="E231" t="s">
        <v>54</v>
      </c>
      <c r="F231" t="s">
        <v>54</v>
      </c>
      <c r="G231" t="s">
        <v>54</v>
      </c>
      <c r="H231" t="s">
        <v>54</v>
      </c>
      <c r="I231" t="s">
        <v>54</v>
      </c>
      <c r="J231" t="s">
        <v>54</v>
      </c>
      <c r="K231" t="s">
        <v>172</v>
      </c>
      <c r="L231">
        <v>-1</v>
      </c>
      <c r="M231">
        <v>0</v>
      </c>
      <c r="N231">
        <v>-1</v>
      </c>
      <c r="O231">
        <v>0</v>
      </c>
      <c r="P231" t="s">
        <v>70</v>
      </c>
      <c r="Q231">
        <v>0</v>
      </c>
      <c r="R231">
        <v>0</v>
      </c>
      <c r="S231">
        <v>780</v>
      </c>
      <c r="T231" t="s">
        <v>57</v>
      </c>
      <c r="U231">
        <v>0</v>
      </c>
      <c r="V231">
        <v>0</v>
      </c>
      <c r="W231">
        <v>0</v>
      </c>
      <c r="X231">
        <v>0</v>
      </c>
      <c r="Y231" t="s">
        <v>67</v>
      </c>
      <c r="Z231">
        <v>0</v>
      </c>
      <c r="AA231">
        <v>0</v>
      </c>
      <c r="AB231">
        <v>0</v>
      </c>
      <c r="AC231">
        <v>0</v>
      </c>
      <c r="AD231" t="s">
        <v>60</v>
      </c>
      <c r="AE231">
        <v>0</v>
      </c>
      <c r="AF231">
        <v>0</v>
      </c>
      <c r="AG231">
        <v>0</v>
      </c>
      <c r="AH231">
        <v>0</v>
      </c>
      <c r="AI231" t="b">
        <v>0</v>
      </c>
      <c r="AJ231" t="s">
        <v>58</v>
      </c>
      <c r="AK231" t="s">
        <v>58</v>
      </c>
      <c r="AL231" t="s">
        <v>71</v>
      </c>
      <c r="AM231">
        <v>14</v>
      </c>
      <c r="AN231">
        <v>12</v>
      </c>
      <c r="AO231">
        <v>2</v>
      </c>
      <c r="AP231">
        <v>11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s">
        <v>61</v>
      </c>
      <c r="AY231" t="s">
        <v>57</v>
      </c>
      <c r="AZ231" t="s">
        <v>55</v>
      </c>
      <c r="BA231" t="s">
        <v>58</v>
      </c>
      <c r="BB231" t="s">
        <v>58</v>
      </c>
    </row>
    <row r="232" spans="1:54" x14ac:dyDescent="0.25">
      <c r="A232" t="s">
        <v>54</v>
      </c>
      <c r="B232" t="s">
        <v>54</v>
      </c>
      <c r="C232" t="s">
        <v>54</v>
      </c>
      <c r="D232" t="s">
        <v>161</v>
      </c>
      <c r="E232" t="s">
        <v>54</v>
      </c>
      <c r="F232" t="s">
        <v>54</v>
      </c>
      <c r="G232" t="s">
        <v>54</v>
      </c>
      <c r="H232" t="s">
        <v>54</v>
      </c>
      <c r="I232" t="s">
        <v>54</v>
      </c>
      <c r="J232" t="s">
        <v>54</v>
      </c>
      <c r="K232" t="s">
        <v>159</v>
      </c>
      <c r="L232">
        <v>-1</v>
      </c>
      <c r="M232">
        <v>0</v>
      </c>
      <c r="N232">
        <v>-1</v>
      </c>
      <c r="O232">
        <v>0</v>
      </c>
      <c r="P232" t="s">
        <v>70</v>
      </c>
      <c r="Q232">
        <v>0</v>
      </c>
      <c r="R232">
        <v>0</v>
      </c>
      <c r="S232">
        <v>1230</v>
      </c>
      <c r="T232" t="s">
        <v>57</v>
      </c>
      <c r="U232">
        <v>0</v>
      </c>
      <c r="V232">
        <v>0</v>
      </c>
      <c r="W232">
        <v>0</v>
      </c>
      <c r="X232">
        <v>0</v>
      </c>
      <c r="Y232" t="s">
        <v>65</v>
      </c>
      <c r="Z232">
        <v>0</v>
      </c>
      <c r="AA232">
        <v>0</v>
      </c>
      <c r="AB232">
        <v>0</v>
      </c>
      <c r="AC232">
        <v>0</v>
      </c>
      <c r="AD232" t="s">
        <v>65</v>
      </c>
      <c r="AE232">
        <v>0</v>
      </c>
      <c r="AF232">
        <v>0</v>
      </c>
      <c r="AG232">
        <v>0</v>
      </c>
      <c r="AH232">
        <v>0</v>
      </c>
      <c r="AI232" t="b">
        <v>0</v>
      </c>
      <c r="AJ232" t="s">
        <v>58</v>
      </c>
      <c r="AK232" t="s">
        <v>58</v>
      </c>
      <c r="AL232" t="s">
        <v>71</v>
      </c>
      <c r="AM232">
        <v>14</v>
      </c>
      <c r="AN232">
        <v>11</v>
      </c>
      <c r="AO232">
        <v>11</v>
      </c>
      <c r="AP232">
        <v>11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s">
        <v>61</v>
      </c>
      <c r="AY232" t="s">
        <v>57</v>
      </c>
      <c r="AZ232" t="s">
        <v>55</v>
      </c>
      <c r="BA232" t="s">
        <v>58</v>
      </c>
      <c r="BB232" t="s">
        <v>58</v>
      </c>
    </row>
    <row r="233" spans="1:54" x14ac:dyDescent="0.25">
      <c r="A233" t="s">
        <v>54</v>
      </c>
      <c r="B233" t="s">
        <v>54</v>
      </c>
      <c r="C233" t="s">
        <v>54</v>
      </c>
      <c r="D233" t="s">
        <v>149</v>
      </c>
      <c r="E233" t="s">
        <v>54</v>
      </c>
      <c r="F233" t="s">
        <v>54</v>
      </c>
      <c r="G233" t="s">
        <v>54</v>
      </c>
      <c r="H233" t="s">
        <v>54</v>
      </c>
      <c r="I233" t="s">
        <v>54</v>
      </c>
      <c r="J233" t="s">
        <v>54</v>
      </c>
      <c r="K233" t="s">
        <v>172</v>
      </c>
      <c r="L233">
        <v>-1</v>
      </c>
      <c r="M233">
        <v>0</v>
      </c>
      <c r="N233">
        <v>-1</v>
      </c>
      <c r="O233">
        <v>0</v>
      </c>
      <c r="P233" t="s">
        <v>70</v>
      </c>
      <c r="Q233">
        <v>0</v>
      </c>
      <c r="R233">
        <v>0</v>
      </c>
      <c r="S233">
        <v>750</v>
      </c>
      <c r="T233" t="s">
        <v>57</v>
      </c>
      <c r="U233">
        <v>0</v>
      </c>
      <c r="V233">
        <v>0</v>
      </c>
      <c r="W233">
        <v>0</v>
      </c>
      <c r="X233">
        <v>0</v>
      </c>
      <c r="Y233" t="s">
        <v>67</v>
      </c>
      <c r="Z233">
        <v>0</v>
      </c>
      <c r="AA233">
        <v>0</v>
      </c>
      <c r="AB233">
        <v>0</v>
      </c>
      <c r="AC233">
        <v>0</v>
      </c>
      <c r="AD233" t="s">
        <v>68</v>
      </c>
      <c r="AE233">
        <v>0</v>
      </c>
      <c r="AF233">
        <v>0</v>
      </c>
      <c r="AG233">
        <v>0</v>
      </c>
      <c r="AH233">
        <v>0</v>
      </c>
      <c r="AI233" t="b">
        <v>0</v>
      </c>
      <c r="AJ233" t="s">
        <v>58</v>
      </c>
      <c r="AK233" t="s">
        <v>58</v>
      </c>
      <c r="AL233" t="s">
        <v>71</v>
      </c>
      <c r="AM233">
        <v>14</v>
      </c>
      <c r="AN233">
        <v>11</v>
      </c>
      <c r="AO233">
        <v>12</v>
      </c>
      <c r="AP233">
        <v>11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s">
        <v>61</v>
      </c>
      <c r="AY233" t="s">
        <v>57</v>
      </c>
      <c r="AZ233" t="s">
        <v>55</v>
      </c>
      <c r="BA233" t="s">
        <v>58</v>
      </c>
      <c r="BB233" t="s">
        <v>58</v>
      </c>
    </row>
    <row r="234" spans="1:54" x14ac:dyDescent="0.25">
      <c r="A234" t="s">
        <v>54</v>
      </c>
      <c r="B234" t="s">
        <v>54</v>
      </c>
      <c r="C234" t="s">
        <v>54</v>
      </c>
      <c r="D234" t="s">
        <v>170</v>
      </c>
      <c r="E234" t="s">
        <v>54</v>
      </c>
      <c r="F234" t="s">
        <v>54</v>
      </c>
      <c r="G234" t="s">
        <v>54</v>
      </c>
      <c r="H234" t="s">
        <v>54</v>
      </c>
      <c r="I234" t="s">
        <v>54</v>
      </c>
      <c r="J234" t="s">
        <v>54</v>
      </c>
      <c r="K234" t="s">
        <v>150</v>
      </c>
      <c r="L234">
        <v>-1</v>
      </c>
      <c r="M234">
        <v>0</v>
      </c>
      <c r="N234">
        <v>-1</v>
      </c>
      <c r="O234">
        <v>0</v>
      </c>
      <c r="P234" t="s">
        <v>70</v>
      </c>
      <c r="Q234">
        <v>0</v>
      </c>
      <c r="R234">
        <v>0</v>
      </c>
      <c r="S234">
        <v>975</v>
      </c>
      <c r="T234" t="s">
        <v>57</v>
      </c>
      <c r="U234">
        <v>0</v>
      </c>
      <c r="V234">
        <v>0</v>
      </c>
      <c r="W234">
        <v>0</v>
      </c>
      <c r="X234">
        <v>0</v>
      </c>
      <c r="Y234" t="s">
        <v>67</v>
      </c>
      <c r="Z234">
        <v>0</v>
      </c>
      <c r="AA234">
        <v>0</v>
      </c>
      <c r="AB234">
        <v>0</v>
      </c>
      <c r="AC234">
        <v>0</v>
      </c>
      <c r="AD234" t="s">
        <v>60</v>
      </c>
      <c r="AE234">
        <v>0</v>
      </c>
      <c r="AF234">
        <v>0</v>
      </c>
      <c r="AG234">
        <v>0</v>
      </c>
      <c r="AH234">
        <v>0</v>
      </c>
      <c r="AI234" t="b">
        <v>0</v>
      </c>
      <c r="AJ234" t="s">
        <v>58</v>
      </c>
      <c r="AK234" t="s">
        <v>58</v>
      </c>
      <c r="AL234" t="s">
        <v>71</v>
      </c>
      <c r="AM234">
        <v>14</v>
      </c>
      <c r="AN234">
        <v>12</v>
      </c>
      <c r="AO234">
        <v>10</v>
      </c>
      <c r="AP234">
        <v>11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s">
        <v>61</v>
      </c>
      <c r="AY234" t="s">
        <v>57</v>
      </c>
      <c r="AZ234" t="s">
        <v>55</v>
      </c>
      <c r="BA234" t="s">
        <v>58</v>
      </c>
      <c r="BB234" t="s">
        <v>58</v>
      </c>
    </row>
    <row r="235" spans="1:54" x14ac:dyDescent="0.25">
      <c r="A235" t="s">
        <v>54</v>
      </c>
      <c r="B235" t="s">
        <v>54</v>
      </c>
      <c r="C235" t="s">
        <v>54</v>
      </c>
      <c r="D235" t="s">
        <v>148</v>
      </c>
      <c r="E235" t="s">
        <v>54</v>
      </c>
      <c r="F235" t="s">
        <v>54</v>
      </c>
      <c r="G235" t="s">
        <v>54</v>
      </c>
      <c r="H235" t="s">
        <v>54</v>
      </c>
      <c r="I235" t="s">
        <v>54</v>
      </c>
      <c r="J235" t="s">
        <v>54</v>
      </c>
      <c r="K235" t="s">
        <v>161</v>
      </c>
      <c r="L235">
        <v>-1</v>
      </c>
      <c r="M235">
        <v>0</v>
      </c>
      <c r="N235">
        <v>-1</v>
      </c>
      <c r="O235">
        <v>0</v>
      </c>
      <c r="P235" t="s">
        <v>70</v>
      </c>
      <c r="Q235">
        <v>0</v>
      </c>
      <c r="R235">
        <v>0</v>
      </c>
      <c r="S235">
        <v>780</v>
      </c>
      <c r="T235" t="s">
        <v>57</v>
      </c>
      <c r="U235">
        <v>0</v>
      </c>
      <c r="V235">
        <v>0</v>
      </c>
      <c r="W235">
        <v>0</v>
      </c>
      <c r="X235">
        <v>0</v>
      </c>
      <c r="Y235" t="s">
        <v>67</v>
      </c>
      <c r="Z235">
        <v>0</v>
      </c>
      <c r="AA235">
        <v>0</v>
      </c>
      <c r="AB235">
        <v>0</v>
      </c>
      <c r="AC235">
        <v>0</v>
      </c>
      <c r="AD235" t="s">
        <v>60</v>
      </c>
      <c r="AE235">
        <v>0</v>
      </c>
      <c r="AF235">
        <v>0</v>
      </c>
      <c r="AG235">
        <v>0</v>
      </c>
      <c r="AH235">
        <v>0</v>
      </c>
      <c r="AI235" t="b">
        <v>0</v>
      </c>
      <c r="AJ235" t="s">
        <v>58</v>
      </c>
      <c r="AK235" t="s">
        <v>58</v>
      </c>
      <c r="AL235" t="s">
        <v>71</v>
      </c>
      <c r="AM235">
        <v>14</v>
      </c>
      <c r="AN235">
        <v>12</v>
      </c>
      <c r="AO235">
        <v>3</v>
      </c>
      <c r="AP235">
        <v>11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s">
        <v>61</v>
      </c>
      <c r="AY235" t="s">
        <v>57</v>
      </c>
      <c r="AZ235" t="s">
        <v>55</v>
      </c>
      <c r="BA235" t="s">
        <v>58</v>
      </c>
      <c r="BB235" t="s">
        <v>58</v>
      </c>
    </row>
    <row r="236" spans="1:54" x14ac:dyDescent="0.25">
      <c r="A236" t="s">
        <v>54</v>
      </c>
      <c r="B236" t="s">
        <v>54</v>
      </c>
      <c r="C236" t="s">
        <v>54</v>
      </c>
      <c r="D236" t="s">
        <v>171</v>
      </c>
      <c r="E236" t="s">
        <v>54</v>
      </c>
      <c r="F236" t="s">
        <v>54</v>
      </c>
      <c r="G236" t="s">
        <v>54</v>
      </c>
      <c r="H236" t="s">
        <v>54</v>
      </c>
      <c r="I236" t="s">
        <v>54</v>
      </c>
      <c r="J236" t="s">
        <v>54</v>
      </c>
      <c r="K236" t="s">
        <v>146</v>
      </c>
      <c r="L236">
        <v>-1</v>
      </c>
      <c r="M236">
        <v>0</v>
      </c>
      <c r="N236">
        <v>-1</v>
      </c>
      <c r="O236">
        <v>0</v>
      </c>
      <c r="P236" t="s">
        <v>70</v>
      </c>
      <c r="Q236">
        <v>0</v>
      </c>
      <c r="R236">
        <v>0</v>
      </c>
      <c r="S236">
        <v>1220</v>
      </c>
      <c r="T236" t="s">
        <v>57</v>
      </c>
      <c r="U236">
        <v>0</v>
      </c>
      <c r="V236">
        <v>0</v>
      </c>
      <c r="W236">
        <v>0</v>
      </c>
      <c r="X236">
        <v>0</v>
      </c>
      <c r="Y236" t="s">
        <v>60</v>
      </c>
      <c r="Z236">
        <v>0</v>
      </c>
      <c r="AA236">
        <v>0</v>
      </c>
      <c r="AB236">
        <v>0</v>
      </c>
      <c r="AC236">
        <v>0</v>
      </c>
      <c r="AD236" t="s">
        <v>60</v>
      </c>
      <c r="AE236">
        <v>0</v>
      </c>
      <c r="AF236">
        <v>0</v>
      </c>
      <c r="AG236">
        <v>0</v>
      </c>
      <c r="AH236">
        <v>0</v>
      </c>
      <c r="AI236" t="b">
        <v>0</v>
      </c>
      <c r="AJ236" t="s">
        <v>58</v>
      </c>
      <c r="AK236" t="s">
        <v>58</v>
      </c>
      <c r="AL236" t="s">
        <v>71</v>
      </c>
      <c r="AM236">
        <v>14</v>
      </c>
      <c r="AN236">
        <v>13</v>
      </c>
      <c r="AO236">
        <v>11</v>
      </c>
      <c r="AP236">
        <v>11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s">
        <v>61</v>
      </c>
      <c r="AY236" t="s">
        <v>57</v>
      </c>
      <c r="AZ236" t="s">
        <v>55</v>
      </c>
      <c r="BA236" t="s">
        <v>58</v>
      </c>
      <c r="BB236" t="s">
        <v>58</v>
      </c>
    </row>
    <row r="237" spans="1:54" x14ac:dyDescent="0.25">
      <c r="A237" t="s">
        <v>54</v>
      </c>
      <c r="B237" t="s">
        <v>54</v>
      </c>
      <c r="C237" t="s">
        <v>54</v>
      </c>
      <c r="D237" t="s">
        <v>170</v>
      </c>
      <c r="E237" t="s">
        <v>54</v>
      </c>
      <c r="F237" t="s">
        <v>54</v>
      </c>
      <c r="G237" t="s">
        <v>54</v>
      </c>
      <c r="H237" t="s">
        <v>54</v>
      </c>
      <c r="I237" t="s">
        <v>54</v>
      </c>
      <c r="J237" t="s">
        <v>54</v>
      </c>
      <c r="K237" t="s">
        <v>155</v>
      </c>
      <c r="L237">
        <v>-1</v>
      </c>
      <c r="M237">
        <v>0</v>
      </c>
      <c r="N237">
        <v>-1</v>
      </c>
      <c r="O237">
        <v>0</v>
      </c>
      <c r="P237" t="s">
        <v>70</v>
      </c>
      <c r="Q237">
        <v>0</v>
      </c>
      <c r="R237">
        <v>0</v>
      </c>
      <c r="S237">
        <v>780</v>
      </c>
      <c r="T237" t="s">
        <v>57</v>
      </c>
      <c r="U237">
        <v>0</v>
      </c>
      <c r="V237">
        <v>0</v>
      </c>
      <c r="W237">
        <v>0</v>
      </c>
      <c r="X237">
        <v>0</v>
      </c>
      <c r="Y237" t="s">
        <v>67</v>
      </c>
      <c r="Z237">
        <v>0</v>
      </c>
      <c r="AA237">
        <v>0</v>
      </c>
      <c r="AB237">
        <v>0</v>
      </c>
      <c r="AC237">
        <v>0</v>
      </c>
      <c r="AD237" t="s">
        <v>60</v>
      </c>
      <c r="AE237">
        <v>0</v>
      </c>
      <c r="AF237">
        <v>0</v>
      </c>
      <c r="AG237">
        <v>0</v>
      </c>
      <c r="AH237">
        <v>0</v>
      </c>
      <c r="AI237" t="b">
        <v>0</v>
      </c>
      <c r="AJ237" t="s">
        <v>58</v>
      </c>
      <c r="AK237" t="s">
        <v>58</v>
      </c>
      <c r="AL237" t="s">
        <v>71</v>
      </c>
      <c r="AM237">
        <v>14</v>
      </c>
      <c r="AN237">
        <v>11</v>
      </c>
      <c r="AO237">
        <v>3</v>
      </c>
      <c r="AP237">
        <v>11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s">
        <v>61</v>
      </c>
      <c r="AY237" t="s">
        <v>57</v>
      </c>
      <c r="AZ237" t="s">
        <v>55</v>
      </c>
      <c r="BA237" t="s">
        <v>58</v>
      </c>
      <c r="BB237" t="s">
        <v>58</v>
      </c>
    </row>
    <row r="238" spans="1:54" x14ac:dyDescent="0.25">
      <c r="A238" t="s">
        <v>54</v>
      </c>
      <c r="B238" t="s">
        <v>54</v>
      </c>
      <c r="C238" t="s">
        <v>54</v>
      </c>
      <c r="D238" t="s">
        <v>171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153</v>
      </c>
      <c r="L238">
        <v>-1</v>
      </c>
      <c r="M238">
        <v>0</v>
      </c>
      <c r="N238">
        <v>-1</v>
      </c>
      <c r="O238">
        <v>0</v>
      </c>
      <c r="P238" t="s">
        <v>70</v>
      </c>
      <c r="Q238">
        <v>0</v>
      </c>
      <c r="R238">
        <v>0</v>
      </c>
      <c r="S238">
        <v>780</v>
      </c>
      <c r="T238" t="s">
        <v>57</v>
      </c>
      <c r="U238">
        <v>0</v>
      </c>
      <c r="V238">
        <v>0</v>
      </c>
      <c r="W238">
        <v>0</v>
      </c>
      <c r="X238">
        <v>0</v>
      </c>
      <c r="Y238" t="s">
        <v>67</v>
      </c>
      <c r="Z238">
        <v>0</v>
      </c>
      <c r="AA238">
        <v>0</v>
      </c>
      <c r="AB238">
        <v>0</v>
      </c>
      <c r="AC238">
        <v>0</v>
      </c>
      <c r="AD238" t="s">
        <v>60</v>
      </c>
      <c r="AE238">
        <v>0</v>
      </c>
      <c r="AF238">
        <v>0</v>
      </c>
      <c r="AG238">
        <v>0</v>
      </c>
      <c r="AH238">
        <v>0</v>
      </c>
      <c r="AI238" t="b">
        <v>0</v>
      </c>
      <c r="AJ238" t="s">
        <v>58</v>
      </c>
      <c r="AK238" t="s">
        <v>58</v>
      </c>
      <c r="AL238" t="s">
        <v>71</v>
      </c>
      <c r="AM238">
        <v>14</v>
      </c>
      <c r="AN238">
        <v>10</v>
      </c>
      <c r="AO238">
        <v>7</v>
      </c>
      <c r="AP238">
        <v>11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s">
        <v>61</v>
      </c>
      <c r="AY238" t="s">
        <v>57</v>
      </c>
      <c r="AZ238" t="s">
        <v>55</v>
      </c>
      <c r="BA238" t="s">
        <v>58</v>
      </c>
      <c r="BB238" t="s">
        <v>58</v>
      </c>
    </row>
    <row r="239" spans="1:54" x14ac:dyDescent="0.25">
      <c r="A239" t="s">
        <v>54</v>
      </c>
      <c r="B239" t="s">
        <v>54</v>
      </c>
      <c r="C239" t="s">
        <v>54</v>
      </c>
      <c r="D239" t="s">
        <v>165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151</v>
      </c>
      <c r="L239">
        <v>-1</v>
      </c>
      <c r="M239">
        <v>0</v>
      </c>
      <c r="N239">
        <v>-1</v>
      </c>
      <c r="O239">
        <v>0</v>
      </c>
      <c r="P239" t="s">
        <v>70</v>
      </c>
      <c r="Q239">
        <v>0</v>
      </c>
      <c r="R239">
        <v>0</v>
      </c>
      <c r="S239">
        <v>1200</v>
      </c>
      <c r="T239" t="s">
        <v>57</v>
      </c>
      <c r="U239">
        <v>0</v>
      </c>
      <c r="V239">
        <v>0</v>
      </c>
      <c r="W239">
        <v>0</v>
      </c>
      <c r="X239">
        <v>0</v>
      </c>
      <c r="Y239" t="s">
        <v>68</v>
      </c>
      <c r="Z239">
        <v>0</v>
      </c>
      <c r="AA239">
        <v>0</v>
      </c>
      <c r="AB239">
        <v>0</v>
      </c>
      <c r="AC239">
        <v>0</v>
      </c>
      <c r="AD239" t="s">
        <v>68</v>
      </c>
      <c r="AE239">
        <v>0</v>
      </c>
      <c r="AF239">
        <v>0</v>
      </c>
      <c r="AG239">
        <v>0</v>
      </c>
      <c r="AH239">
        <v>0</v>
      </c>
      <c r="AI239" t="b">
        <v>0</v>
      </c>
      <c r="AJ239" t="s">
        <v>58</v>
      </c>
      <c r="AK239" t="s">
        <v>58</v>
      </c>
      <c r="AL239" t="s">
        <v>71</v>
      </c>
      <c r="AM239">
        <v>14</v>
      </c>
      <c r="AN239">
        <v>11</v>
      </c>
      <c r="AO239">
        <v>14</v>
      </c>
      <c r="AP239">
        <v>11</v>
      </c>
      <c r="AQ239" t="b">
        <v>1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s">
        <v>61</v>
      </c>
      <c r="AY239" t="s">
        <v>57</v>
      </c>
      <c r="AZ239" t="s">
        <v>55</v>
      </c>
      <c r="BA239" t="s">
        <v>58</v>
      </c>
      <c r="BB239" t="s">
        <v>58</v>
      </c>
    </row>
    <row r="240" spans="1:54" x14ac:dyDescent="0.25">
      <c r="A240" t="s">
        <v>54</v>
      </c>
      <c r="B240" t="s">
        <v>54</v>
      </c>
      <c r="C240" t="s">
        <v>54</v>
      </c>
      <c r="D240" t="s">
        <v>151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174</v>
      </c>
      <c r="L240">
        <v>-1</v>
      </c>
      <c r="M240">
        <v>0</v>
      </c>
      <c r="N240">
        <v>-1</v>
      </c>
      <c r="O240">
        <v>0</v>
      </c>
      <c r="P240" t="s">
        <v>70</v>
      </c>
      <c r="Q240">
        <v>0</v>
      </c>
      <c r="R240">
        <v>0</v>
      </c>
      <c r="S240">
        <v>975</v>
      </c>
      <c r="T240" t="s">
        <v>57</v>
      </c>
      <c r="U240">
        <v>0</v>
      </c>
      <c r="V240">
        <v>0</v>
      </c>
      <c r="W240">
        <v>0</v>
      </c>
      <c r="X240">
        <v>0</v>
      </c>
      <c r="Y240" t="s">
        <v>67</v>
      </c>
      <c r="Z240">
        <v>0</v>
      </c>
      <c r="AA240">
        <v>0</v>
      </c>
      <c r="AB240">
        <v>0</v>
      </c>
      <c r="AC240">
        <v>0</v>
      </c>
      <c r="AD240" t="s">
        <v>60</v>
      </c>
      <c r="AE240">
        <v>0</v>
      </c>
      <c r="AF240">
        <v>0</v>
      </c>
      <c r="AG240">
        <v>0</v>
      </c>
      <c r="AH240">
        <v>0</v>
      </c>
      <c r="AI240" t="b">
        <v>0</v>
      </c>
      <c r="AJ240" t="s">
        <v>58</v>
      </c>
      <c r="AK240" t="s">
        <v>58</v>
      </c>
      <c r="AL240" t="s">
        <v>71</v>
      </c>
      <c r="AM240">
        <v>14</v>
      </c>
      <c r="AN240">
        <v>14</v>
      </c>
      <c r="AO240">
        <v>9</v>
      </c>
      <c r="AP240">
        <v>11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s">
        <v>61</v>
      </c>
      <c r="AY240" t="s">
        <v>57</v>
      </c>
      <c r="AZ240" t="s">
        <v>55</v>
      </c>
      <c r="BA240" t="s">
        <v>58</v>
      </c>
      <c r="BB240" t="s">
        <v>58</v>
      </c>
    </row>
    <row r="241" spans="1:54" x14ac:dyDescent="0.25">
      <c r="A241" t="s">
        <v>54</v>
      </c>
      <c r="B241" t="s">
        <v>54</v>
      </c>
      <c r="C241" t="s">
        <v>54</v>
      </c>
      <c r="D241" t="s">
        <v>167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166</v>
      </c>
      <c r="L241">
        <v>-1</v>
      </c>
      <c r="M241">
        <v>0</v>
      </c>
      <c r="N241">
        <v>-1</v>
      </c>
      <c r="O241">
        <v>0</v>
      </c>
      <c r="P241" t="s">
        <v>70</v>
      </c>
      <c r="Q241">
        <v>0</v>
      </c>
      <c r="R241">
        <v>0</v>
      </c>
      <c r="S241">
        <v>780</v>
      </c>
      <c r="T241" t="s">
        <v>57</v>
      </c>
      <c r="U241">
        <v>0</v>
      </c>
      <c r="V241">
        <v>0</v>
      </c>
      <c r="W241">
        <v>0</v>
      </c>
      <c r="X241">
        <v>0</v>
      </c>
      <c r="Y241" t="s">
        <v>67</v>
      </c>
      <c r="Z241">
        <v>0</v>
      </c>
      <c r="AA241">
        <v>0</v>
      </c>
      <c r="AB241">
        <v>0</v>
      </c>
      <c r="AC241">
        <v>0</v>
      </c>
      <c r="AD241" t="s">
        <v>60</v>
      </c>
      <c r="AE241">
        <v>0</v>
      </c>
      <c r="AF241">
        <v>0</v>
      </c>
      <c r="AG241">
        <v>0</v>
      </c>
      <c r="AH241">
        <v>0</v>
      </c>
      <c r="AI241" t="b">
        <v>0</v>
      </c>
      <c r="AJ241" t="s">
        <v>58</v>
      </c>
      <c r="AK241" t="s">
        <v>58</v>
      </c>
      <c r="AL241" t="s">
        <v>71</v>
      </c>
      <c r="AM241">
        <v>14</v>
      </c>
      <c r="AN241">
        <v>11</v>
      </c>
      <c r="AO241">
        <v>4</v>
      </c>
      <c r="AP241">
        <v>11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s">
        <v>61</v>
      </c>
      <c r="AY241" t="s">
        <v>57</v>
      </c>
      <c r="AZ241" t="s">
        <v>55</v>
      </c>
      <c r="BA241" t="s">
        <v>58</v>
      </c>
      <c r="BB241" t="s">
        <v>58</v>
      </c>
    </row>
    <row r="242" spans="1:54" x14ac:dyDescent="0.25">
      <c r="A242" t="s">
        <v>54</v>
      </c>
      <c r="B242" t="s">
        <v>54</v>
      </c>
      <c r="C242" t="s">
        <v>54</v>
      </c>
      <c r="D242" t="s">
        <v>150</v>
      </c>
      <c r="E242" t="s">
        <v>54</v>
      </c>
      <c r="F242" t="s">
        <v>54</v>
      </c>
      <c r="G242" t="s">
        <v>54</v>
      </c>
      <c r="H242" t="s">
        <v>54</v>
      </c>
      <c r="I242" t="s">
        <v>54</v>
      </c>
      <c r="J242" t="s">
        <v>54</v>
      </c>
      <c r="K242" t="s">
        <v>167</v>
      </c>
      <c r="L242">
        <v>-1</v>
      </c>
      <c r="M242">
        <v>0</v>
      </c>
      <c r="N242">
        <v>-1</v>
      </c>
      <c r="O242">
        <v>0</v>
      </c>
      <c r="P242" t="s">
        <v>70</v>
      </c>
      <c r="Q242">
        <v>0</v>
      </c>
      <c r="R242">
        <v>0</v>
      </c>
      <c r="S242">
        <v>965</v>
      </c>
      <c r="T242" t="s">
        <v>57</v>
      </c>
      <c r="U242">
        <v>0</v>
      </c>
      <c r="V242">
        <v>0</v>
      </c>
      <c r="W242">
        <v>0</v>
      </c>
      <c r="X242">
        <v>0</v>
      </c>
      <c r="Y242" t="s">
        <v>67</v>
      </c>
      <c r="Z242">
        <v>0</v>
      </c>
      <c r="AA242">
        <v>0</v>
      </c>
      <c r="AB242">
        <v>0</v>
      </c>
      <c r="AC242">
        <v>0</v>
      </c>
      <c r="AD242" t="s">
        <v>60</v>
      </c>
      <c r="AE242">
        <v>0</v>
      </c>
      <c r="AF242">
        <v>0</v>
      </c>
      <c r="AG242">
        <v>0</v>
      </c>
      <c r="AH242">
        <v>0</v>
      </c>
      <c r="AI242" t="b">
        <v>0</v>
      </c>
      <c r="AJ242" t="s">
        <v>58</v>
      </c>
      <c r="AK242" t="s">
        <v>58</v>
      </c>
      <c r="AL242" t="s">
        <v>71</v>
      </c>
      <c r="AM242">
        <v>14</v>
      </c>
      <c r="AN242">
        <v>13</v>
      </c>
      <c r="AO242">
        <v>7</v>
      </c>
      <c r="AP242">
        <v>11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s">
        <v>61</v>
      </c>
      <c r="AY242" t="s">
        <v>57</v>
      </c>
      <c r="AZ242" t="s">
        <v>55</v>
      </c>
      <c r="BA242" t="s">
        <v>58</v>
      </c>
      <c r="BB242" t="s">
        <v>58</v>
      </c>
    </row>
    <row r="243" spans="1:54" x14ac:dyDescent="0.25">
      <c r="A243" t="s">
        <v>54</v>
      </c>
      <c r="B243" t="s">
        <v>54</v>
      </c>
      <c r="C243" t="s">
        <v>54</v>
      </c>
      <c r="D243" t="s">
        <v>174</v>
      </c>
      <c r="E243" t="s">
        <v>54</v>
      </c>
      <c r="F243" t="s">
        <v>54</v>
      </c>
      <c r="G243" t="s">
        <v>54</v>
      </c>
      <c r="H243" t="s">
        <v>54</v>
      </c>
      <c r="I243" t="s">
        <v>54</v>
      </c>
      <c r="J243" t="s">
        <v>54</v>
      </c>
      <c r="K243" t="s">
        <v>154</v>
      </c>
      <c r="L243">
        <v>-1</v>
      </c>
      <c r="M243">
        <v>0</v>
      </c>
      <c r="N243">
        <v>-1</v>
      </c>
      <c r="O243">
        <v>0</v>
      </c>
      <c r="P243" t="s">
        <v>70</v>
      </c>
      <c r="Q243">
        <v>0</v>
      </c>
      <c r="R243">
        <v>0</v>
      </c>
      <c r="S243">
        <v>780</v>
      </c>
      <c r="T243" t="s">
        <v>57</v>
      </c>
      <c r="U243">
        <v>0</v>
      </c>
      <c r="V243">
        <v>0</v>
      </c>
      <c r="W243">
        <v>0</v>
      </c>
      <c r="X243">
        <v>0</v>
      </c>
      <c r="Y243" t="s">
        <v>67</v>
      </c>
      <c r="Z243">
        <v>0</v>
      </c>
      <c r="AA243">
        <v>0</v>
      </c>
      <c r="AB243">
        <v>0</v>
      </c>
      <c r="AC243">
        <v>0</v>
      </c>
      <c r="AD243" t="s">
        <v>60</v>
      </c>
      <c r="AE243">
        <v>0</v>
      </c>
      <c r="AF243">
        <v>0</v>
      </c>
      <c r="AG243">
        <v>0</v>
      </c>
      <c r="AH243">
        <v>0</v>
      </c>
      <c r="AI243" t="b">
        <v>0</v>
      </c>
      <c r="AJ243" t="s">
        <v>58</v>
      </c>
      <c r="AK243" t="s">
        <v>58</v>
      </c>
      <c r="AL243" t="s">
        <v>71</v>
      </c>
      <c r="AM243">
        <v>14</v>
      </c>
      <c r="AN243">
        <v>11</v>
      </c>
      <c r="AO243">
        <v>5</v>
      </c>
      <c r="AP243">
        <v>11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s">
        <v>61</v>
      </c>
      <c r="AY243" t="s">
        <v>57</v>
      </c>
      <c r="AZ243" t="s">
        <v>55</v>
      </c>
      <c r="BA243" t="s">
        <v>58</v>
      </c>
      <c r="BB243" t="s">
        <v>58</v>
      </c>
    </row>
    <row r="244" spans="1:54" x14ac:dyDescent="0.25">
      <c r="A244" t="s">
        <v>54</v>
      </c>
      <c r="B244" t="s">
        <v>54</v>
      </c>
      <c r="C244" t="s">
        <v>54</v>
      </c>
      <c r="D244" t="s">
        <v>143</v>
      </c>
      <c r="E244" t="s">
        <v>54</v>
      </c>
      <c r="F244" t="s">
        <v>54</v>
      </c>
      <c r="G244" t="s">
        <v>54</v>
      </c>
      <c r="H244" t="s">
        <v>54</v>
      </c>
      <c r="I244" t="s">
        <v>54</v>
      </c>
      <c r="J244" t="s">
        <v>54</v>
      </c>
      <c r="K244" t="s">
        <v>172</v>
      </c>
      <c r="L244">
        <v>-1</v>
      </c>
      <c r="M244">
        <v>0</v>
      </c>
      <c r="N244">
        <v>-1</v>
      </c>
      <c r="O244">
        <v>0</v>
      </c>
      <c r="P244" t="s">
        <v>70</v>
      </c>
      <c r="Q244">
        <v>0</v>
      </c>
      <c r="R244">
        <v>0</v>
      </c>
      <c r="S244">
        <v>965</v>
      </c>
      <c r="T244" t="s">
        <v>57</v>
      </c>
      <c r="U244">
        <v>0</v>
      </c>
      <c r="V244">
        <v>0</v>
      </c>
      <c r="W244">
        <v>0</v>
      </c>
      <c r="X244">
        <v>0</v>
      </c>
      <c r="Y244" t="s">
        <v>67</v>
      </c>
      <c r="Z244">
        <v>0</v>
      </c>
      <c r="AA244">
        <v>0</v>
      </c>
      <c r="AB244">
        <v>0</v>
      </c>
      <c r="AC244">
        <v>0</v>
      </c>
      <c r="AD244" t="s">
        <v>60</v>
      </c>
      <c r="AE244">
        <v>0</v>
      </c>
      <c r="AF244">
        <v>0</v>
      </c>
      <c r="AG244">
        <v>0</v>
      </c>
      <c r="AH244">
        <v>0</v>
      </c>
      <c r="AI244" t="b">
        <v>0</v>
      </c>
      <c r="AJ244" t="s">
        <v>58</v>
      </c>
      <c r="AK244" t="s">
        <v>58</v>
      </c>
      <c r="AL244" t="s">
        <v>71</v>
      </c>
      <c r="AM244">
        <v>14</v>
      </c>
      <c r="AN244">
        <v>14</v>
      </c>
      <c r="AO244">
        <v>8</v>
      </c>
      <c r="AP244">
        <v>11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s">
        <v>61</v>
      </c>
      <c r="AY244" t="s">
        <v>57</v>
      </c>
      <c r="AZ244" t="s">
        <v>55</v>
      </c>
      <c r="BA244" t="s">
        <v>58</v>
      </c>
      <c r="BB244" t="s">
        <v>58</v>
      </c>
    </row>
    <row r="245" spans="1:54" x14ac:dyDescent="0.25">
      <c r="A245" t="s">
        <v>54</v>
      </c>
      <c r="B245" t="s">
        <v>54</v>
      </c>
      <c r="C245" t="s">
        <v>54</v>
      </c>
      <c r="D245" t="s">
        <v>156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165</v>
      </c>
      <c r="L245">
        <v>-1</v>
      </c>
      <c r="M245">
        <v>0</v>
      </c>
      <c r="N245">
        <v>-1</v>
      </c>
      <c r="O245">
        <v>0</v>
      </c>
      <c r="P245" t="s">
        <v>70</v>
      </c>
      <c r="Q245">
        <v>0</v>
      </c>
      <c r="R245">
        <v>0</v>
      </c>
      <c r="S245">
        <v>780</v>
      </c>
      <c r="T245" t="s">
        <v>57</v>
      </c>
      <c r="U245">
        <v>0</v>
      </c>
      <c r="V245">
        <v>0</v>
      </c>
      <c r="W245">
        <v>0</v>
      </c>
      <c r="X245">
        <v>0</v>
      </c>
      <c r="Y245" t="s">
        <v>67</v>
      </c>
      <c r="Z245">
        <v>0</v>
      </c>
      <c r="AA245">
        <v>0</v>
      </c>
      <c r="AB245">
        <v>0</v>
      </c>
      <c r="AC245">
        <v>0</v>
      </c>
      <c r="AD245" t="s">
        <v>60</v>
      </c>
      <c r="AE245">
        <v>0</v>
      </c>
      <c r="AF245">
        <v>0</v>
      </c>
      <c r="AG245">
        <v>0</v>
      </c>
      <c r="AH245">
        <v>0</v>
      </c>
      <c r="AI245" t="b">
        <v>0</v>
      </c>
      <c r="AJ245" t="s">
        <v>58</v>
      </c>
      <c r="AK245" t="s">
        <v>58</v>
      </c>
      <c r="AL245" t="s">
        <v>71</v>
      </c>
      <c r="AM245">
        <v>14</v>
      </c>
      <c r="AN245">
        <v>13</v>
      </c>
      <c r="AO245">
        <v>1</v>
      </c>
      <c r="AP245">
        <v>11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s">
        <v>61</v>
      </c>
      <c r="AY245" t="s">
        <v>57</v>
      </c>
      <c r="AZ245" t="s">
        <v>55</v>
      </c>
      <c r="BA245" t="s">
        <v>58</v>
      </c>
      <c r="BB245" t="s">
        <v>58</v>
      </c>
    </row>
    <row r="246" spans="1:54" x14ac:dyDescent="0.25">
      <c r="A246" t="s">
        <v>54</v>
      </c>
      <c r="B246" t="s">
        <v>54</v>
      </c>
      <c r="C246" t="s">
        <v>54</v>
      </c>
      <c r="D246" t="s">
        <v>154</v>
      </c>
      <c r="E246" t="s">
        <v>54</v>
      </c>
      <c r="F246" t="s">
        <v>54</v>
      </c>
      <c r="G246" t="s">
        <v>54</v>
      </c>
      <c r="H246" t="s">
        <v>54</v>
      </c>
      <c r="I246" t="s">
        <v>54</v>
      </c>
      <c r="J246" t="s">
        <v>54</v>
      </c>
      <c r="K246" t="s">
        <v>162</v>
      </c>
      <c r="L246">
        <v>-1</v>
      </c>
      <c r="M246">
        <v>0</v>
      </c>
      <c r="N246">
        <v>-1</v>
      </c>
      <c r="O246">
        <v>0</v>
      </c>
      <c r="P246" t="s">
        <v>70</v>
      </c>
      <c r="Q246">
        <v>0</v>
      </c>
      <c r="R246">
        <v>0</v>
      </c>
      <c r="S246">
        <v>780</v>
      </c>
      <c r="T246" t="s">
        <v>57</v>
      </c>
      <c r="U246">
        <v>0</v>
      </c>
      <c r="V246">
        <v>0</v>
      </c>
      <c r="W246">
        <v>0</v>
      </c>
      <c r="X246">
        <v>0</v>
      </c>
      <c r="Y246" t="s">
        <v>67</v>
      </c>
      <c r="Z246">
        <v>0</v>
      </c>
      <c r="AA246">
        <v>0</v>
      </c>
      <c r="AB246">
        <v>0</v>
      </c>
      <c r="AC246">
        <v>0</v>
      </c>
      <c r="AD246" t="s">
        <v>60</v>
      </c>
      <c r="AE246">
        <v>0</v>
      </c>
      <c r="AF246">
        <v>0</v>
      </c>
      <c r="AG246">
        <v>0</v>
      </c>
      <c r="AH246">
        <v>0</v>
      </c>
      <c r="AI246" t="b">
        <v>0</v>
      </c>
      <c r="AJ246" t="s">
        <v>58</v>
      </c>
      <c r="AK246" t="s">
        <v>58</v>
      </c>
      <c r="AL246" t="s">
        <v>71</v>
      </c>
      <c r="AM246">
        <v>14</v>
      </c>
      <c r="AN246">
        <v>13</v>
      </c>
      <c r="AO246">
        <v>2</v>
      </c>
      <c r="AP246">
        <v>11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s">
        <v>61</v>
      </c>
      <c r="AY246" t="s">
        <v>57</v>
      </c>
      <c r="AZ246" t="s">
        <v>55</v>
      </c>
      <c r="BA246" t="s">
        <v>58</v>
      </c>
      <c r="BB246" t="s">
        <v>58</v>
      </c>
    </row>
    <row r="247" spans="1:54" x14ac:dyDescent="0.25">
      <c r="A247" t="s">
        <v>54</v>
      </c>
      <c r="B247" t="s">
        <v>54</v>
      </c>
      <c r="C247" t="s">
        <v>54</v>
      </c>
      <c r="D247" t="s">
        <v>151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157</v>
      </c>
      <c r="L247">
        <v>-1</v>
      </c>
      <c r="M247">
        <v>0</v>
      </c>
      <c r="N247">
        <v>-1</v>
      </c>
      <c r="O247">
        <v>0</v>
      </c>
      <c r="P247" t="s">
        <v>70</v>
      </c>
      <c r="Q247">
        <v>0</v>
      </c>
      <c r="R247">
        <v>0</v>
      </c>
      <c r="S247">
        <v>780</v>
      </c>
      <c r="T247" t="s">
        <v>57</v>
      </c>
      <c r="U247">
        <v>0</v>
      </c>
      <c r="V247">
        <v>0</v>
      </c>
      <c r="W247">
        <v>0</v>
      </c>
      <c r="X247">
        <v>0</v>
      </c>
      <c r="Y247" t="s">
        <v>67</v>
      </c>
      <c r="Z247">
        <v>0</v>
      </c>
      <c r="AA247">
        <v>0</v>
      </c>
      <c r="AB247">
        <v>0</v>
      </c>
      <c r="AC247">
        <v>0</v>
      </c>
      <c r="AD247" t="s">
        <v>60</v>
      </c>
      <c r="AE247">
        <v>0</v>
      </c>
      <c r="AF247">
        <v>0</v>
      </c>
      <c r="AG247">
        <v>0</v>
      </c>
      <c r="AH247">
        <v>0</v>
      </c>
      <c r="AI247" t="b">
        <v>0</v>
      </c>
      <c r="AJ247" t="s">
        <v>58</v>
      </c>
      <c r="AK247" t="s">
        <v>58</v>
      </c>
      <c r="AL247" t="s">
        <v>71</v>
      </c>
      <c r="AM247">
        <v>14</v>
      </c>
      <c r="AN247">
        <v>12</v>
      </c>
      <c r="AO247">
        <v>4</v>
      </c>
      <c r="AP247">
        <v>11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s">
        <v>61</v>
      </c>
      <c r="AY247" t="s">
        <v>57</v>
      </c>
      <c r="AZ247" t="s">
        <v>55</v>
      </c>
      <c r="BA247" t="s">
        <v>58</v>
      </c>
      <c r="BB247" t="s">
        <v>58</v>
      </c>
    </row>
    <row r="248" spans="1:54" x14ac:dyDescent="0.25">
      <c r="A248" t="s">
        <v>54</v>
      </c>
      <c r="B248" t="s">
        <v>54</v>
      </c>
      <c r="C248" t="s">
        <v>54</v>
      </c>
      <c r="D248" t="s">
        <v>155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160</v>
      </c>
      <c r="L248">
        <v>-1</v>
      </c>
      <c r="M248">
        <v>0</v>
      </c>
      <c r="N248">
        <v>-1</v>
      </c>
      <c r="O248">
        <v>0</v>
      </c>
      <c r="P248" t="s">
        <v>70</v>
      </c>
      <c r="Q248">
        <v>0</v>
      </c>
      <c r="R248">
        <v>0</v>
      </c>
      <c r="S248">
        <v>780</v>
      </c>
      <c r="T248" t="s">
        <v>57</v>
      </c>
      <c r="U248">
        <v>0</v>
      </c>
      <c r="V248">
        <v>0</v>
      </c>
      <c r="W248">
        <v>0</v>
      </c>
      <c r="X248">
        <v>0</v>
      </c>
      <c r="Y248" t="s">
        <v>67</v>
      </c>
      <c r="Z248">
        <v>0</v>
      </c>
      <c r="AA248">
        <v>0</v>
      </c>
      <c r="AB248">
        <v>0</v>
      </c>
      <c r="AC248">
        <v>0</v>
      </c>
      <c r="AD248" t="s">
        <v>60</v>
      </c>
      <c r="AE248">
        <v>0</v>
      </c>
      <c r="AF248">
        <v>0</v>
      </c>
      <c r="AG248">
        <v>0</v>
      </c>
      <c r="AH248">
        <v>0</v>
      </c>
      <c r="AI248" t="b">
        <v>0</v>
      </c>
      <c r="AJ248" t="s">
        <v>58</v>
      </c>
      <c r="AK248" t="s">
        <v>58</v>
      </c>
      <c r="AL248" t="s">
        <v>71</v>
      </c>
      <c r="AM248">
        <v>14</v>
      </c>
      <c r="AN248">
        <v>13</v>
      </c>
      <c r="AO248">
        <v>3</v>
      </c>
      <c r="AP248">
        <v>11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s">
        <v>61</v>
      </c>
      <c r="AY248" t="s">
        <v>57</v>
      </c>
      <c r="AZ248" t="s">
        <v>55</v>
      </c>
      <c r="BA248" t="s">
        <v>58</v>
      </c>
      <c r="BB248" t="s">
        <v>58</v>
      </c>
    </row>
    <row r="249" spans="1:54" x14ac:dyDescent="0.25">
      <c r="A249" t="s">
        <v>54</v>
      </c>
      <c r="B249" t="s">
        <v>54</v>
      </c>
      <c r="C249" t="s">
        <v>54</v>
      </c>
      <c r="D249" t="s">
        <v>153</v>
      </c>
      <c r="E249" t="s">
        <v>54</v>
      </c>
      <c r="F249" t="s">
        <v>54</v>
      </c>
      <c r="G249" t="s">
        <v>54</v>
      </c>
      <c r="H249" t="s">
        <v>54</v>
      </c>
      <c r="I249" t="s">
        <v>54</v>
      </c>
      <c r="J249" t="s">
        <v>54</v>
      </c>
      <c r="K249" t="s">
        <v>170</v>
      </c>
      <c r="L249">
        <v>-1</v>
      </c>
      <c r="M249">
        <v>0</v>
      </c>
      <c r="N249">
        <v>-1</v>
      </c>
      <c r="O249">
        <v>0</v>
      </c>
      <c r="P249" t="s">
        <v>70</v>
      </c>
      <c r="Q249">
        <v>0</v>
      </c>
      <c r="R249">
        <v>0</v>
      </c>
      <c r="S249">
        <v>780</v>
      </c>
      <c r="T249" t="s">
        <v>57</v>
      </c>
      <c r="U249">
        <v>0</v>
      </c>
      <c r="V249">
        <v>0</v>
      </c>
      <c r="W249">
        <v>0</v>
      </c>
      <c r="X249">
        <v>0</v>
      </c>
      <c r="Y249" t="s">
        <v>67</v>
      </c>
      <c r="Z249">
        <v>0</v>
      </c>
      <c r="AA249">
        <v>0</v>
      </c>
      <c r="AB249">
        <v>0</v>
      </c>
      <c r="AC249">
        <v>0</v>
      </c>
      <c r="AD249" t="s">
        <v>60</v>
      </c>
      <c r="AE249">
        <v>0</v>
      </c>
      <c r="AF249">
        <v>0</v>
      </c>
      <c r="AG249">
        <v>0</v>
      </c>
      <c r="AH249">
        <v>0</v>
      </c>
      <c r="AI249" t="b">
        <v>0</v>
      </c>
      <c r="AJ249" t="s">
        <v>58</v>
      </c>
      <c r="AK249" t="s">
        <v>58</v>
      </c>
      <c r="AL249" t="s">
        <v>71</v>
      </c>
      <c r="AM249">
        <v>14</v>
      </c>
      <c r="AN249">
        <v>13</v>
      </c>
      <c r="AO249">
        <v>4</v>
      </c>
      <c r="AP249">
        <v>11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s">
        <v>61</v>
      </c>
      <c r="AY249" t="s">
        <v>57</v>
      </c>
      <c r="AZ249" t="s">
        <v>55</v>
      </c>
      <c r="BA249" t="s">
        <v>58</v>
      </c>
      <c r="BB249" t="s">
        <v>58</v>
      </c>
    </row>
    <row r="250" spans="1:54" x14ac:dyDescent="0.25">
      <c r="A250" t="s">
        <v>54</v>
      </c>
      <c r="B250" t="s">
        <v>54</v>
      </c>
      <c r="C250" t="s">
        <v>54</v>
      </c>
      <c r="D250" t="s">
        <v>145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 t="s">
        <v>144</v>
      </c>
      <c r="L250">
        <v>-1</v>
      </c>
      <c r="M250">
        <v>0</v>
      </c>
      <c r="N250">
        <v>-1</v>
      </c>
      <c r="O250">
        <v>0</v>
      </c>
      <c r="P250" t="s">
        <v>70</v>
      </c>
      <c r="Q250">
        <v>0</v>
      </c>
      <c r="R250">
        <v>0</v>
      </c>
      <c r="S250">
        <v>1220</v>
      </c>
      <c r="T250" t="s">
        <v>57</v>
      </c>
      <c r="U250">
        <v>0</v>
      </c>
      <c r="V250">
        <v>0</v>
      </c>
      <c r="W250">
        <v>0</v>
      </c>
      <c r="X250">
        <v>0</v>
      </c>
      <c r="Y250" t="s">
        <v>60</v>
      </c>
      <c r="Z250">
        <v>0</v>
      </c>
      <c r="AA250">
        <v>0</v>
      </c>
      <c r="AB250">
        <v>0</v>
      </c>
      <c r="AC250">
        <v>0</v>
      </c>
      <c r="AD250" t="s">
        <v>60</v>
      </c>
      <c r="AE250">
        <v>0</v>
      </c>
      <c r="AF250">
        <v>0</v>
      </c>
      <c r="AG250">
        <v>0</v>
      </c>
      <c r="AH250">
        <v>0</v>
      </c>
      <c r="AI250" t="b">
        <v>0</v>
      </c>
      <c r="AJ250" t="s">
        <v>58</v>
      </c>
      <c r="AK250" t="s">
        <v>58</v>
      </c>
      <c r="AL250" t="s">
        <v>71</v>
      </c>
      <c r="AM250">
        <v>14</v>
      </c>
      <c r="AN250">
        <v>12</v>
      </c>
      <c r="AO250">
        <v>11</v>
      </c>
      <c r="AP250">
        <v>11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s">
        <v>61</v>
      </c>
      <c r="AY250" t="s">
        <v>57</v>
      </c>
      <c r="AZ250" t="s">
        <v>55</v>
      </c>
      <c r="BA250" t="s">
        <v>58</v>
      </c>
      <c r="BB250" t="s">
        <v>58</v>
      </c>
    </row>
    <row r="251" spans="1:54" x14ac:dyDescent="0.25">
      <c r="A251" t="s">
        <v>54</v>
      </c>
      <c r="B251" t="s">
        <v>54</v>
      </c>
      <c r="C251" t="s">
        <v>54</v>
      </c>
      <c r="D251" t="s">
        <v>168</v>
      </c>
      <c r="E251" t="s">
        <v>54</v>
      </c>
      <c r="F251" t="s">
        <v>54</v>
      </c>
      <c r="G251" t="s">
        <v>54</v>
      </c>
      <c r="H251" t="s">
        <v>54</v>
      </c>
      <c r="I251" t="s">
        <v>54</v>
      </c>
      <c r="J251" t="s">
        <v>54</v>
      </c>
      <c r="K251" t="s">
        <v>145</v>
      </c>
      <c r="L251">
        <v>-1</v>
      </c>
      <c r="M251">
        <v>0</v>
      </c>
      <c r="N251">
        <v>-1</v>
      </c>
      <c r="O251">
        <v>0</v>
      </c>
      <c r="P251" t="s">
        <v>70</v>
      </c>
      <c r="Q251">
        <v>0</v>
      </c>
      <c r="R251">
        <v>0</v>
      </c>
      <c r="S251">
        <v>780</v>
      </c>
      <c r="T251" t="s">
        <v>57</v>
      </c>
      <c r="U251">
        <v>0</v>
      </c>
      <c r="V251">
        <v>0</v>
      </c>
      <c r="W251">
        <v>0</v>
      </c>
      <c r="X251">
        <v>0</v>
      </c>
      <c r="Y251" t="s">
        <v>67</v>
      </c>
      <c r="Z251">
        <v>0</v>
      </c>
      <c r="AA251">
        <v>0</v>
      </c>
      <c r="AB251">
        <v>0</v>
      </c>
      <c r="AC251">
        <v>0</v>
      </c>
      <c r="AD251" t="s">
        <v>60</v>
      </c>
      <c r="AE251">
        <v>0</v>
      </c>
      <c r="AF251">
        <v>0</v>
      </c>
      <c r="AG251">
        <v>0</v>
      </c>
      <c r="AH251">
        <v>0</v>
      </c>
      <c r="AI251" t="b">
        <v>0</v>
      </c>
      <c r="AJ251" t="s">
        <v>58</v>
      </c>
      <c r="AK251" t="s">
        <v>58</v>
      </c>
      <c r="AL251" t="s">
        <v>71</v>
      </c>
      <c r="AM251">
        <v>14</v>
      </c>
      <c r="AN251">
        <v>13</v>
      </c>
      <c r="AO251">
        <v>5</v>
      </c>
      <c r="AP251">
        <v>11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s">
        <v>61</v>
      </c>
      <c r="AY251" t="s">
        <v>57</v>
      </c>
      <c r="AZ251" t="s">
        <v>55</v>
      </c>
      <c r="BA251" t="s">
        <v>58</v>
      </c>
      <c r="BB251" t="s">
        <v>58</v>
      </c>
    </row>
    <row r="252" spans="1:54" x14ac:dyDescent="0.25">
      <c r="A252" t="s">
        <v>54</v>
      </c>
      <c r="B252" t="s">
        <v>54</v>
      </c>
      <c r="C252" t="s">
        <v>54</v>
      </c>
      <c r="D252" t="s">
        <v>147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163</v>
      </c>
      <c r="L252">
        <v>-1</v>
      </c>
      <c r="M252">
        <v>0</v>
      </c>
      <c r="N252">
        <v>-1</v>
      </c>
      <c r="O252">
        <v>0</v>
      </c>
      <c r="P252" t="s">
        <v>70</v>
      </c>
      <c r="Q252">
        <v>0</v>
      </c>
      <c r="R252">
        <v>0</v>
      </c>
      <c r="S252">
        <v>780</v>
      </c>
      <c r="T252" t="s">
        <v>57</v>
      </c>
      <c r="U252">
        <v>0</v>
      </c>
      <c r="V252">
        <v>0</v>
      </c>
      <c r="W252">
        <v>0</v>
      </c>
      <c r="X252">
        <v>0</v>
      </c>
      <c r="Y252" t="s">
        <v>67</v>
      </c>
      <c r="Z252">
        <v>0</v>
      </c>
      <c r="AA252">
        <v>0</v>
      </c>
      <c r="AB252">
        <v>0</v>
      </c>
      <c r="AC252">
        <v>0</v>
      </c>
      <c r="AD252" t="s">
        <v>60</v>
      </c>
      <c r="AE252">
        <v>0</v>
      </c>
      <c r="AF252">
        <v>0</v>
      </c>
      <c r="AG252">
        <v>0</v>
      </c>
      <c r="AH252">
        <v>0</v>
      </c>
      <c r="AI252" t="b">
        <v>0</v>
      </c>
      <c r="AJ252" t="s">
        <v>58</v>
      </c>
      <c r="AK252" t="s">
        <v>58</v>
      </c>
      <c r="AL252" t="s">
        <v>71</v>
      </c>
      <c r="AM252">
        <v>14</v>
      </c>
      <c r="AN252">
        <v>13</v>
      </c>
      <c r="AO252">
        <v>6</v>
      </c>
      <c r="AP252">
        <v>11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s">
        <v>61</v>
      </c>
      <c r="AY252" t="s">
        <v>57</v>
      </c>
      <c r="AZ252" t="s">
        <v>55</v>
      </c>
      <c r="BA252" t="s">
        <v>58</v>
      </c>
      <c r="BB252" t="s">
        <v>58</v>
      </c>
    </row>
    <row r="253" spans="1:54" x14ac:dyDescent="0.25">
      <c r="A253" t="s">
        <v>54</v>
      </c>
      <c r="B253" t="s">
        <v>54</v>
      </c>
      <c r="C253" t="s">
        <v>54</v>
      </c>
      <c r="D253" t="s">
        <v>150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168</v>
      </c>
      <c r="L253">
        <v>-1</v>
      </c>
      <c r="M253">
        <v>0</v>
      </c>
      <c r="N253">
        <v>-1</v>
      </c>
      <c r="O253">
        <v>0</v>
      </c>
      <c r="P253" t="s">
        <v>70</v>
      </c>
      <c r="Q253">
        <v>0</v>
      </c>
      <c r="R253">
        <v>0</v>
      </c>
      <c r="S253">
        <v>1230</v>
      </c>
      <c r="T253" t="s">
        <v>57</v>
      </c>
      <c r="U253">
        <v>0</v>
      </c>
      <c r="V253">
        <v>0</v>
      </c>
      <c r="W253">
        <v>0</v>
      </c>
      <c r="X253">
        <v>0</v>
      </c>
      <c r="Y253" t="s">
        <v>65</v>
      </c>
      <c r="Z253">
        <v>0</v>
      </c>
      <c r="AA253">
        <v>0</v>
      </c>
      <c r="AB253">
        <v>0</v>
      </c>
      <c r="AC253">
        <v>0</v>
      </c>
      <c r="AD253" t="s">
        <v>65</v>
      </c>
      <c r="AE253">
        <v>0</v>
      </c>
      <c r="AF253">
        <v>0</v>
      </c>
      <c r="AG253">
        <v>0</v>
      </c>
      <c r="AH253">
        <v>0</v>
      </c>
      <c r="AI253" t="b">
        <v>0</v>
      </c>
      <c r="AJ253" t="s">
        <v>58</v>
      </c>
      <c r="AK253" t="s">
        <v>58</v>
      </c>
      <c r="AL253" t="s">
        <v>71</v>
      </c>
      <c r="AM253">
        <v>14</v>
      </c>
      <c r="AN253">
        <v>14</v>
      </c>
      <c r="AO253">
        <v>14</v>
      </c>
      <c r="AP253">
        <v>11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s">
        <v>61</v>
      </c>
      <c r="AY253" t="s">
        <v>57</v>
      </c>
      <c r="AZ253" t="s">
        <v>55</v>
      </c>
      <c r="BA253" t="s">
        <v>58</v>
      </c>
      <c r="BB253" t="s">
        <v>58</v>
      </c>
    </row>
    <row r="254" spans="1:54" x14ac:dyDescent="0.25">
      <c r="A254" t="s">
        <v>54</v>
      </c>
      <c r="B254" t="s">
        <v>54</v>
      </c>
      <c r="C254" t="s">
        <v>54</v>
      </c>
      <c r="D254" t="s">
        <v>171</v>
      </c>
      <c r="E254" t="s">
        <v>54</v>
      </c>
      <c r="F254" t="s">
        <v>54</v>
      </c>
      <c r="G254" t="s">
        <v>54</v>
      </c>
      <c r="H254" t="s">
        <v>54</v>
      </c>
      <c r="I254" t="s">
        <v>54</v>
      </c>
      <c r="J254" t="s">
        <v>54</v>
      </c>
      <c r="K254" t="s">
        <v>164</v>
      </c>
      <c r="L254">
        <v>-1</v>
      </c>
      <c r="M254">
        <v>0</v>
      </c>
      <c r="N254">
        <v>-1</v>
      </c>
      <c r="O254">
        <v>0</v>
      </c>
      <c r="P254" t="s">
        <v>70</v>
      </c>
      <c r="Q254">
        <v>0</v>
      </c>
      <c r="R254">
        <v>0</v>
      </c>
      <c r="S254">
        <v>1230</v>
      </c>
      <c r="T254" t="s">
        <v>57</v>
      </c>
      <c r="U254">
        <v>0</v>
      </c>
      <c r="V254">
        <v>0</v>
      </c>
      <c r="W254">
        <v>0</v>
      </c>
      <c r="X254">
        <v>0</v>
      </c>
      <c r="Y254" t="s">
        <v>65</v>
      </c>
      <c r="Z254">
        <v>0</v>
      </c>
      <c r="AA254">
        <v>0</v>
      </c>
      <c r="AB254">
        <v>0</v>
      </c>
      <c r="AC254">
        <v>0</v>
      </c>
      <c r="AD254" t="s">
        <v>65</v>
      </c>
      <c r="AE254">
        <v>0</v>
      </c>
      <c r="AF254">
        <v>0</v>
      </c>
      <c r="AG254">
        <v>0</v>
      </c>
      <c r="AH254">
        <v>0</v>
      </c>
      <c r="AI254" t="b">
        <v>0</v>
      </c>
      <c r="AJ254" t="s">
        <v>58</v>
      </c>
      <c r="AK254" t="s">
        <v>58</v>
      </c>
      <c r="AL254" t="s">
        <v>71</v>
      </c>
      <c r="AM254">
        <v>14</v>
      </c>
      <c r="AN254">
        <v>12</v>
      </c>
      <c r="AO254">
        <v>12</v>
      </c>
      <c r="AP254">
        <v>11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s">
        <v>61</v>
      </c>
      <c r="AY254" t="s">
        <v>57</v>
      </c>
      <c r="AZ254" t="s">
        <v>55</v>
      </c>
      <c r="BA254" t="s">
        <v>58</v>
      </c>
      <c r="BB254" t="s">
        <v>58</v>
      </c>
    </row>
    <row r="255" spans="1:54" x14ac:dyDescent="0.25">
      <c r="A255" t="s">
        <v>54</v>
      </c>
      <c r="B255" t="s">
        <v>54</v>
      </c>
      <c r="C255" t="s">
        <v>54</v>
      </c>
      <c r="D255" t="s">
        <v>163</v>
      </c>
      <c r="E255" t="s">
        <v>54</v>
      </c>
      <c r="F255" t="s">
        <v>54</v>
      </c>
      <c r="G255" t="s">
        <v>54</v>
      </c>
      <c r="H255" t="s">
        <v>54</v>
      </c>
      <c r="I255" t="s">
        <v>54</v>
      </c>
      <c r="J255" t="s">
        <v>54</v>
      </c>
      <c r="K255" t="s">
        <v>164</v>
      </c>
      <c r="L255">
        <v>-1</v>
      </c>
      <c r="M255">
        <v>0</v>
      </c>
      <c r="N255">
        <v>-1</v>
      </c>
      <c r="O255">
        <v>0</v>
      </c>
      <c r="P255" t="s">
        <v>70</v>
      </c>
      <c r="Q255">
        <v>0</v>
      </c>
      <c r="R255">
        <v>0</v>
      </c>
      <c r="S255">
        <v>780</v>
      </c>
      <c r="T255" t="s">
        <v>57</v>
      </c>
      <c r="U255">
        <v>0</v>
      </c>
      <c r="V255">
        <v>0</v>
      </c>
      <c r="W255">
        <v>0</v>
      </c>
      <c r="X255">
        <v>0</v>
      </c>
      <c r="Y255" t="s">
        <v>67</v>
      </c>
      <c r="Z255">
        <v>0</v>
      </c>
      <c r="AA255">
        <v>0</v>
      </c>
      <c r="AB255">
        <v>0</v>
      </c>
      <c r="AC255">
        <v>0</v>
      </c>
      <c r="AD255" t="s">
        <v>60</v>
      </c>
      <c r="AE255">
        <v>0</v>
      </c>
      <c r="AF255">
        <v>0</v>
      </c>
      <c r="AG255">
        <v>0</v>
      </c>
      <c r="AH255">
        <v>0</v>
      </c>
      <c r="AI255" t="b">
        <v>0</v>
      </c>
      <c r="AJ255" t="s">
        <v>58</v>
      </c>
      <c r="AK255" t="s">
        <v>58</v>
      </c>
      <c r="AL255" t="s">
        <v>71</v>
      </c>
      <c r="AM255">
        <v>14</v>
      </c>
      <c r="AN255">
        <v>11</v>
      </c>
      <c r="AO255">
        <v>6</v>
      </c>
      <c r="AP255">
        <v>11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s">
        <v>61</v>
      </c>
      <c r="AY255" t="s">
        <v>57</v>
      </c>
      <c r="AZ255" t="s">
        <v>55</v>
      </c>
      <c r="BA255" t="s">
        <v>58</v>
      </c>
      <c r="BB255" t="s">
        <v>58</v>
      </c>
    </row>
    <row r="256" spans="1:54" x14ac:dyDescent="0.25">
      <c r="A256" t="s">
        <v>54</v>
      </c>
      <c r="B256" t="s">
        <v>54</v>
      </c>
      <c r="C256" t="s">
        <v>54</v>
      </c>
      <c r="D256" t="s">
        <v>162</v>
      </c>
      <c r="E256" t="s">
        <v>54</v>
      </c>
      <c r="F256" t="s">
        <v>54</v>
      </c>
      <c r="G256" t="s">
        <v>54</v>
      </c>
      <c r="H256" t="s">
        <v>54</v>
      </c>
      <c r="I256" t="s">
        <v>54</v>
      </c>
      <c r="J256" t="s">
        <v>54</v>
      </c>
      <c r="K256" t="s">
        <v>165</v>
      </c>
      <c r="L256">
        <v>-1</v>
      </c>
      <c r="M256">
        <v>0</v>
      </c>
      <c r="N256">
        <v>-1</v>
      </c>
      <c r="O256">
        <v>0</v>
      </c>
      <c r="P256" t="s">
        <v>70</v>
      </c>
      <c r="Q256">
        <v>0</v>
      </c>
      <c r="R256">
        <v>0</v>
      </c>
      <c r="S256">
        <v>780</v>
      </c>
      <c r="T256" t="s">
        <v>57</v>
      </c>
      <c r="U256">
        <v>0</v>
      </c>
      <c r="V256">
        <v>0</v>
      </c>
      <c r="W256">
        <v>0</v>
      </c>
      <c r="X256">
        <v>0</v>
      </c>
      <c r="Y256" t="s">
        <v>67</v>
      </c>
      <c r="Z256">
        <v>0</v>
      </c>
      <c r="AA256">
        <v>0</v>
      </c>
      <c r="AB256">
        <v>0</v>
      </c>
      <c r="AC256">
        <v>0</v>
      </c>
      <c r="AD256" t="s">
        <v>60</v>
      </c>
      <c r="AE256">
        <v>0</v>
      </c>
      <c r="AF256">
        <v>0</v>
      </c>
      <c r="AG256">
        <v>0</v>
      </c>
      <c r="AH256">
        <v>0</v>
      </c>
      <c r="AI256" t="b">
        <v>0</v>
      </c>
      <c r="AJ256" t="s">
        <v>58</v>
      </c>
      <c r="AK256" t="s">
        <v>58</v>
      </c>
      <c r="AL256" t="s">
        <v>71</v>
      </c>
      <c r="AM256">
        <v>14</v>
      </c>
      <c r="AN256">
        <v>14</v>
      </c>
      <c r="AO256">
        <v>0</v>
      </c>
      <c r="AP256">
        <v>11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s">
        <v>61</v>
      </c>
      <c r="AY256" t="s">
        <v>57</v>
      </c>
      <c r="AZ256" t="s">
        <v>55</v>
      </c>
      <c r="BA256" t="s">
        <v>58</v>
      </c>
      <c r="BB256" t="s">
        <v>58</v>
      </c>
    </row>
    <row r="257" spans="1:54" x14ac:dyDescent="0.25">
      <c r="A257" t="s">
        <v>54</v>
      </c>
      <c r="B257" t="s">
        <v>54</v>
      </c>
      <c r="C257" t="s">
        <v>54</v>
      </c>
      <c r="D257" t="s">
        <v>161</v>
      </c>
      <c r="E257" t="s">
        <v>54</v>
      </c>
      <c r="F257" t="s">
        <v>54</v>
      </c>
      <c r="G257" t="s">
        <v>54</v>
      </c>
      <c r="H257" t="s">
        <v>54</v>
      </c>
      <c r="I257" t="s">
        <v>54</v>
      </c>
      <c r="J257" t="s">
        <v>54</v>
      </c>
      <c r="K257" t="s">
        <v>157</v>
      </c>
      <c r="L257">
        <v>-1</v>
      </c>
      <c r="M257">
        <v>0</v>
      </c>
      <c r="N257">
        <v>-1</v>
      </c>
      <c r="O257">
        <v>0</v>
      </c>
      <c r="P257" t="s">
        <v>70</v>
      </c>
      <c r="Q257">
        <v>0</v>
      </c>
      <c r="R257">
        <v>0</v>
      </c>
      <c r="S257">
        <v>780</v>
      </c>
      <c r="T257" t="s">
        <v>57</v>
      </c>
      <c r="U257">
        <v>0</v>
      </c>
      <c r="V257">
        <v>0</v>
      </c>
      <c r="W257">
        <v>0</v>
      </c>
      <c r="X257">
        <v>0</v>
      </c>
      <c r="Y257" t="s">
        <v>67</v>
      </c>
      <c r="Z257">
        <v>0</v>
      </c>
      <c r="AA257">
        <v>0</v>
      </c>
      <c r="AB257">
        <v>0</v>
      </c>
      <c r="AC257">
        <v>0</v>
      </c>
      <c r="AD257" t="s">
        <v>60</v>
      </c>
      <c r="AE257">
        <v>0</v>
      </c>
      <c r="AF257">
        <v>0</v>
      </c>
      <c r="AG257">
        <v>0</v>
      </c>
      <c r="AH257">
        <v>0</v>
      </c>
      <c r="AI257" t="b">
        <v>0</v>
      </c>
      <c r="AJ257" t="s">
        <v>58</v>
      </c>
      <c r="AK257" t="s">
        <v>58</v>
      </c>
      <c r="AL257" t="s">
        <v>71</v>
      </c>
      <c r="AM257">
        <v>14</v>
      </c>
      <c r="AN257">
        <v>14</v>
      </c>
      <c r="AO257">
        <v>1</v>
      </c>
      <c r="AP257">
        <v>11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s">
        <v>61</v>
      </c>
      <c r="AY257" t="s">
        <v>57</v>
      </c>
      <c r="AZ257" t="s">
        <v>55</v>
      </c>
      <c r="BA257" t="s">
        <v>58</v>
      </c>
      <c r="BB257" t="s">
        <v>58</v>
      </c>
    </row>
    <row r="258" spans="1:54" x14ac:dyDescent="0.25">
      <c r="A258" t="s">
        <v>54</v>
      </c>
      <c r="B258" t="s">
        <v>54</v>
      </c>
      <c r="C258" t="s">
        <v>54</v>
      </c>
      <c r="D258" t="s">
        <v>158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157</v>
      </c>
      <c r="L258">
        <v>-1</v>
      </c>
      <c r="M258">
        <v>0</v>
      </c>
      <c r="N258">
        <v>-1</v>
      </c>
      <c r="O258">
        <v>0</v>
      </c>
      <c r="P258" t="s">
        <v>70</v>
      </c>
      <c r="Q258">
        <v>0</v>
      </c>
      <c r="R258">
        <v>0</v>
      </c>
      <c r="S258">
        <v>780</v>
      </c>
      <c r="T258" t="s">
        <v>57</v>
      </c>
      <c r="U258">
        <v>0</v>
      </c>
      <c r="V258">
        <v>0</v>
      </c>
      <c r="W258">
        <v>0</v>
      </c>
      <c r="X258">
        <v>0</v>
      </c>
      <c r="Y258" t="s">
        <v>67</v>
      </c>
      <c r="Z258">
        <v>0</v>
      </c>
      <c r="AA258">
        <v>0</v>
      </c>
      <c r="AB258">
        <v>0</v>
      </c>
      <c r="AC258">
        <v>0</v>
      </c>
      <c r="AD258" t="s">
        <v>60</v>
      </c>
      <c r="AE258">
        <v>0</v>
      </c>
      <c r="AF258">
        <v>0</v>
      </c>
      <c r="AG258">
        <v>0</v>
      </c>
      <c r="AH258">
        <v>0</v>
      </c>
      <c r="AI258" t="b">
        <v>0</v>
      </c>
      <c r="AJ258" t="s">
        <v>58</v>
      </c>
      <c r="AK258" t="s">
        <v>58</v>
      </c>
      <c r="AL258" t="s">
        <v>71</v>
      </c>
      <c r="AM258">
        <v>14</v>
      </c>
      <c r="AN258">
        <v>15</v>
      </c>
      <c r="AO258">
        <v>0</v>
      </c>
      <c r="AP258">
        <v>11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s">
        <v>61</v>
      </c>
      <c r="AY258" t="s">
        <v>57</v>
      </c>
      <c r="AZ258" t="s">
        <v>55</v>
      </c>
      <c r="BA258" t="s">
        <v>58</v>
      </c>
      <c r="BB258" t="s">
        <v>58</v>
      </c>
    </row>
    <row r="259" spans="1:54" x14ac:dyDescent="0.25">
      <c r="A259" t="s">
        <v>54</v>
      </c>
      <c r="B259" t="s">
        <v>54</v>
      </c>
      <c r="C259" t="s">
        <v>54</v>
      </c>
      <c r="D259" t="s">
        <v>143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167</v>
      </c>
      <c r="L259">
        <v>-1</v>
      </c>
      <c r="M259">
        <v>0</v>
      </c>
      <c r="N259">
        <v>-1</v>
      </c>
      <c r="O259">
        <v>0</v>
      </c>
      <c r="P259" t="s">
        <v>70</v>
      </c>
      <c r="Q259">
        <v>0</v>
      </c>
      <c r="R259">
        <v>0</v>
      </c>
      <c r="S259">
        <v>975</v>
      </c>
      <c r="T259" t="s">
        <v>57</v>
      </c>
      <c r="U259">
        <v>0</v>
      </c>
      <c r="V259">
        <v>0</v>
      </c>
      <c r="W259">
        <v>0</v>
      </c>
      <c r="X259">
        <v>0</v>
      </c>
      <c r="Y259" t="s">
        <v>67</v>
      </c>
      <c r="Z259">
        <v>0</v>
      </c>
      <c r="AA259">
        <v>0</v>
      </c>
      <c r="AB259">
        <v>0</v>
      </c>
      <c r="AC259">
        <v>0</v>
      </c>
      <c r="AD259" t="s">
        <v>60</v>
      </c>
      <c r="AE259">
        <v>0</v>
      </c>
      <c r="AF259">
        <v>0</v>
      </c>
      <c r="AG259">
        <v>0</v>
      </c>
      <c r="AH259">
        <v>0</v>
      </c>
      <c r="AI259" t="b">
        <v>0</v>
      </c>
      <c r="AJ259" t="s">
        <v>58</v>
      </c>
      <c r="AK259" t="s">
        <v>58</v>
      </c>
      <c r="AL259" t="s">
        <v>71</v>
      </c>
      <c r="AM259">
        <v>14</v>
      </c>
      <c r="AN259">
        <v>15</v>
      </c>
      <c r="AO259">
        <v>10</v>
      </c>
      <c r="AP259">
        <v>11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s">
        <v>61</v>
      </c>
      <c r="AY259" t="s">
        <v>57</v>
      </c>
      <c r="AZ259" t="s">
        <v>55</v>
      </c>
      <c r="BA259" t="s">
        <v>58</v>
      </c>
      <c r="BB259" t="s">
        <v>58</v>
      </c>
    </row>
    <row r="260" spans="1:54" x14ac:dyDescent="0.25">
      <c r="A260" t="s">
        <v>54</v>
      </c>
      <c r="B260" t="s">
        <v>54</v>
      </c>
      <c r="C260" t="s">
        <v>54</v>
      </c>
      <c r="D260" t="s">
        <v>167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158</v>
      </c>
      <c r="L260">
        <v>-1</v>
      </c>
      <c r="M260">
        <v>0</v>
      </c>
      <c r="N260">
        <v>-1</v>
      </c>
      <c r="O260">
        <v>0</v>
      </c>
      <c r="P260" t="s">
        <v>70</v>
      </c>
      <c r="Q260">
        <v>0</v>
      </c>
      <c r="R260">
        <v>0</v>
      </c>
      <c r="S260">
        <v>780</v>
      </c>
      <c r="T260" t="s">
        <v>57</v>
      </c>
      <c r="U260">
        <v>0</v>
      </c>
      <c r="V260">
        <v>0</v>
      </c>
      <c r="W260">
        <v>0</v>
      </c>
      <c r="X260">
        <v>0</v>
      </c>
      <c r="Y260" t="s">
        <v>67</v>
      </c>
      <c r="Z260">
        <v>0</v>
      </c>
      <c r="AA260">
        <v>0</v>
      </c>
      <c r="AB260">
        <v>0</v>
      </c>
      <c r="AC260">
        <v>0</v>
      </c>
      <c r="AD260" t="s">
        <v>60</v>
      </c>
      <c r="AE260">
        <v>0</v>
      </c>
      <c r="AF260">
        <v>0</v>
      </c>
      <c r="AG260">
        <v>0</v>
      </c>
      <c r="AH260">
        <v>0</v>
      </c>
      <c r="AI260" t="b">
        <v>0</v>
      </c>
      <c r="AJ260" t="s">
        <v>58</v>
      </c>
      <c r="AK260" t="s">
        <v>58</v>
      </c>
      <c r="AL260" t="s">
        <v>71</v>
      </c>
      <c r="AM260">
        <v>14</v>
      </c>
      <c r="AN260">
        <v>14</v>
      </c>
      <c r="AO260">
        <v>2</v>
      </c>
      <c r="AP260">
        <v>11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s">
        <v>61</v>
      </c>
      <c r="AY260" t="s">
        <v>57</v>
      </c>
      <c r="AZ260" t="s">
        <v>55</v>
      </c>
      <c r="BA260" t="s">
        <v>58</v>
      </c>
      <c r="BB260" t="s">
        <v>58</v>
      </c>
    </row>
    <row r="261" spans="1:54" x14ac:dyDescent="0.25">
      <c r="A261" t="s">
        <v>54</v>
      </c>
      <c r="B261" t="s">
        <v>54</v>
      </c>
      <c r="C261" t="s">
        <v>54</v>
      </c>
      <c r="D261" t="s">
        <v>166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155</v>
      </c>
      <c r="L261">
        <v>-1</v>
      </c>
      <c r="M261">
        <v>0</v>
      </c>
      <c r="N261">
        <v>-1</v>
      </c>
      <c r="O261">
        <v>0</v>
      </c>
      <c r="P261" t="s">
        <v>70</v>
      </c>
      <c r="Q261">
        <v>0</v>
      </c>
      <c r="R261">
        <v>0</v>
      </c>
      <c r="S261">
        <v>780</v>
      </c>
      <c r="T261" t="s">
        <v>57</v>
      </c>
      <c r="U261">
        <v>0</v>
      </c>
      <c r="V261">
        <v>0</v>
      </c>
      <c r="W261">
        <v>0</v>
      </c>
      <c r="X261">
        <v>0</v>
      </c>
      <c r="Y261" t="s">
        <v>67</v>
      </c>
      <c r="Z261">
        <v>0</v>
      </c>
      <c r="AA261">
        <v>0</v>
      </c>
      <c r="AB261">
        <v>0</v>
      </c>
      <c r="AC261">
        <v>0</v>
      </c>
      <c r="AD261" t="s">
        <v>60</v>
      </c>
      <c r="AE261">
        <v>0</v>
      </c>
      <c r="AF261">
        <v>0</v>
      </c>
      <c r="AG261">
        <v>0</v>
      </c>
      <c r="AH261">
        <v>0</v>
      </c>
      <c r="AI261" t="b">
        <v>0</v>
      </c>
      <c r="AJ261" t="s">
        <v>58</v>
      </c>
      <c r="AK261" t="s">
        <v>58</v>
      </c>
      <c r="AL261" t="s">
        <v>71</v>
      </c>
      <c r="AM261">
        <v>14</v>
      </c>
      <c r="AN261">
        <v>14</v>
      </c>
      <c r="AO261">
        <v>3</v>
      </c>
      <c r="AP261">
        <v>11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s">
        <v>61</v>
      </c>
      <c r="AY261" t="s">
        <v>57</v>
      </c>
      <c r="AZ261" t="s">
        <v>55</v>
      </c>
      <c r="BA261" t="s">
        <v>58</v>
      </c>
      <c r="BB261" t="s">
        <v>58</v>
      </c>
    </row>
    <row r="262" spans="1:54" x14ac:dyDescent="0.25">
      <c r="A262" t="s">
        <v>54</v>
      </c>
      <c r="B262" t="s">
        <v>54</v>
      </c>
      <c r="C262" t="s">
        <v>54</v>
      </c>
      <c r="D262" t="s">
        <v>164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163</v>
      </c>
      <c r="L262">
        <v>-1</v>
      </c>
      <c r="M262">
        <v>0</v>
      </c>
      <c r="N262">
        <v>-1</v>
      </c>
      <c r="O262">
        <v>0</v>
      </c>
      <c r="P262" t="s">
        <v>70</v>
      </c>
      <c r="Q262">
        <v>0</v>
      </c>
      <c r="R262">
        <v>0</v>
      </c>
      <c r="S262">
        <v>780</v>
      </c>
      <c r="T262" t="s">
        <v>57</v>
      </c>
      <c r="U262">
        <v>0</v>
      </c>
      <c r="V262">
        <v>0</v>
      </c>
      <c r="W262">
        <v>0</v>
      </c>
      <c r="X262">
        <v>0</v>
      </c>
      <c r="Y262" t="s">
        <v>67</v>
      </c>
      <c r="Z262">
        <v>0</v>
      </c>
      <c r="AA262">
        <v>0</v>
      </c>
      <c r="AB262">
        <v>0</v>
      </c>
      <c r="AC262">
        <v>0</v>
      </c>
      <c r="AD262" t="s">
        <v>60</v>
      </c>
      <c r="AE262">
        <v>0</v>
      </c>
      <c r="AF262">
        <v>0</v>
      </c>
      <c r="AG262">
        <v>0</v>
      </c>
      <c r="AH262">
        <v>0</v>
      </c>
      <c r="AI262" t="b">
        <v>0</v>
      </c>
      <c r="AJ262" t="s">
        <v>58</v>
      </c>
      <c r="AK262" t="s">
        <v>58</v>
      </c>
      <c r="AL262" t="s">
        <v>71</v>
      </c>
      <c r="AM262">
        <v>14</v>
      </c>
      <c r="AN262">
        <v>14</v>
      </c>
      <c r="AO262">
        <v>4</v>
      </c>
      <c r="AP262">
        <v>11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s">
        <v>61</v>
      </c>
      <c r="AY262" t="s">
        <v>57</v>
      </c>
      <c r="AZ262" t="s">
        <v>55</v>
      </c>
      <c r="BA262" t="s">
        <v>58</v>
      </c>
      <c r="BB262" t="s">
        <v>58</v>
      </c>
    </row>
    <row r="263" spans="1:54" x14ac:dyDescent="0.25">
      <c r="A263" t="s">
        <v>54</v>
      </c>
      <c r="B263" t="s">
        <v>54</v>
      </c>
      <c r="C263" t="s">
        <v>54</v>
      </c>
      <c r="D263" t="s">
        <v>159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152</v>
      </c>
      <c r="L263">
        <v>-1</v>
      </c>
      <c r="M263">
        <v>0</v>
      </c>
      <c r="N263">
        <v>-1</v>
      </c>
      <c r="O263">
        <v>0</v>
      </c>
      <c r="P263" t="s">
        <v>70</v>
      </c>
      <c r="Q263">
        <v>0</v>
      </c>
      <c r="R263">
        <v>0</v>
      </c>
      <c r="S263">
        <v>1220</v>
      </c>
      <c r="T263" t="s">
        <v>57</v>
      </c>
      <c r="U263">
        <v>0</v>
      </c>
      <c r="V263">
        <v>0</v>
      </c>
      <c r="W263">
        <v>0</v>
      </c>
      <c r="X263">
        <v>0</v>
      </c>
      <c r="Y263" t="s">
        <v>68</v>
      </c>
      <c r="Z263">
        <v>0</v>
      </c>
      <c r="AA263">
        <v>0</v>
      </c>
      <c r="AB263">
        <v>0</v>
      </c>
      <c r="AC263">
        <v>0</v>
      </c>
      <c r="AD263" t="s">
        <v>68</v>
      </c>
      <c r="AE263">
        <v>0</v>
      </c>
      <c r="AF263">
        <v>0</v>
      </c>
      <c r="AG263">
        <v>0</v>
      </c>
      <c r="AH263">
        <v>0</v>
      </c>
      <c r="AI263" t="b">
        <v>0</v>
      </c>
      <c r="AJ263" t="s">
        <v>58</v>
      </c>
      <c r="AK263" t="s">
        <v>58</v>
      </c>
      <c r="AL263" t="s">
        <v>71</v>
      </c>
      <c r="AM263">
        <v>14</v>
      </c>
      <c r="AN263">
        <v>14</v>
      </c>
      <c r="AO263">
        <v>15</v>
      </c>
      <c r="AP263">
        <v>11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s">
        <v>61</v>
      </c>
      <c r="AY263" t="s">
        <v>57</v>
      </c>
      <c r="AZ263" t="s">
        <v>55</v>
      </c>
      <c r="BA263" t="s">
        <v>58</v>
      </c>
      <c r="BB263" t="s">
        <v>58</v>
      </c>
    </row>
    <row r="264" spans="1:54" x14ac:dyDescent="0.25">
      <c r="A264" t="s">
        <v>54</v>
      </c>
      <c r="B264" t="s">
        <v>54</v>
      </c>
      <c r="C264" t="s">
        <v>54</v>
      </c>
      <c r="D264" t="s">
        <v>145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171</v>
      </c>
      <c r="L264">
        <v>-1</v>
      </c>
      <c r="M264">
        <v>0</v>
      </c>
      <c r="N264">
        <v>-1</v>
      </c>
      <c r="O264">
        <v>0</v>
      </c>
      <c r="P264" t="s">
        <v>70</v>
      </c>
      <c r="Q264">
        <v>0</v>
      </c>
      <c r="R264">
        <v>0</v>
      </c>
      <c r="S264">
        <v>1220</v>
      </c>
      <c r="T264" t="s">
        <v>57</v>
      </c>
      <c r="U264">
        <v>0</v>
      </c>
      <c r="V264">
        <v>0</v>
      </c>
      <c r="W264">
        <v>0</v>
      </c>
      <c r="X264">
        <v>0</v>
      </c>
      <c r="Y264" t="s">
        <v>60</v>
      </c>
      <c r="Z264">
        <v>0</v>
      </c>
      <c r="AA264">
        <v>0</v>
      </c>
      <c r="AB264">
        <v>0</v>
      </c>
      <c r="AC264">
        <v>0</v>
      </c>
      <c r="AD264" t="s">
        <v>60</v>
      </c>
      <c r="AE264">
        <v>0</v>
      </c>
      <c r="AF264">
        <v>0</v>
      </c>
      <c r="AG264">
        <v>0</v>
      </c>
      <c r="AH264">
        <v>0</v>
      </c>
      <c r="AI264" t="b">
        <v>0</v>
      </c>
      <c r="AJ264" t="s">
        <v>58</v>
      </c>
      <c r="AK264" t="s">
        <v>58</v>
      </c>
      <c r="AL264" t="s">
        <v>71</v>
      </c>
      <c r="AM264">
        <v>14</v>
      </c>
      <c r="AN264">
        <v>14</v>
      </c>
      <c r="AO264">
        <v>13</v>
      </c>
      <c r="AP264">
        <v>11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s">
        <v>61</v>
      </c>
      <c r="AY264" t="s">
        <v>57</v>
      </c>
      <c r="AZ264" t="s">
        <v>55</v>
      </c>
      <c r="BA264" t="s">
        <v>58</v>
      </c>
      <c r="BB264" t="s">
        <v>58</v>
      </c>
    </row>
    <row r="265" spans="1:54" x14ac:dyDescent="0.25">
      <c r="A265" t="s">
        <v>54</v>
      </c>
      <c r="B265" t="s">
        <v>54</v>
      </c>
      <c r="C265" t="s">
        <v>54</v>
      </c>
      <c r="D265" t="s">
        <v>173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147</v>
      </c>
      <c r="L265">
        <v>-1</v>
      </c>
      <c r="M265">
        <v>0</v>
      </c>
      <c r="N265">
        <v>-1</v>
      </c>
      <c r="O265">
        <v>0</v>
      </c>
      <c r="P265" t="s">
        <v>70</v>
      </c>
      <c r="Q265">
        <v>0</v>
      </c>
      <c r="R265">
        <v>0</v>
      </c>
      <c r="S265">
        <v>780</v>
      </c>
      <c r="T265" t="s">
        <v>57</v>
      </c>
      <c r="U265">
        <v>0</v>
      </c>
      <c r="V265">
        <v>0</v>
      </c>
      <c r="W265">
        <v>0</v>
      </c>
      <c r="X265">
        <v>0</v>
      </c>
      <c r="Y265" t="s">
        <v>67</v>
      </c>
      <c r="Z265">
        <v>0</v>
      </c>
      <c r="AA265">
        <v>0</v>
      </c>
      <c r="AB265">
        <v>0</v>
      </c>
      <c r="AC265">
        <v>0</v>
      </c>
      <c r="AD265" t="s">
        <v>60</v>
      </c>
      <c r="AE265">
        <v>0</v>
      </c>
      <c r="AF265">
        <v>0</v>
      </c>
      <c r="AG265">
        <v>0</v>
      </c>
      <c r="AH265">
        <v>0</v>
      </c>
      <c r="AI265" t="b">
        <v>0</v>
      </c>
      <c r="AJ265" t="s">
        <v>58</v>
      </c>
      <c r="AK265" t="s">
        <v>58</v>
      </c>
      <c r="AL265" t="s">
        <v>71</v>
      </c>
      <c r="AM265">
        <v>14</v>
      </c>
      <c r="AN265">
        <v>12</v>
      </c>
      <c r="AO265">
        <v>5</v>
      </c>
      <c r="AP265">
        <v>11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s">
        <v>61</v>
      </c>
      <c r="AY265" t="s">
        <v>57</v>
      </c>
      <c r="AZ265" t="s">
        <v>55</v>
      </c>
      <c r="BA265" t="s">
        <v>58</v>
      </c>
      <c r="BB265" t="s">
        <v>58</v>
      </c>
    </row>
    <row r="266" spans="1:54" x14ac:dyDescent="0.25">
      <c r="A266" t="s">
        <v>54</v>
      </c>
      <c r="B266" t="s">
        <v>54</v>
      </c>
      <c r="C266" t="s">
        <v>54</v>
      </c>
      <c r="D266" t="s">
        <v>173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152</v>
      </c>
      <c r="L266">
        <v>-1</v>
      </c>
      <c r="M266">
        <v>0</v>
      </c>
      <c r="N266">
        <v>-1</v>
      </c>
      <c r="O266">
        <v>0</v>
      </c>
      <c r="P266" t="s">
        <v>70</v>
      </c>
      <c r="Q266">
        <v>0</v>
      </c>
      <c r="R266">
        <v>0</v>
      </c>
      <c r="S266">
        <v>975</v>
      </c>
      <c r="T266" t="s">
        <v>57</v>
      </c>
      <c r="U266">
        <v>0</v>
      </c>
      <c r="V266">
        <v>0</v>
      </c>
      <c r="W266">
        <v>0</v>
      </c>
      <c r="X266">
        <v>0</v>
      </c>
      <c r="Y266" t="s">
        <v>67</v>
      </c>
      <c r="Z266">
        <v>0</v>
      </c>
      <c r="AA266">
        <v>0</v>
      </c>
      <c r="AB266">
        <v>0</v>
      </c>
      <c r="AC266">
        <v>0</v>
      </c>
      <c r="AD266" t="s">
        <v>60</v>
      </c>
      <c r="AE266">
        <v>0</v>
      </c>
      <c r="AF266">
        <v>0</v>
      </c>
      <c r="AG266">
        <v>0</v>
      </c>
      <c r="AH266">
        <v>0</v>
      </c>
      <c r="AI266" t="b">
        <v>0</v>
      </c>
      <c r="AJ266" t="s">
        <v>58</v>
      </c>
      <c r="AK266" t="s">
        <v>58</v>
      </c>
      <c r="AL266" t="s">
        <v>71</v>
      </c>
      <c r="AM266">
        <v>14</v>
      </c>
      <c r="AN266">
        <v>13</v>
      </c>
      <c r="AO266">
        <v>8</v>
      </c>
      <c r="AP266">
        <v>11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s">
        <v>61</v>
      </c>
      <c r="AY266" t="s">
        <v>57</v>
      </c>
      <c r="AZ266" t="s">
        <v>55</v>
      </c>
      <c r="BA266" t="s">
        <v>58</v>
      </c>
      <c r="BB266" t="s">
        <v>58</v>
      </c>
    </row>
    <row r="267" spans="1:54" x14ac:dyDescent="0.25">
      <c r="A267" t="s">
        <v>54</v>
      </c>
      <c r="B267" t="s">
        <v>54</v>
      </c>
      <c r="C267" t="s">
        <v>54</v>
      </c>
      <c r="D267" t="s">
        <v>146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145</v>
      </c>
      <c r="L267">
        <v>-1</v>
      </c>
      <c r="M267">
        <v>0</v>
      </c>
      <c r="N267">
        <v>-1</v>
      </c>
      <c r="O267">
        <v>0</v>
      </c>
      <c r="P267" t="s">
        <v>70</v>
      </c>
      <c r="Q267">
        <v>0</v>
      </c>
      <c r="R267">
        <v>0</v>
      </c>
      <c r="S267">
        <v>1220</v>
      </c>
      <c r="T267" t="s">
        <v>57</v>
      </c>
      <c r="U267">
        <v>0</v>
      </c>
      <c r="V267">
        <v>0</v>
      </c>
      <c r="W267">
        <v>0</v>
      </c>
      <c r="X267">
        <v>0</v>
      </c>
      <c r="Y267" t="s">
        <v>60</v>
      </c>
      <c r="Z267">
        <v>0</v>
      </c>
      <c r="AA267">
        <v>0</v>
      </c>
      <c r="AB267">
        <v>0</v>
      </c>
      <c r="AC267">
        <v>0</v>
      </c>
      <c r="AD267" t="s">
        <v>60</v>
      </c>
      <c r="AE267">
        <v>0</v>
      </c>
      <c r="AF267">
        <v>0</v>
      </c>
      <c r="AG267">
        <v>0</v>
      </c>
      <c r="AH267">
        <v>0</v>
      </c>
      <c r="AI267" t="b">
        <v>0</v>
      </c>
      <c r="AJ267" t="s">
        <v>58</v>
      </c>
      <c r="AK267" t="s">
        <v>58</v>
      </c>
      <c r="AL267" t="s">
        <v>71</v>
      </c>
      <c r="AM267">
        <v>14</v>
      </c>
      <c r="AN267">
        <v>15</v>
      </c>
      <c r="AO267">
        <v>13</v>
      </c>
      <c r="AP267">
        <v>11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s">
        <v>61</v>
      </c>
      <c r="AY267" t="s">
        <v>57</v>
      </c>
      <c r="AZ267" t="s">
        <v>55</v>
      </c>
      <c r="BA267" t="s">
        <v>58</v>
      </c>
      <c r="BB267" t="s">
        <v>58</v>
      </c>
    </row>
    <row r="268" spans="1:54" x14ac:dyDescent="0.25">
      <c r="A268" t="s">
        <v>54</v>
      </c>
      <c r="B268" t="s">
        <v>54</v>
      </c>
      <c r="C268" t="s">
        <v>54</v>
      </c>
      <c r="D268" t="s">
        <v>160</v>
      </c>
      <c r="E268" t="s">
        <v>54</v>
      </c>
      <c r="F268" t="s">
        <v>54</v>
      </c>
      <c r="G268" t="s">
        <v>54</v>
      </c>
      <c r="H268" t="s">
        <v>54</v>
      </c>
      <c r="I268" t="s">
        <v>54</v>
      </c>
      <c r="J268" t="s">
        <v>54</v>
      </c>
      <c r="K268" t="s">
        <v>147</v>
      </c>
      <c r="L268">
        <v>-1</v>
      </c>
      <c r="M268">
        <v>0</v>
      </c>
      <c r="N268">
        <v>-1</v>
      </c>
      <c r="O268">
        <v>0</v>
      </c>
      <c r="P268" t="s">
        <v>70</v>
      </c>
      <c r="Q268">
        <v>0</v>
      </c>
      <c r="R268">
        <v>0</v>
      </c>
      <c r="S268">
        <v>780</v>
      </c>
      <c r="T268" t="s">
        <v>57</v>
      </c>
      <c r="U268">
        <v>0</v>
      </c>
      <c r="V268">
        <v>0</v>
      </c>
      <c r="W268">
        <v>0</v>
      </c>
      <c r="X268">
        <v>0</v>
      </c>
      <c r="Y268" t="s">
        <v>67</v>
      </c>
      <c r="Z268">
        <v>0</v>
      </c>
      <c r="AA268">
        <v>0</v>
      </c>
      <c r="AB268">
        <v>0</v>
      </c>
      <c r="AC268">
        <v>0</v>
      </c>
      <c r="AD268" t="s">
        <v>60</v>
      </c>
      <c r="AE268">
        <v>0</v>
      </c>
      <c r="AF268">
        <v>0</v>
      </c>
      <c r="AG268">
        <v>0</v>
      </c>
      <c r="AH268">
        <v>0</v>
      </c>
      <c r="AI268" t="b">
        <v>0</v>
      </c>
      <c r="AJ268" t="s">
        <v>58</v>
      </c>
      <c r="AK268" t="s">
        <v>58</v>
      </c>
      <c r="AL268" t="s">
        <v>71</v>
      </c>
      <c r="AM268">
        <v>14</v>
      </c>
      <c r="AN268">
        <v>14</v>
      </c>
      <c r="AO268">
        <v>5</v>
      </c>
      <c r="AP268">
        <v>11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s">
        <v>61</v>
      </c>
      <c r="AY268" t="s">
        <v>57</v>
      </c>
      <c r="AZ268" t="s">
        <v>55</v>
      </c>
      <c r="BA268" t="s">
        <v>58</v>
      </c>
      <c r="BB268" t="s">
        <v>58</v>
      </c>
    </row>
    <row r="269" spans="1:54" x14ac:dyDescent="0.25">
      <c r="A269" t="s">
        <v>54</v>
      </c>
      <c r="B269" t="s">
        <v>54</v>
      </c>
      <c r="C269" t="s">
        <v>54</v>
      </c>
      <c r="D269" t="s">
        <v>153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146</v>
      </c>
      <c r="L269">
        <v>-1</v>
      </c>
      <c r="M269">
        <v>0</v>
      </c>
      <c r="N269">
        <v>-1</v>
      </c>
      <c r="O269">
        <v>0</v>
      </c>
      <c r="P269" t="s">
        <v>70</v>
      </c>
      <c r="Q269">
        <v>0</v>
      </c>
      <c r="R269">
        <v>0</v>
      </c>
      <c r="S269">
        <v>780</v>
      </c>
      <c r="T269" t="s">
        <v>57</v>
      </c>
      <c r="U269">
        <v>0</v>
      </c>
      <c r="V269">
        <v>0</v>
      </c>
      <c r="W269">
        <v>0</v>
      </c>
      <c r="X269">
        <v>0</v>
      </c>
      <c r="Y269" t="s">
        <v>67</v>
      </c>
      <c r="Z269">
        <v>0</v>
      </c>
      <c r="AA269">
        <v>0</v>
      </c>
      <c r="AB269">
        <v>0</v>
      </c>
      <c r="AC269">
        <v>0</v>
      </c>
      <c r="AD269" t="s">
        <v>60</v>
      </c>
      <c r="AE269">
        <v>0</v>
      </c>
      <c r="AF269">
        <v>0</v>
      </c>
      <c r="AG269">
        <v>0</v>
      </c>
      <c r="AH269">
        <v>0</v>
      </c>
      <c r="AI269" t="b">
        <v>0</v>
      </c>
      <c r="AJ269" t="s">
        <v>58</v>
      </c>
      <c r="AK269" t="s">
        <v>58</v>
      </c>
      <c r="AL269" t="s">
        <v>71</v>
      </c>
      <c r="AM269">
        <v>14</v>
      </c>
      <c r="AN269">
        <v>14</v>
      </c>
      <c r="AO269">
        <v>6</v>
      </c>
      <c r="AP269">
        <v>11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s">
        <v>61</v>
      </c>
      <c r="AY269" t="s">
        <v>57</v>
      </c>
      <c r="AZ269" t="s">
        <v>55</v>
      </c>
      <c r="BA269" t="s">
        <v>58</v>
      </c>
      <c r="BB269" t="s">
        <v>58</v>
      </c>
    </row>
    <row r="270" spans="1:54" x14ac:dyDescent="0.25">
      <c r="A270" t="s">
        <v>54</v>
      </c>
      <c r="B270" t="s">
        <v>54</v>
      </c>
      <c r="C270" t="s">
        <v>54</v>
      </c>
      <c r="D270" t="s">
        <v>162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156</v>
      </c>
      <c r="L270">
        <v>-1</v>
      </c>
      <c r="M270">
        <v>0</v>
      </c>
      <c r="N270">
        <v>-1</v>
      </c>
      <c r="O270">
        <v>0</v>
      </c>
      <c r="P270" t="s">
        <v>70</v>
      </c>
      <c r="Q270">
        <v>0</v>
      </c>
      <c r="R270">
        <v>0</v>
      </c>
      <c r="S270">
        <v>780</v>
      </c>
      <c r="T270" t="s">
        <v>57</v>
      </c>
      <c r="U270">
        <v>0</v>
      </c>
      <c r="V270">
        <v>0</v>
      </c>
      <c r="W270">
        <v>0</v>
      </c>
      <c r="X270">
        <v>0</v>
      </c>
      <c r="Y270" t="s">
        <v>67</v>
      </c>
      <c r="Z270">
        <v>0</v>
      </c>
      <c r="AA270">
        <v>0</v>
      </c>
      <c r="AB270">
        <v>0</v>
      </c>
      <c r="AC270">
        <v>0</v>
      </c>
      <c r="AD270" t="s">
        <v>60</v>
      </c>
      <c r="AE270">
        <v>0</v>
      </c>
      <c r="AF270">
        <v>0</v>
      </c>
      <c r="AG270">
        <v>0</v>
      </c>
      <c r="AH270">
        <v>0</v>
      </c>
      <c r="AI270" t="b">
        <v>0</v>
      </c>
      <c r="AJ270" t="s">
        <v>58</v>
      </c>
      <c r="AK270" t="s">
        <v>58</v>
      </c>
      <c r="AL270" t="s">
        <v>71</v>
      </c>
      <c r="AM270">
        <v>14</v>
      </c>
      <c r="AN270">
        <v>12</v>
      </c>
      <c r="AO270">
        <v>6</v>
      </c>
      <c r="AP270">
        <v>11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s">
        <v>61</v>
      </c>
      <c r="AY270" t="s">
        <v>57</v>
      </c>
      <c r="AZ270" t="s">
        <v>55</v>
      </c>
      <c r="BA270" t="s">
        <v>58</v>
      </c>
      <c r="BB270" t="s">
        <v>58</v>
      </c>
    </row>
    <row r="271" spans="1:54" x14ac:dyDescent="0.25">
      <c r="A271" t="s">
        <v>54</v>
      </c>
      <c r="B271" t="s">
        <v>54</v>
      </c>
      <c r="C271" t="s">
        <v>54</v>
      </c>
      <c r="D271" t="s">
        <v>172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149</v>
      </c>
      <c r="L271">
        <v>-1</v>
      </c>
      <c r="M271">
        <v>0</v>
      </c>
      <c r="N271">
        <v>-1</v>
      </c>
      <c r="O271">
        <v>0</v>
      </c>
      <c r="P271" t="s">
        <v>70</v>
      </c>
      <c r="Q271">
        <v>0</v>
      </c>
      <c r="R271">
        <v>0</v>
      </c>
      <c r="S271">
        <v>1230</v>
      </c>
      <c r="T271" t="s">
        <v>57</v>
      </c>
      <c r="U271">
        <v>0</v>
      </c>
      <c r="V271">
        <v>0</v>
      </c>
      <c r="W271">
        <v>0</v>
      </c>
      <c r="X271">
        <v>0</v>
      </c>
      <c r="Y271" t="s">
        <v>65</v>
      </c>
      <c r="Z271">
        <v>0</v>
      </c>
      <c r="AA271">
        <v>0</v>
      </c>
      <c r="AB271">
        <v>0</v>
      </c>
      <c r="AC271">
        <v>0</v>
      </c>
      <c r="AD271" t="s">
        <v>65</v>
      </c>
      <c r="AE271">
        <v>0</v>
      </c>
      <c r="AF271">
        <v>0</v>
      </c>
      <c r="AG271">
        <v>0</v>
      </c>
      <c r="AH271">
        <v>0</v>
      </c>
      <c r="AI271" t="b">
        <v>0</v>
      </c>
      <c r="AJ271" t="s">
        <v>58</v>
      </c>
      <c r="AK271" t="s">
        <v>58</v>
      </c>
      <c r="AL271" t="s">
        <v>71</v>
      </c>
      <c r="AM271">
        <v>14</v>
      </c>
      <c r="AN271">
        <v>13</v>
      </c>
      <c r="AO271">
        <v>12</v>
      </c>
      <c r="AP271">
        <v>11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s">
        <v>61</v>
      </c>
      <c r="AY271" t="s">
        <v>57</v>
      </c>
      <c r="AZ271" t="s">
        <v>55</v>
      </c>
      <c r="BA271" t="s">
        <v>58</v>
      </c>
      <c r="BB271" t="s">
        <v>58</v>
      </c>
    </row>
    <row r="272" spans="1:54" x14ac:dyDescent="0.25">
      <c r="A272" t="s">
        <v>54</v>
      </c>
      <c r="B272" t="s">
        <v>54</v>
      </c>
      <c r="C272" t="s">
        <v>54</v>
      </c>
      <c r="D272" t="s">
        <v>169</v>
      </c>
      <c r="E272" t="s">
        <v>54</v>
      </c>
      <c r="F272" t="s">
        <v>54</v>
      </c>
      <c r="G272" t="s">
        <v>54</v>
      </c>
      <c r="H272" t="s">
        <v>54</v>
      </c>
      <c r="I272" t="s">
        <v>54</v>
      </c>
      <c r="J272" t="s">
        <v>54</v>
      </c>
      <c r="K272" t="s">
        <v>151</v>
      </c>
      <c r="L272">
        <v>-1</v>
      </c>
      <c r="M272">
        <v>0</v>
      </c>
      <c r="N272">
        <v>-1</v>
      </c>
      <c r="O272">
        <v>0</v>
      </c>
      <c r="P272" t="s">
        <v>70</v>
      </c>
      <c r="Q272">
        <v>0</v>
      </c>
      <c r="R272">
        <v>0</v>
      </c>
      <c r="S272">
        <v>1230</v>
      </c>
      <c r="T272" t="s">
        <v>57</v>
      </c>
      <c r="U272">
        <v>0</v>
      </c>
      <c r="V272">
        <v>0</v>
      </c>
      <c r="W272">
        <v>0</v>
      </c>
      <c r="X272">
        <v>0</v>
      </c>
      <c r="Y272" t="s">
        <v>65</v>
      </c>
      <c r="Z272">
        <v>0</v>
      </c>
      <c r="AA272">
        <v>0</v>
      </c>
      <c r="AB272">
        <v>0</v>
      </c>
      <c r="AC272">
        <v>0</v>
      </c>
      <c r="AD272" t="s">
        <v>65</v>
      </c>
      <c r="AE272">
        <v>0</v>
      </c>
      <c r="AF272">
        <v>0</v>
      </c>
      <c r="AG272">
        <v>0</v>
      </c>
      <c r="AH272">
        <v>0</v>
      </c>
      <c r="AI272" t="b">
        <v>0</v>
      </c>
      <c r="AJ272" t="s">
        <v>58</v>
      </c>
      <c r="AK272" t="s">
        <v>58</v>
      </c>
      <c r="AL272" t="s">
        <v>71</v>
      </c>
      <c r="AM272">
        <v>14</v>
      </c>
      <c r="AN272">
        <v>15</v>
      </c>
      <c r="AO272">
        <v>14</v>
      </c>
      <c r="AP272">
        <v>11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s">
        <v>61</v>
      </c>
      <c r="AY272" t="s">
        <v>57</v>
      </c>
      <c r="AZ272" t="s">
        <v>55</v>
      </c>
      <c r="BA272" t="s">
        <v>58</v>
      </c>
      <c r="BB272" t="s">
        <v>58</v>
      </c>
    </row>
    <row r="273" spans="1:54" x14ac:dyDescent="0.25">
      <c r="A273" t="s">
        <v>54</v>
      </c>
      <c r="B273" t="s">
        <v>54</v>
      </c>
      <c r="C273" t="s">
        <v>54</v>
      </c>
      <c r="D273" t="s">
        <v>171</v>
      </c>
      <c r="E273" t="s">
        <v>54</v>
      </c>
      <c r="F273" t="s">
        <v>54</v>
      </c>
      <c r="G273" t="s">
        <v>54</v>
      </c>
      <c r="H273" t="s">
        <v>54</v>
      </c>
      <c r="I273" t="s">
        <v>54</v>
      </c>
      <c r="J273" t="s">
        <v>54</v>
      </c>
      <c r="K273" t="s">
        <v>152</v>
      </c>
      <c r="L273">
        <v>-1</v>
      </c>
      <c r="M273">
        <v>0</v>
      </c>
      <c r="N273">
        <v>-1</v>
      </c>
      <c r="O273">
        <v>0</v>
      </c>
      <c r="P273" t="s">
        <v>70</v>
      </c>
      <c r="Q273">
        <v>0</v>
      </c>
      <c r="R273">
        <v>0</v>
      </c>
      <c r="S273">
        <v>965</v>
      </c>
      <c r="T273" t="s">
        <v>57</v>
      </c>
      <c r="U273">
        <v>0</v>
      </c>
      <c r="V273">
        <v>0</v>
      </c>
      <c r="W273">
        <v>0</v>
      </c>
      <c r="X273">
        <v>0</v>
      </c>
      <c r="Y273" t="s">
        <v>67</v>
      </c>
      <c r="Z273">
        <v>0</v>
      </c>
      <c r="AA273">
        <v>0</v>
      </c>
      <c r="AB273">
        <v>0</v>
      </c>
      <c r="AC273">
        <v>0</v>
      </c>
      <c r="AD273" t="s">
        <v>60</v>
      </c>
      <c r="AE273">
        <v>0</v>
      </c>
      <c r="AF273">
        <v>0</v>
      </c>
      <c r="AG273">
        <v>0</v>
      </c>
      <c r="AH273">
        <v>0</v>
      </c>
      <c r="AI273" t="b">
        <v>0</v>
      </c>
      <c r="AJ273" t="s">
        <v>58</v>
      </c>
      <c r="AK273" t="s">
        <v>58</v>
      </c>
      <c r="AL273" t="s">
        <v>71</v>
      </c>
      <c r="AM273">
        <v>14</v>
      </c>
      <c r="AN273">
        <v>16</v>
      </c>
      <c r="AO273">
        <v>8</v>
      </c>
      <c r="AP273">
        <v>11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s">
        <v>61</v>
      </c>
      <c r="AY273" t="s">
        <v>57</v>
      </c>
      <c r="AZ273" t="s">
        <v>55</v>
      </c>
      <c r="BA273" t="s">
        <v>58</v>
      </c>
      <c r="BB273" t="s">
        <v>58</v>
      </c>
    </row>
    <row r="274" spans="1:54" x14ac:dyDescent="0.25">
      <c r="A274" t="s">
        <v>54</v>
      </c>
      <c r="B274" t="s">
        <v>54</v>
      </c>
      <c r="C274" t="s">
        <v>54</v>
      </c>
      <c r="D274" t="s">
        <v>145</v>
      </c>
      <c r="E274" t="s">
        <v>54</v>
      </c>
      <c r="F274" t="s">
        <v>54</v>
      </c>
      <c r="G274" t="s">
        <v>54</v>
      </c>
      <c r="H274" t="s">
        <v>54</v>
      </c>
      <c r="I274" t="s">
        <v>54</v>
      </c>
      <c r="J274" t="s">
        <v>54</v>
      </c>
      <c r="K274" t="s">
        <v>163</v>
      </c>
      <c r="L274">
        <v>-1</v>
      </c>
      <c r="M274">
        <v>0</v>
      </c>
      <c r="N274">
        <v>-1</v>
      </c>
      <c r="O274">
        <v>0</v>
      </c>
      <c r="P274" t="s">
        <v>70</v>
      </c>
      <c r="Q274">
        <v>0</v>
      </c>
      <c r="R274">
        <v>0</v>
      </c>
      <c r="S274">
        <v>780</v>
      </c>
      <c r="T274" t="s">
        <v>57</v>
      </c>
      <c r="U274">
        <v>0</v>
      </c>
      <c r="V274">
        <v>0</v>
      </c>
      <c r="W274">
        <v>0</v>
      </c>
      <c r="X274">
        <v>0</v>
      </c>
      <c r="Y274" t="s">
        <v>67</v>
      </c>
      <c r="Z274">
        <v>0</v>
      </c>
      <c r="AA274">
        <v>0</v>
      </c>
      <c r="AB274">
        <v>0</v>
      </c>
      <c r="AC274">
        <v>0</v>
      </c>
      <c r="AD274" t="s">
        <v>60</v>
      </c>
      <c r="AE274">
        <v>0</v>
      </c>
      <c r="AF274">
        <v>0</v>
      </c>
      <c r="AG274">
        <v>0</v>
      </c>
      <c r="AH274">
        <v>0</v>
      </c>
      <c r="AI274" t="b">
        <v>0</v>
      </c>
      <c r="AJ274" t="s">
        <v>58</v>
      </c>
      <c r="AK274" t="s">
        <v>58</v>
      </c>
      <c r="AL274" t="s">
        <v>71</v>
      </c>
      <c r="AM274">
        <v>14</v>
      </c>
      <c r="AN274">
        <v>16</v>
      </c>
      <c r="AO274">
        <v>0</v>
      </c>
      <c r="AP274">
        <v>11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s">
        <v>61</v>
      </c>
      <c r="AY274" t="s">
        <v>57</v>
      </c>
      <c r="AZ274" t="s">
        <v>55</v>
      </c>
      <c r="BA274" t="s">
        <v>58</v>
      </c>
      <c r="BB274" t="s">
        <v>58</v>
      </c>
    </row>
    <row r="275" spans="1:54" x14ac:dyDescent="0.25">
      <c r="A275" t="s">
        <v>54</v>
      </c>
      <c r="B275" t="s">
        <v>54</v>
      </c>
      <c r="C275" t="s">
        <v>54</v>
      </c>
      <c r="D275" t="s">
        <v>174</v>
      </c>
      <c r="E275" t="s">
        <v>54</v>
      </c>
      <c r="F275" t="s">
        <v>54</v>
      </c>
      <c r="G275" t="s">
        <v>54</v>
      </c>
      <c r="H275" t="s">
        <v>54</v>
      </c>
      <c r="I275" t="s">
        <v>54</v>
      </c>
      <c r="J275" t="s">
        <v>54</v>
      </c>
      <c r="K275" t="s">
        <v>152</v>
      </c>
      <c r="L275">
        <v>-1</v>
      </c>
      <c r="M275">
        <v>0</v>
      </c>
      <c r="N275">
        <v>-1</v>
      </c>
      <c r="O275">
        <v>0</v>
      </c>
      <c r="P275" t="s">
        <v>70</v>
      </c>
      <c r="Q275">
        <v>0</v>
      </c>
      <c r="R275">
        <v>0</v>
      </c>
      <c r="S275">
        <v>975</v>
      </c>
      <c r="T275" t="s">
        <v>57</v>
      </c>
      <c r="U275">
        <v>0</v>
      </c>
      <c r="V275">
        <v>0</v>
      </c>
      <c r="W275">
        <v>0</v>
      </c>
      <c r="X275">
        <v>0</v>
      </c>
      <c r="Y275" t="s">
        <v>67</v>
      </c>
      <c r="Z275">
        <v>0</v>
      </c>
      <c r="AA275">
        <v>0</v>
      </c>
      <c r="AB275">
        <v>0</v>
      </c>
      <c r="AC275">
        <v>0</v>
      </c>
      <c r="AD275" t="s">
        <v>60</v>
      </c>
      <c r="AE275">
        <v>0</v>
      </c>
      <c r="AF275">
        <v>0</v>
      </c>
      <c r="AG275">
        <v>0</v>
      </c>
      <c r="AH275">
        <v>0</v>
      </c>
      <c r="AI275" t="b">
        <v>0</v>
      </c>
      <c r="AJ275" t="s">
        <v>58</v>
      </c>
      <c r="AK275" t="s">
        <v>58</v>
      </c>
      <c r="AL275" t="s">
        <v>71</v>
      </c>
      <c r="AM275">
        <v>14</v>
      </c>
      <c r="AN275">
        <v>15</v>
      </c>
      <c r="AO275">
        <v>11</v>
      </c>
      <c r="AP275">
        <v>11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s">
        <v>61</v>
      </c>
      <c r="AY275" t="s">
        <v>57</v>
      </c>
      <c r="AZ275" t="s">
        <v>55</v>
      </c>
      <c r="BA275" t="s">
        <v>58</v>
      </c>
      <c r="BB275" t="s">
        <v>58</v>
      </c>
    </row>
    <row r="276" spans="1:54" x14ac:dyDescent="0.25">
      <c r="A276" t="s">
        <v>54</v>
      </c>
      <c r="B276" t="s">
        <v>54</v>
      </c>
      <c r="C276" t="s">
        <v>54</v>
      </c>
      <c r="D276" t="s">
        <v>164</v>
      </c>
      <c r="E276" t="s">
        <v>54</v>
      </c>
      <c r="F276" t="s">
        <v>54</v>
      </c>
      <c r="G276" t="s">
        <v>54</v>
      </c>
      <c r="H276" t="s">
        <v>54</v>
      </c>
      <c r="I276" t="s">
        <v>54</v>
      </c>
      <c r="J276" t="s">
        <v>54</v>
      </c>
      <c r="K276" t="s">
        <v>170</v>
      </c>
      <c r="L276">
        <v>-1</v>
      </c>
      <c r="M276">
        <v>0</v>
      </c>
      <c r="N276">
        <v>-1</v>
      </c>
      <c r="O276">
        <v>0</v>
      </c>
      <c r="P276" t="s">
        <v>70</v>
      </c>
      <c r="Q276">
        <v>0</v>
      </c>
      <c r="R276">
        <v>0</v>
      </c>
      <c r="S276">
        <v>780</v>
      </c>
      <c r="T276" t="s">
        <v>57</v>
      </c>
      <c r="U276">
        <v>0</v>
      </c>
      <c r="V276">
        <v>0</v>
      </c>
      <c r="W276">
        <v>0</v>
      </c>
      <c r="X276">
        <v>0</v>
      </c>
      <c r="Y276" t="s">
        <v>67</v>
      </c>
      <c r="Z276">
        <v>0</v>
      </c>
      <c r="AA276">
        <v>0</v>
      </c>
      <c r="AB276">
        <v>0</v>
      </c>
      <c r="AC276">
        <v>0</v>
      </c>
      <c r="AD276" t="s">
        <v>60</v>
      </c>
      <c r="AE276">
        <v>0</v>
      </c>
      <c r="AF276">
        <v>0</v>
      </c>
      <c r="AG276">
        <v>0</v>
      </c>
      <c r="AH276">
        <v>0</v>
      </c>
      <c r="AI276" t="b">
        <v>0</v>
      </c>
      <c r="AJ276" t="s">
        <v>58</v>
      </c>
      <c r="AK276" t="s">
        <v>58</v>
      </c>
      <c r="AL276" t="s">
        <v>71</v>
      </c>
      <c r="AM276">
        <v>14</v>
      </c>
      <c r="AN276">
        <v>15</v>
      </c>
      <c r="AO276">
        <v>1</v>
      </c>
      <c r="AP276">
        <v>11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s">
        <v>61</v>
      </c>
      <c r="AY276" t="s">
        <v>57</v>
      </c>
      <c r="AZ276" t="s">
        <v>55</v>
      </c>
      <c r="BA276" t="s">
        <v>58</v>
      </c>
      <c r="BB276" t="s">
        <v>58</v>
      </c>
    </row>
    <row r="277" spans="1:54" x14ac:dyDescent="0.25">
      <c r="A277" t="s">
        <v>54</v>
      </c>
      <c r="B277" t="s">
        <v>54</v>
      </c>
      <c r="C277" t="s">
        <v>54</v>
      </c>
      <c r="D277" t="s">
        <v>168</v>
      </c>
      <c r="E277" t="s">
        <v>54</v>
      </c>
      <c r="F277" t="s">
        <v>54</v>
      </c>
      <c r="G277" t="s">
        <v>54</v>
      </c>
      <c r="H277" t="s">
        <v>54</v>
      </c>
      <c r="I277" t="s">
        <v>54</v>
      </c>
      <c r="J277" t="s">
        <v>54</v>
      </c>
      <c r="K277" t="s">
        <v>161</v>
      </c>
      <c r="L277">
        <v>-1</v>
      </c>
      <c r="M277">
        <v>0</v>
      </c>
      <c r="N277">
        <v>-1</v>
      </c>
      <c r="O277">
        <v>0</v>
      </c>
      <c r="P277" t="s">
        <v>70</v>
      </c>
      <c r="Q277">
        <v>0</v>
      </c>
      <c r="R277">
        <v>0</v>
      </c>
      <c r="S277">
        <v>780</v>
      </c>
      <c r="T277" t="s">
        <v>57</v>
      </c>
      <c r="U277">
        <v>0</v>
      </c>
      <c r="V277">
        <v>0</v>
      </c>
      <c r="W277">
        <v>0</v>
      </c>
      <c r="X277">
        <v>0</v>
      </c>
      <c r="Y277" t="s">
        <v>67</v>
      </c>
      <c r="Z277">
        <v>0</v>
      </c>
      <c r="AA277">
        <v>0</v>
      </c>
      <c r="AB277">
        <v>0</v>
      </c>
      <c r="AC277">
        <v>0</v>
      </c>
      <c r="AD277" t="s">
        <v>60</v>
      </c>
      <c r="AE277">
        <v>0</v>
      </c>
      <c r="AF277">
        <v>0</v>
      </c>
      <c r="AG277">
        <v>0</v>
      </c>
      <c r="AH277">
        <v>0</v>
      </c>
      <c r="AI277" t="b">
        <v>0</v>
      </c>
      <c r="AJ277" t="s">
        <v>58</v>
      </c>
      <c r="AK277" t="s">
        <v>58</v>
      </c>
      <c r="AL277" t="s">
        <v>71</v>
      </c>
      <c r="AM277">
        <v>14</v>
      </c>
      <c r="AN277">
        <v>15</v>
      </c>
      <c r="AO277">
        <v>2</v>
      </c>
      <c r="AP277">
        <v>11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s">
        <v>61</v>
      </c>
      <c r="AY277" t="s">
        <v>57</v>
      </c>
      <c r="AZ277" t="s">
        <v>55</v>
      </c>
      <c r="BA277" t="s">
        <v>58</v>
      </c>
      <c r="BB277" t="s">
        <v>58</v>
      </c>
    </row>
    <row r="278" spans="1:54" x14ac:dyDescent="0.25">
      <c r="A278" t="s">
        <v>54</v>
      </c>
      <c r="B278" t="s">
        <v>54</v>
      </c>
      <c r="C278" t="s">
        <v>54</v>
      </c>
      <c r="D278" t="s">
        <v>156</v>
      </c>
      <c r="E278" t="s">
        <v>54</v>
      </c>
      <c r="F278" t="s">
        <v>54</v>
      </c>
      <c r="G278" t="s">
        <v>54</v>
      </c>
      <c r="H278" t="s">
        <v>54</v>
      </c>
      <c r="I278" t="s">
        <v>54</v>
      </c>
      <c r="J278" t="s">
        <v>54</v>
      </c>
      <c r="K278" t="s">
        <v>148</v>
      </c>
      <c r="L278">
        <v>-1</v>
      </c>
      <c r="M278">
        <v>0</v>
      </c>
      <c r="N278">
        <v>-1</v>
      </c>
      <c r="O278">
        <v>0</v>
      </c>
      <c r="P278" t="s">
        <v>70</v>
      </c>
      <c r="Q278">
        <v>0</v>
      </c>
      <c r="R278">
        <v>0</v>
      </c>
      <c r="S278">
        <v>975</v>
      </c>
      <c r="T278" t="s">
        <v>57</v>
      </c>
      <c r="U278">
        <v>0</v>
      </c>
      <c r="V278">
        <v>0</v>
      </c>
      <c r="W278">
        <v>0</v>
      </c>
      <c r="X278">
        <v>0</v>
      </c>
      <c r="Y278" t="s">
        <v>67</v>
      </c>
      <c r="Z278">
        <v>0</v>
      </c>
      <c r="AA278">
        <v>0</v>
      </c>
      <c r="AB278">
        <v>0</v>
      </c>
      <c r="AC278">
        <v>0</v>
      </c>
      <c r="AD278" t="s">
        <v>60</v>
      </c>
      <c r="AE278">
        <v>0</v>
      </c>
      <c r="AF278">
        <v>0</v>
      </c>
      <c r="AG278">
        <v>0</v>
      </c>
      <c r="AH278">
        <v>0</v>
      </c>
      <c r="AI278" t="b">
        <v>0</v>
      </c>
      <c r="AJ278" t="s">
        <v>58</v>
      </c>
      <c r="AK278" t="s">
        <v>58</v>
      </c>
      <c r="AL278" t="s">
        <v>71</v>
      </c>
      <c r="AM278">
        <v>14</v>
      </c>
      <c r="AN278">
        <v>14</v>
      </c>
      <c r="AO278">
        <v>10</v>
      </c>
      <c r="AP278">
        <v>11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s">
        <v>61</v>
      </c>
      <c r="AY278" t="s">
        <v>57</v>
      </c>
      <c r="AZ278" t="s">
        <v>55</v>
      </c>
      <c r="BA278" t="s">
        <v>58</v>
      </c>
      <c r="BB278" t="s">
        <v>58</v>
      </c>
    </row>
    <row r="279" spans="1:54" x14ac:dyDescent="0.25">
      <c r="A279" t="s">
        <v>54</v>
      </c>
      <c r="B279" t="s">
        <v>54</v>
      </c>
      <c r="C279" t="s">
        <v>54</v>
      </c>
      <c r="D279" t="s">
        <v>166</v>
      </c>
      <c r="E279" t="s">
        <v>54</v>
      </c>
      <c r="F279" t="s">
        <v>54</v>
      </c>
      <c r="G279" t="s">
        <v>54</v>
      </c>
      <c r="H279" t="s">
        <v>54</v>
      </c>
      <c r="I279" t="s">
        <v>54</v>
      </c>
      <c r="J279" t="s">
        <v>54</v>
      </c>
      <c r="K279" t="s">
        <v>156</v>
      </c>
      <c r="L279">
        <v>-1</v>
      </c>
      <c r="M279">
        <v>0</v>
      </c>
      <c r="N279">
        <v>-1</v>
      </c>
      <c r="O279">
        <v>0</v>
      </c>
      <c r="P279" t="s">
        <v>70</v>
      </c>
      <c r="Q279">
        <v>0</v>
      </c>
      <c r="R279">
        <v>0</v>
      </c>
      <c r="S279">
        <v>1220</v>
      </c>
      <c r="T279" t="s">
        <v>57</v>
      </c>
      <c r="U279">
        <v>0</v>
      </c>
      <c r="V279">
        <v>0</v>
      </c>
      <c r="W279">
        <v>0</v>
      </c>
      <c r="X279">
        <v>0</v>
      </c>
      <c r="Y279" t="s">
        <v>68</v>
      </c>
      <c r="Z279">
        <v>0</v>
      </c>
      <c r="AA279">
        <v>0</v>
      </c>
      <c r="AB279">
        <v>0</v>
      </c>
      <c r="AC279">
        <v>0</v>
      </c>
      <c r="AD279" t="s">
        <v>68</v>
      </c>
      <c r="AE279">
        <v>0</v>
      </c>
      <c r="AF279">
        <v>0</v>
      </c>
      <c r="AG279">
        <v>0</v>
      </c>
      <c r="AH279">
        <v>0</v>
      </c>
      <c r="AI279" t="b">
        <v>0</v>
      </c>
      <c r="AJ279" t="s">
        <v>58</v>
      </c>
      <c r="AK279" t="s">
        <v>58</v>
      </c>
      <c r="AL279" t="s">
        <v>71</v>
      </c>
      <c r="AM279">
        <v>14</v>
      </c>
      <c r="AN279">
        <v>15</v>
      </c>
      <c r="AO279">
        <v>15</v>
      </c>
      <c r="AP279">
        <v>11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s">
        <v>61</v>
      </c>
      <c r="AY279" t="s">
        <v>57</v>
      </c>
      <c r="AZ279" t="s">
        <v>55</v>
      </c>
      <c r="BA279" t="s">
        <v>58</v>
      </c>
      <c r="BB279" t="s">
        <v>58</v>
      </c>
    </row>
    <row r="280" spans="1:54" x14ac:dyDescent="0.25">
      <c r="A280" t="s">
        <v>54</v>
      </c>
      <c r="B280" t="s">
        <v>54</v>
      </c>
      <c r="C280" t="s">
        <v>54</v>
      </c>
      <c r="D280" t="s">
        <v>160</v>
      </c>
      <c r="E280" t="s">
        <v>54</v>
      </c>
      <c r="F280" t="s">
        <v>54</v>
      </c>
      <c r="G280" t="s">
        <v>54</v>
      </c>
      <c r="H280" t="s">
        <v>54</v>
      </c>
      <c r="I280" t="s">
        <v>54</v>
      </c>
      <c r="J280" t="s">
        <v>54</v>
      </c>
      <c r="K280" t="s">
        <v>149</v>
      </c>
      <c r="L280">
        <v>-1</v>
      </c>
      <c r="M280">
        <v>0</v>
      </c>
      <c r="N280">
        <v>-1</v>
      </c>
      <c r="O280">
        <v>0</v>
      </c>
      <c r="P280" t="s">
        <v>70</v>
      </c>
      <c r="Q280">
        <v>0</v>
      </c>
      <c r="R280">
        <v>0</v>
      </c>
      <c r="S280">
        <v>780</v>
      </c>
      <c r="T280" t="s">
        <v>57</v>
      </c>
      <c r="U280">
        <v>0</v>
      </c>
      <c r="V280">
        <v>0</v>
      </c>
      <c r="W280">
        <v>0</v>
      </c>
      <c r="X280">
        <v>0</v>
      </c>
      <c r="Y280" t="s">
        <v>67</v>
      </c>
      <c r="Z280">
        <v>0</v>
      </c>
      <c r="AA280">
        <v>0</v>
      </c>
      <c r="AB280">
        <v>0</v>
      </c>
      <c r="AC280">
        <v>0</v>
      </c>
      <c r="AD280" t="s">
        <v>60</v>
      </c>
      <c r="AE280">
        <v>0</v>
      </c>
      <c r="AF280">
        <v>0</v>
      </c>
      <c r="AG280">
        <v>0</v>
      </c>
      <c r="AH280">
        <v>0</v>
      </c>
      <c r="AI280" t="b">
        <v>0</v>
      </c>
      <c r="AJ280" t="s">
        <v>58</v>
      </c>
      <c r="AK280" t="s">
        <v>58</v>
      </c>
      <c r="AL280" t="s">
        <v>71</v>
      </c>
      <c r="AM280">
        <v>14</v>
      </c>
      <c r="AN280">
        <v>15</v>
      </c>
      <c r="AO280">
        <v>3</v>
      </c>
      <c r="AP280">
        <v>11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s">
        <v>61</v>
      </c>
      <c r="AY280" t="s">
        <v>57</v>
      </c>
      <c r="AZ280" t="s">
        <v>55</v>
      </c>
      <c r="BA280" t="s">
        <v>58</v>
      </c>
      <c r="BB280" t="s">
        <v>58</v>
      </c>
    </row>
    <row r="281" spans="1:54" x14ac:dyDescent="0.25">
      <c r="A281" t="s">
        <v>54</v>
      </c>
      <c r="B281" t="s">
        <v>54</v>
      </c>
      <c r="C281" t="s">
        <v>54</v>
      </c>
      <c r="D281" t="s">
        <v>154</v>
      </c>
      <c r="E281" t="s">
        <v>54</v>
      </c>
      <c r="F281" t="s">
        <v>54</v>
      </c>
      <c r="G281" t="s">
        <v>54</v>
      </c>
      <c r="H281" t="s">
        <v>54</v>
      </c>
      <c r="I281" t="s">
        <v>54</v>
      </c>
      <c r="J281" t="s">
        <v>54</v>
      </c>
      <c r="K281" t="s">
        <v>172</v>
      </c>
      <c r="L281">
        <v>-1</v>
      </c>
      <c r="M281">
        <v>0</v>
      </c>
      <c r="N281">
        <v>-1</v>
      </c>
      <c r="O281">
        <v>0</v>
      </c>
      <c r="P281" t="s">
        <v>70</v>
      </c>
      <c r="Q281">
        <v>0</v>
      </c>
      <c r="R281">
        <v>0</v>
      </c>
      <c r="S281">
        <v>780</v>
      </c>
      <c r="T281" t="s">
        <v>57</v>
      </c>
      <c r="U281">
        <v>0</v>
      </c>
      <c r="V281">
        <v>0</v>
      </c>
      <c r="W281">
        <v>0</v>
      </c>
      <c r="X281">
        <v>0</v>
      </c>
      <c r="Y281" t="s">
        <v>67</v>
      </c>
      <c r="Z281">
        <v>0</v>
      </c>
      <c r="AA281">
        <v>0</v>
      </c>
      <c r="AB281">
        <v>0</v>
      </c>
      <c r="AC281">
        <v>0</v>
      </c>
      <c r="AD281" t="s">
        <v>60</v>
      </c>
      <c r="AE281">
        <v>0</v>
      </c>
      <c r="AF281">
        <v>0</v>
      </c>
      <c r="AG281">
        <v>0</v>
      </c>
      <c r="AH281">
        <v>0</v>
      </c>
      <c r="AI281" t="b">
        <v>0</v>
      </c>
      <c r="AJ281" t="s">
        <v>58</v>
      </c>
      <c r="AK281" t="s">
        <v>58</v>
      </c>
      <c r="AL281" t="s">
        <v>71</v>
      </c>
      <c r="AM281">
        <v>14</v>
      </c>
      <c r="AN281">
        <v>15</v>
      </c>
      <c r="AO281">
        <v>4</v>
      </c>
      <c r="AP281">
        <v>11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s">
        <v>61</v>
      </c>
      <c r="AY281" t="s">
        <v>57</v>
      </c>
      <c r="AZ281" t="s">
        <v>55</v>
      </c>
      <c r="BA281" t="s">
        <v>58</v>
      </c>
      <c r="BB281" t="s">
        <v>58</v>
      </c>
    </row>
    <row r="282" spans="1:54" x14ac:dyDescent="0.25">
      <c r="A282" t="s">
        <v>54</v>
      </c>
      <c r="B282" t="s">
        <v>54</v>
      </c>
      <c r="C282" t="s">
        <v>54</v>
      </c>
      <c r="D282" t="s">
        <v>150</v>
      </c>
      <c r="E282" t="s">
        <v>54</v>
      </c>
      <c r="F282" t="s">
        <v>54</v>
      </c>
      <c r="G282" t="s">
        <v>54</v>
      </c>
      <c r="H282" t="s">
        <v>54</v>
      </c>
      <c r="I282" t="s">
        <v>54</v>
      </c>
      <c r="J282" t="s">
        <v>54</v>
      </c>
      <c r="K282" t="s">
        <v>153</v>
      </c>
      <c r="L282">
        <v>-1</v>
      </c>
      <c r="M282">
        <v>0</v>
      </c>
      <c r="N282">
        <v>-1</v>
      </c>
      <c r="O282">
        <v>0</v>
      </c>
      <c r="P282" t="s">
        <v>70</v>
      </c>
      <c r="Q282">
        <v>0</v>
      </c>
      <c r="R282">
        <v>0</v>
      </c>
      <c r="S282">
        <v>780</v>
      </c>
      <c r="T282" t="s">
        <v>57</v>
      </c>
      <c r="U282">
        <v>0</v>
      </c>
      <c r="V282">
        <v>0</v>
      </c>
      <c r="W282">
        <v>0</v>
      </c>
      <c r="X282">
        <v>0</v>
      </c>
      <c r="Y282" t="s">
        <v>67</v>
      </c>
      <c r="Z282">
        <v>0</v>
      </c>
      <c r="AA282">
        <v>0</v>
      </c>
      <c r="AB282">
        <v>0</v>
      </c>
      <c r="AC282">
        <v>0</v>
      </c>
      <c r="AD282" t="s">
        <v>60</v>
      </c>
      <c r="AE282">
        <v>0</v>
      </c>
      <c r="AF282">
        <v>0</v>
      </c>
      <c r="AG282">
        <v>0</v>
      </c>
      <c r="AH282">
        <v>0</v>
      </c>
      <c r="AI282" t="b">
        <v>0</v>
      </c>
      <c r="AJ282" t="s">
        <v>58</v>
      </c>
      <c r="AK282" t="s">
        <v>58</v>
      </c>
      <c r="AL282" t="s">
        <v>71</v>
      </c>
      <c r="AM282">
        <v>14</v>
      </c>
      <c r="AN282">
        <v>15</v>
      </c>
      <c r="AO282">
        <v>5</v>
      </c>
      <c r="AP282">
        <v>11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s">
        <v>61</v>
      </c>
      <c r="AY282" t="s">
        <v>57</v>
      </c>
      <c r="AZ282" t="s">
        <v>55</v>
      </c>
      <c r="BA282" t="s">
        <v>58</v>
      </c>
      <c r="BB282" t="s">
        <v>58</v>
      </c>
    </row>
    <row r="283" spans="1:54" x14ac:dyDescent="0.25">
      <c r="A283" t="s">
        <v>54</v>
      </c>
      <c r="B283" t="s">
        <v>54</v>
      </c>
      <c r="C283" t="s">
        <v>54</v>
      </c>
      <c r="D283" t="s">
        <v>146</v>
      </c>
      <c r="E283" t="s">
        <v>54</v>
      </c>
      <c r="F283" t="s">
        <v>54</v>
      </c>
      <c r="G283" t="s">
        <v>54</v>
      </c>
      <c r="H283" t="s">
        <v>54</v>
      </c>
      <c r="I283" t="s">
        <v>54</v>
      </c>
      <c r="J283" t="s">
        <v>54</v>
      </c>
      <c r="K283" t="s">
        <v>164</v>
      </c>
      <c r="L283">
        <v>-1</v>
      </c>
      <c r="M283">
        <v>0</v>
      </c>
      <c r="N283">
        <v>-1</v>
      </c>
      <c r="O283">
        <v>0</v>
      </c>
      <c r="P283" t="s">
        <v>70</v>
      </c>
      <c r="Q283">
        <v>0</v>
      </c>
      <c r="R283">
        <v>0</v>
      </c>
      <c r="S283">
        <v>1230</v>
      </c>
      <c r="T283" t="s">
        <v>57</v>
      </c>
      <c r="U283">
        <v>0</v>
      </c>
      <c r="V283">
        <v>0</v>
      </c>
      <c r="W283">
        <v>0</v>
      </c>
      <c r="X283">
        <v>0</v>
      </c>
      <c r="Y283" t="s">
        <v>65</v>
      </c>
      <c r="Z283">
        <v>0</v>
      </c>
      <c r="AA283">
        <v>0</v>
      </c>
      <c r="AB283">
        <v>0</v>
      </c>
      <c r="AC283">
        <v>0</v>
      </c>
      <c r="AD283" t="s">
        <v>65</v>
      </c>
      <c r="AE283">
        <v>0</v>
      </c>
      <c r="AF283">
        <v>0</v>
      </c>
      <c r="AG283">
        <v>0</v>
      </c>
      <c r="AH283">
        <v>0</v>
      </c>
      <c r="AI283" t="b">
        <v>0</v>
      </c>
      <c r="AJ283" t="s">
        <v>58</v>
      </c>
      <c r="AK283" t="s">
        <v>58</v>
      </c>
      <c r="AL283" t="s">
        <v>71</v>
      </c>
      <c r="AM283">
        <v>14</v>
      </c>
      <c r="AN283">
        <v>16</v>
      </c>
      <c r="AO283">
        <v>14</v>
      </c>
      <c r="AP283">
        <v>11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s">
        <v>61</v>
      </c>
      <c r="AY283" t="s">
        <v>57</v>
      </c>
      <c r="AZ283" t="s">
        <v>55</v>
      </c>
      <c r="BA283" t="s">
        <v>58</v>
      </c>
      <c r="BB283" t="s">
        <v>58</v>
      </c>
    </row>
    <row r="284" spans="1:54" x14ac:dyDescent="0.25">
      <c r="A284" t="s">
        <v>54</v>
      </c>
      <c r="B284" t="s">
        <v>54</v>
      </c>
      <c r="C284" t="s">
        <v>54</v>
      </c>
      <c r="D284" t="s">
        <v>159</v>
      </c>
      <c r="E284" t="s">
        <v>54</v>
      </c>
      <c r="F284" t="s">
        <v>54</v>
      </c>
      <c r="G284" t="s">
        <v>54</v>
      </c>
      <c r="H284" t="s">
        <v>54</v>
      </c>
      <c r="I284" t="s">
        <v>54</v>
      </c>
      <c r="J284" t="s">
        <v>54</v>
      </c>
      <c r="K284" t="s">
        <v>162</v>
      </c>
      <c r="L284">
        <v>-1</v>
      </c>
      <c r="M284">
        <v>0</v>
      </c>
      <c r="N284">
        <v>-1</v>
      </c>
      <c r="O284">
        <v>0</v>
      </c>
      <c r="P284" t="s">
        <v>70</v>
      </c>
      <c r="Q284">
        <v>0</v>
      </c>
      <c r="R284">
        <v>0</v>
      </c>
      <c r="S284">
        <v>780</v>
      </c>
      <c r="T284" t="s">
        <v>57</v>
      </c>
      <c r="U284">
        <v>0</v>
      </c>
      <c r="V284">
        <v>0</v>
      </c>
      <c r="W284">
        <v>0</v>
      </c>
      <c r="X284">
        <v>0</v>
      </c>
      <c r="Y284" t="s">
        <v>67</v>
      </c>
      <c r="Z284">
        <v>0</v>
      </c>
      <c r="AA284">
        <v>0</v>
      </c>
      <c r="AB284">
        <v>0</v>
      </c>
      <c r="AC284">
        <v>0</v>
      </c>
      <c r="AD284" t="s">
        <v>60</v>
      </c>
      <c r="AE284">
        <v>0</v>
      </c>
      <c r="AF284">
        <v>0</v>
      </c>
      <c r="AG284">
        <v>0</v>
      </c>
      <c r="AH284">
        <v>0</v>
      </c>
      <c r="AI284" t="b">
        <v>0</v>
      </c>
      <c r="AJ284" t="s">
        <v>58</v>
      </c>
      <c r="AK284" t="s">
        <v>58</v>
      </c>
      <c r="AL284" t="s">
        <v>71</v>
      </c>
      <c r="AM284">
        <v>14</v>
      </c>
      <c r="AN284">
        <v>15</v>
      </c>
      <c r="AO284">
        <v>6</v>
      </c>
      <c r="AP284">
        <v>11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s">
        <v>61</v>
      </c>
      <c r="AY284" t="s">
        <v>57</v>
      </c>
      <c r="AZ284" t="s">
        <v>55</v>
      </c>
      <c r="BA284" t="s">
        <v>58</v>
      </c>
      <c r="BB284" t="s">
        <v>58</v>
      </c>
    </row>
    <row r="285" spans="1:54" x14ac:dyDescent="0.25">
      <c r="A285" t="s">
        <v>54</v>
      </c>
      <c r="B285" t="s">
        <v>54</v>
      </c>
      <c r="C285" t="s">
        <v>54</v>
      </c>
      <c r="D285" t="s">
        <v>164</v>
      </c>
      <c r="E285" t="s">
        <v>54</v>
      </c>
      <c r="F285" t="s">
        <v>54</v>
      </c>
      <c r="G285" t="s">
        <v>54</v>
      </c>
      <c r="H285" t="s">
        <v>54</v>
      </c>
      <c r="I285" t="s">
        <v>54</v>
      </c>
      <c r="J285" t="s">
        <v>54</v>
      </c>
      <c r="K285" t="s">
        <v>151</v>
      </c>
      <c r="L285">
        <v>-1</v>
      </c>
      <c r="M285">
        <v>0</v>
      </c>
      <c r="N285">
        <v>-1</v>
      </c>
      <c r="O285">
        <v>0</v>
      </c>
      <c r="P285" t="s">
        <v>70</v>
      </c>
      <c r="Q285">
        <v>0</v>
      </c>
      <c r="R285">
        <v>0</v>
      </c>
      <c r="S285">
        <v>975</v>
      </c>
      <c r="T285" t="s">
        <v>57</v>
      </c>
      <c r="U285">
        <v>0</v>
      </c>
      <c r="V285">
        <v>0</v>
      </c>
      <c r="W285">
        <v>0</v>
      </c>
      <c r="X285">
        <v>0</v>
      </c>
      <c r="Y285" t="s">
        <v>67</v>
      </c>
      <c r="Z285">
        <v>0</v>
      </c>
      <c r="AA285">
        <v>0</v>
      </c>
      <c r="AB285">
        <v>0</v>
      </c>
      <c r="AC285">
        <v>0</v>
      </c>
      <c r="AD285" t="s">
        <v>60</v>
      </c>
      <c r="AE285">
        <v>0</v>
      </c>
      <c r="AF285">
        <v>0</v>
      </c>
      <c r="AG285">
        <v>0</v>
      </c>
      <c r="AH285">
        <v>0</v>
      </c>
      <c r="AI285" t="b">
        <v>0</v>
      </c>
      <c r="AJ285" t="s">
        <v>58</v>
      </c>
      <c r="AK285" t="s">
        <v>58</v>
      </c>
      <c r="AL285" t="s">
        <v>71</v>
      </c>
      <c r="AM285">
        <v>14</v>
      </c>
      <c r="AN285">
        <v>13</v>
      </c>
      <c r="AO285">
        <v>9</v>
      </c>
      <c r="AP285">
        <v>11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s">
        <v>61</v>
      </c>
      <c r="AY285" t="s">
        <v>57</v>
      </c>
      <c r="AZ285" t="s">
        <v>55</v>
      </c>
      <c r="BA285" t="s">
        <v>58</v>
      </c>
      <c r="BB285" t="s">
        <v>58</v>
      </c>
    </row>
    <row r="286" spans="1:54" x14ac:dyDescent="0.25">
      <c r="A286" t="s">
        <v>54</v>
      </c>
      <c r="B286" t="s">
        <v>54</v>
      </c>
      <c r="C286" t="s">
        <v>54</v>
      </c>
      <c r="D286" t="s">
        <v>158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  <c r="J286" t="s">
        <v>54</v>
      </c>
      <c r="K286" t="s">
        <v>143</v>
      </c>
      <c r="L286">
        <v>-1</v>
      </c>
      <c r="M286">
        <v>0</v>
      </c>
      <c r="N286">
        <v>-1</v>
      </c>
      <c r="O286">
        <v>0</v>
      </c>
      <c r="P286" t="s">
        <v>70</v>
      </c>
      <c r="Q286">
        <v>0</v>
      </c>
      <c r="R286">
        <v>0</v>
      </c>
      <c r="S286">
        <v>975</v>
      </c>
      <c r="T286" t="s">
        <v>57</v>
      </c>
      <c r="U286">
        <v>0</v>
      </c>
      <c r="V286">
        <v>0</v>
      </c>
      <c r="W286">
        <v>0</v>
      </c>
      <c r="X286">
        <v>0</v>
      </c>
      <c r="Y286" t="s">
        <v>67</v>
      </c>
      <c r="Z286">
        <v>0</v>
      </c>
      <c r="AA286">
        <v>0</v>
      </c>
      <c r="AB286">
        <v>0</v>
      </c>
      <c r="AC286">
        <v>0</v>
      </c>
      <c r="AD286" t="s">
        <v>60</v>
      </c>
      <c r="AE286">
        <v>0</v>
      </c>
      <c r="AF286">
        <v>0</v>
      </c>
      <c r="AG286">
        <v>0</v>
      </c>
      <c r="AH286">
        <v>0</v>
      </c>
      <c r="AI286" t="b">
        <v>0</v>
      </c>
      <c r="AJ286" t="s">
        <v>58</v>
      </c>
      <c r="AK286" t="s">
        <v>58</v>
      </c>
      <c r="AL286" t="s">
        <v>71</v>
      </c>
      <c r="AM286">
        <v>14</v>
      </c>
      <c r="AN286">
        <v>13</v>
      </c>
      <c r="AO286">
        <v>10</v>
      </c>
      <c r="AP286">
        <v>11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s">
        <v>61</v>
      </c>
      <c r="AY286" t="s">
        <v>57</v>
      </c>
      <c r="AZ286" t="s">
        <v>55</v>
      </c>
      <c r="BA286" t="s">
        <v>58</v>
      </c>
      <c r="BB286" t="s">
        <v>58</v>
      </c>
    </row>
    <row r="287" spans="1:54" x14ac:dyDescent="0.25">
      <c r="A287" t="s">
        <v>54</v>
      </c>
      <c r="B287" t="s">
        <v>54</v>
      </c>
      <c r="C287" t="s">
        <v>54</v>
      </c>
      <c r="D287" t="s">
        <v>144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  <c r="J287" t="s">
        <v>54</v>
      </c>
      <c r="K287" t="s">
        <v>170</v>
      </c>
      <c r="L287">
        <v>-1</v>
      </c>
      <c r="M287">
        <v>0</v>
      </c>
      <c r="N287">
        <v>-1</v>
      </c>
      <c r="O287">
        <v>0</v>
      </c>
      <c r="P287" t="s">
        <v>70</v>
      </c>
      <c r="Q287">
        <v>0</v>
      </c>
      <c r="R287">
        <v>0</v>
      </c>
      <c r="S287">
        <v>780</v>
      </c>
      <c r="T287" t="s">
        <v>57</v>
      </c>
      <c r="U287">
        <v>0</v>
      </c>
      <c r="V287">
        <v>0</v>
      </c>
      <c r="W287">
        <v>0</v>
      </c>
      <c r="X287">
        <v>0</v>
      </c>
      <c r="Y287" t="s">
        <v>67</v>
      </c>
      <c r="Z287">
        <v>0</v>
      </c>
      <c r="AA287">
        <v>0</v>
      </c>
      <c r="AB287">
        <v>0</v>
      </c>
      <c r="AC287">
        <v>0</v>
      </c>
      <c r="AD287" t="s">
        <v>60</v>
      </c>
      <c r="AE287">
        <v>0</v>
      </c>
      <c r="AF287">
        <v>0</v>
      </c>
      <c r="AG287">
        <v>0</v>
      </c>
      <c r="AH287">
        <v>0</v>
      </c>
      <c r="AI287" t="b">
        <v>0</v>
      </c>
      <c r="AJ287" t="s">
        <v>58</v>
      </c>
      <c r="AK287" t="s">
        <v>58</v>
      </c>
      <c r="AL287" t="s">
        <v>71</v>
      </c>
      <c r="AM287">
        <v>14</v>
      </c>
      <c r="AN287">
        <v>14</v>
      </c>
      <c r="AO287">
        <v>7</v>
      </c>
      <c r="AP287">
        <v>11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s">
        <v>61</v>
      </c>
      <c r="AY287" t="s">
        <v>57</v>
      </c>
      <c r="AZ287" t="s">
        <v>55</v>
      </c>
      <c r="BA287" t="s">
        <v>58</v>
      </c>
      <c r="BB287" t="s">
        <v>58</v>
      </c>
    </row>
    <row r="288" spans="1:54" x14ac:dyDescent="0.25">
      <c r="A288" t="s">
        <v>54</v>
      </c>
      <c r="B288" t="s">
        <v>54</v>
      </c>
      <c r="C288" t="s">
        <v>54</v>
      </c>
      <c r="D288" t="s">
        <v>149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  <c r="J288" t="s">
        <v>54</v>
      </c>
      <c r="K288" t="s">
        <v>174</v>
      </c>
      <c r="L288">
        <v>-1</v>
      </c>
      <c r="M288">
        <v>0</v>
      </c>
      <c r="N288">
        <v>-1</v>
      </c>
      <c r="O288">
        <v>0</v>
      </c>
      <c r="P288" t="s">
        <v>70</v>
      </c>
      <c r="Q288">
        <v>0</v>
      </c>
      <c r="R288">
        <v>0</v>
      </c>
      <c r="S288">
        <v>1220</v>
      </c>
      <c r="T288" t="s">
        <v>57</v>
      </c>
      <c r="U288">
        <v>0</v>
      </c>
      <c r="V288">
        <v>0</v>
      </c>
      <c r="W288">
        <v>0</v>
      </c>
      <c r="X288">
        <v>0</v>
      </c>
      <c r="Y288" t="s">
        <v>60</v>
      </c>
      <c r="Z288">
        <v>0</v>
      </c>
      <c r="AA288">
        <v>0</v>
      </c>
      <c r="AB288">
        <v>0</v>
      </c>
      <c r="AC288">
        <v>0</v>
      </c>
      <c r="AD288" t="s">
        <v>60</v>
      </c>
      <c r="AE288">
        <v>0</v>
      </c>
      <c r="AF288">
        <v>0</v>
      </c>
      <c r="AG288">
        <v>0</v>
      </c>
      <c r="AH288">
        <v>0</v>
      </c>
      <c r="AI288" t="b">
        <v>0</v>
      </c>
      <c r="AJ288" t="s">
        <v>58</v>
      </c>
      <c r="AK288" t="s">
        <v>58</v>
      </c>
      <c r="AL288" t="s">
        <v>71</v>
      </c>
      <c r="AM288">
        <v>14</v>
      </c>
      <c r="AN288">
        <v>16</v>
      </c>
      <c r="AO288">
        <v>13</v>
      </c>
      <c r="AP288">
        <v>11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s">
        <v>61</v>
      </c>
      <c r="AY288" t="s">
        <v>57</v>
      </c>
      <c r="AZ288" t="s">
        <v>55</v>
      </c>
      <c r="BA288" t="s">
        <v>58</v>
      </c>
      <c r="BB288" t="s">
        <v>58</v>
      </c>
    </row>
    <row r="289" spans="1:54" x14ac:dyDescent="0.25">
      <c r="A289" t="s">
        <v>54</v>
      </c>
      <c r="B289" t="s">
        <v>54</v>
      </c>
      <c r="C289" t="s">
        <v>54</v>
      </c>
      <c r="D289" t="s">
        <v>151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  <c r="J289" t="s">
        <v>54</v>
      </c>
      <c r="K289" t="s">
        <v>163</v>
      </c>
      <c r="L289">
        <v>-1</v>
      </c>
      <c r="M289">
        <v>0</v>
      </c>
      <c r="N289">
        <v>-1</v>
      </c>
      <c r="O289">
        <v>0</v>
      </c>
      <c r="P289" t="s">
        <v>70</v>
      </c>
      <c r="Q289">
        <v>0</v>
      </c>
      <c r="R289">
        <v>0</v>
      </c>
      <c r="S289">
        <v>780</v>
      </c>
      <c r="T289" t="s">
        <v>57</v>
      </c>
      <c r="U289">
        <v>0</v>
      </c>
      <c r="V289">
        <v>0</v>
      </c>
      <c r="W289">
        <v>0</v>
      </c>
      <c r="X289">
        <v>0</v>
      </c>
      <c r="Y289" t="s">
        <v>67</v>
      </c>
      <c r="Z289">
        <v>0</v>
      </c>
      <c r="AA289">
        <v>0</v>
      </c>
      <c r="AB289">
        <v>0</v>
      </c>
      <c r="AC289">
        <v>0</v>
      </c>
      <c r="AD289" t="s">
        <v>60</v>
      </c>
      <c r="AE289">
        <v>0</v>
      </c>
      <c r="AF289">
        <v>0</v>
      </c>
      <c r="AG289">
        <v>0</v>
      </c>
      <c r="AH289">
        <v>0</v>
      </c>
      <c r="AI289" t="b">
        <v>0</v>
      </c>
      <c r="AJ289" t="s">
        <v>58</v>
      </c>
      <c r="AK289" t="s">
        <v>58</v>
      </c>
      <c r="AL289" t="s">
        <v>71</v>
      </c>
      <c r="AM289">
        <v>14</v>
      </c>
      <c r="AN289">
        <v>17</v>
      </c>
      <c r="AO289">
        <v>0</v>
      </c>
      <c r="AP289">
        <v>11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s">
        <v>61</v>
      </c>
      <c r="AY289" t="s">
        <v>57</v>
      </c>
      <c r="AZ289" t="s">
        <v>55</v>
      </c>
      <c r="BA289" t="s">
        <v>58</v>
      </c>
      <c r="BB289" t="s">
        <v>58</v>
      </c>
    </row>
    <row r="290" spans="1:54" x14ac:dyDescent="0.25">
      <c r="A290" t="s">
        <v>54</v>
      </c>
      <c r="B290" t="s">
        <v>54</v>
      </c>
      <c r="C290" t="s">
        <v>54</v>
      </c>
      <c r="D290" t="s">
        <v>154</v>
      </c>
      <c r="E290" t="s">
        <v>54</v>
      </c>
      <c r="F290" t="s">
        <v>54</v>
      </c>
      <c r="G290" t="s">
        <v>54</v>
      </c>
      <c r="H290" t="s">
        <v>54</v>
      </c>
      <c r="I290" t="s">
        <v>54</v>
      </c>
      <c r="J290" t="s">
        <v>54</v>
      </c>
      <c r="K290" t="s">
        <v>157</v>
      </c>
      <c r="L290">
        <v>-1</v>
      </c>
      <c r="M290">
        <v>0</v>
      </c>
      <c r="N290">
        <v>-1</v>
      </c>
      <c r="O290">
        <v>0</v>
      </c>
      <c r="P290" t="s">
        <v>70</v>
      </c>
      <c r="Q290">
        <v>0</v>
      </c>
      <c r="R290">
        <v>0</v>
      </c>
      <c r="S290">
        <v>780</v>
      </c>
      <c r="T290" t="s">
        <v>57</v>
      </c>
      <c r="U290">
        <v>0</v>
      </c>
      <c r="V290">
        <v>0</v>
      </c>
      <c r="W290">
        <v>0</v>
      </c>
      <c r="X290">
        <v>0</v>
      </c>
      <c r="Y290" t="s">
        <v>67</v>
      </c>
      <c r="Z290">
        <v>0</v>
      </c>
      <c r="AA290">
        <v>0</v>
      </c>
      <c r="AB290">
        <v>0</v>
      </c>
      <c r="AC290">
        <v>0</v>
      </c>
      <c r="AD290" t="s">
        <v>60</v>
      </c>
      <c r="AE290">
        <v>0</v>
      </c>
      <c r="AF290">
        <v>0</v>
      </c>
      <c r="AG290">
        <v>0</v>
      </c>
      <c r="AH290">
        <v>0</v>
      </c>
      <c r="AI290" t="b">
        <v>0</v>
      </c>
      <c r="AJ290" t="s">
        <v>58</v>
      </c>
      <c r="AK290" t="s">
        <v>58</v>
      </c>
      <c r="AL290" t="s">
        <v>71</v>
      </c>
      <c r="AM290">
        <v>14</v>
      </c>
      <c r="AN290">
        <v>16</v>
      </c>
      <c r="AO290">
        <v>1</v>
      </c>
      <c r="AP290">
        <v>11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s">
        <v>61</v>
      </c>
      <c r="AY290" t="s">
        <v>57</v>
      </c>
      <c r="AZ290" t="s">
        <v>55</v>
      </c>
      <c r="BA290" t="s">
        <v>58</v>
      </c>
      <c r="BB290" t="s">
        <v>58</v>
      </c>
    </row>
    <row r="291" spans="1:54" x14ac:dyDescent="0.25">
      <c r="A291" t="s">
        <v>54</v>
      </c>
      <c r="B291" t="s">
        <v>54</v>
      </c>
      <c r="C291" t="s">
        <v>54</v>
      </c>
      <c r="D291" t="s">
        <v>168</v>
      </c>
      <c r="E291" t="s">
        <v>54</v>
      </c>
      <c r="F291" t="s">
        <v>54</v>
      </c>
      <c r="G291" t="s">
        <v>54</v>
      </c>
      <c r="H291" t="s">
        <v>54</v>
      </c>
      <c r="I291" t="s">
        <v>54</v>
      </c>
      <c r="J291" t="s">
        <v>54</v>
      </c>
      <c r="K291" t="s">
        <v>143</v>
      </c>
      <c r="L291">
        <v>-1</v>
      </c>
      <c r="M291">
        <v>0</v>
      </c>
      <c r="N291">
        <v>-1</v>
      </c>
      <c r="O291">
        <v>0</v>
      </c>
      <c r="P291" t="s">
        <v>70</v>
      </c>
      <c r="Q291">
        <v>0</v>
      </c>
      <c r="R291">
        <v>0</v>
      </c>
      <c r="S291">
        <v>780</v>
      </c>
      <c r="T291" t="s">
        <v>57</v>
      </c>
      <c r="U291">
        <v>0</v>
      </c>
      <c r="V291">
        <v>0</v>
      </c>
      <c r="W291">
        <v>0</v>
      </c>
      <c r="X291">
        <v>0</v>
      </c>
      <c r="Y291" t="s">
        <v>67</v>
      </c>
      <c r="Z291">
        <v>0</v>
      </c>
      <c r="AA291">
        <v>0</v>
      </c>
      <c r="AB291">
        <v>0</v>
      </c>
      <c r="AC291">
        <v>0</v>
      </c>
      <c r="AD291" t="s">
        <v>60</v>
      </c>
      <c r="AE291">
        <v>0</v>
      </c>
      <c r="AF291">
        <v>0</v>
      </c>
      <c r="AG291">
        <v>0</v>
      </c>
      <c r="AH291">
        <v>0</v>
      </c>
      <c r="AI291" t="b">
        <v>0</v>
      </c>
      <c r="AJ291" t="s">
        <v>58</v>
      </c>
      <c r="AK291" t="s">
        <v>58</v>
      </c>
      <c r="AL291" t="s">
        <v>71</v>
      </c>
      <c r="AM291">
        <v>14</v>
      </c>
      <c r="AN291">
        <v>17</v>
      </c>
      <c r="AO291">
        <v>1</v>
      </c>
      <c r="AP291">
        <v>11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s">
        <v>61</v>
      </c>
      <c r="AY291" t="s">
        <v>57</v>
      </c>
      <c r="AZ291" t="s">
        <v>55</v>
      </c>
      <c r="BA291" t="s">
        <v>58</v>
      </c>
      <c r="BB291" t="s">
        <v>58</v>
      </c>
    </row>
    <row r="292" spans="1:54" x14ac:dyDescent="0.25">
      <c r="A292" t="s">
        <v>54</v>
      </c>
      <c r="B292" t="s">
        <v>54</v>
      </c>
      <c r="C292" t="s">
        <v>54</v>
      </c>
      <c r="D292" t="s">
        <v>160</v>
      </c>
      <c r="E292" t="s">
        <v>54</v>
      </c>
      <c r="F292" t="s">
        <v>54</v>
      </c>
      <c r="G292" t="s">
        <v>54</v>
      </c>
      <c r="H292" t="s">
        <v>54</v>
      </c>
      <c r="I292" t="s">
        <v>54</v>
      </c>
      <c r="J292" t="s">
        <v>54</v>
      </c>
      <c r="K292" t="s">
        <v>158</v>
      </c>
      <c r="L292">
        <v>-1</v>
      </c>
      <c r="M292">
        <v>0</v>
      </c>
      <c r="N292">
        <v>-1</v>
      </c>
      <c r="O292">
        <v>0</v>
      </c>
      <c r="P292" t="s">
        <v>70</v>
      </c>
      <c r="Q292">
        <v>0</v>
      </c>
      <c r="R292">
        <v>0</v>
      </c>
      <c r="S292">
        <v>1220</v>
      </c>
      <c r="T292" t="s">
        <v>57</v>
      </c>
      <c r="U292">
        <v>0</v>
      </c>
      <c r="V292">
        <v>0</v>
      </c>
      <c r="W292">
        <v>0</v>
      </c>
      <c r="X292">
        <v>0</v>
      </c>
      <c r="Y292" t="s">
        <v>68</v>
      </c>
      <c r="Z292">
        <v>0</v>
      </c>
      <c r="AA292">
        <v>0</v>
      </c>
      <c r="AB292">
        <v>0</v>
      </c>
      <c r="AC292">
        <v>0</v>
      </c>
      <c r="AD292" t="s">
        <v>68</v>
      </c>
      <c r="AE292">
        <v>0</v>
      </c>
      <c r="AF292">
        <v>0</v>
      </c>
      <c r="AG292">
        <v>0</v>
      </c>
      <c r="AH292">
        <v>0</v>
      </c>
      <c r="AI292" t="b">
        <v>0</v>
      </c>
      <c r="AJ292" t="s">
        <v>58</v>
      </c>
      <c r="AK292" t="s">
        <v>58</v>
      </c>
      <c r="AL292" t="s">
        <v>71</v>
      </c>
      <c r="AM292">
        <v>14</v>
      </c>
      <c r="AN292">
        <v>16</v>
      </c>
      <c r="AO292">
        <v>15</v>
      </c>
      <c r="AP292">
        <v>11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s">
        <v>61</v>
      </c>
      <c r="AY292" t="s">
        <v>57</v>
      </c>
      <c r="AZ292" t="s">
        <v>55</v>
      </c>
      <c r="BA292" t="s">
        <v>58</v>
      </c>
      <c r="BB292" t="s">
        <v>58</v>
      </c>
    </row>
    <row r="293" spans="1:54" x14ac:dyDescent="0.25">
      <c r="A293" t="s">
        <v>54</v>
      </c>
      <c r="B293" t="s">
        <v>54</v>
      </c>
      <c r="C293" t="s">
        <v>54</v>
      </c>
      <c r="D293" t="s">
        <v>173</v>
      </c>
      <c r="E293" t="s">
        <v>54</v>
      </c>
      <c r="F293" t="s">
        <v>54</v>
      </c>
      <c r="G293" t="s">
        <v>54</v>
      </c>
      <c r="H293" t="s">
        <v>54</v>
      </c>
      <c r="I293" t="s">
        <v>54</v>
      </c>
      <c r="J293" t="s">
        <v>54</v>
      </c>
      <c r="K293" t="s">
        <v>151</v>
      </c>
      <c r="L293">
        <v>-1</v>
      </c>
      <c r="M293">
        <v>0</v>
      </c>
      <c r="N293">
        <v>-1</v>
      </c>
      <c r="O293">
        <v>0</v>
      </c>
      <c r="P293" t="s">
        <v>70</v>
      </c>
      <c r="Q293">
        <v>0</v>
      </c>
      <c r="R293">
        <v>0</v>
      </c>
      <c r="S293">
        <v>965</v>
      </c>
      <c r="T293" t="s">
        <v>57</v>
      </c>
      <c r="U293">
        <v>0</v>
      </c>
      <c r="V293">
        <v>0</v>
      </c>
      <c r="W293">
        <v>0</v>
      </c>
      <c r="X293">
        <v>0</v>
      </c>
      <c r="Y293" t="s">
        <v>67</v>
      </c>
      <c r="Z293">
        <v>0</v>
      </c>
      <c r="AA293">
        <v>0</v>
      </c>
      <c r="AB293">
        <v>0</v>
      </c>
      <c r="AC293">
        <v>0</v>
      </c>
      <c r="AD293" t="s">
        <v>60</v>
      </c>
      <c r="AE293">
        <v>0</v>
      </c>
      <c r="AF293">
        <v>0</v>
      </c>
      <c r="AG293">
        <v>0</v>
      </c>
      <c r="AH293">
        <v>0</v>
      </c>
      <c r="AI293" t="b">
        <v>0</v>
      </c>
      <c r="AJ293" t="s">
        <v>58</v>
      </c>
      <c r="AK293" t="s">
        <v>58</v>
      </c>
      <c r="AL293" t="s">
        <v>71</v>
      </c>
      <c r="AM293">
        <v>14</v>
      </c>
      <c r="AN293">
        <v>16</v>
      </c>
      <c r="AO293">
        <v>9</v>
      </c>
      <c r="AP293">
        <v>11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s">
        <v>61</v>
      </c>
      <c r="AY293" t="s">
        <v>57</v>
      </c>
      <c r="AZ293" t="s">
        <v>55</v>
      </c>
      <c r="BA293" t="s">
        <v>58</v>
      </c>
      <c r="BB293" t="s">
        <v>58</v>
      </c>
    </row>
    <row r="294" spans="1:54" x14ac:dyDescent="0.25">
      <c r="A294" t="s">
        <v>54</v>
      </c>
      <c r="B294" t="s">
        <v>54</v>
      </c>
      <c r="C294" t="s">
        <v>54</v>
      </c>
      <c r="D294" t="s">
        <v>144</v>
      </c>
      <c r="E294" t="s">
        <v>54</v>
      </c>
      <c r="F294" t="s">
        <v>54</v>
      </c>
      <c r="G294" t="s">
        <v>54</v>
      </c>
      <c r="H294" t="s">
        <v>54</v>
      </c>
      <c r="I294" t="s">
        <v>54</v>
      </c>
      <c r="J294" t="s">
        <v>54</v>
      </c>
      <c r="K294" t="s">
        <v>145</v>
      </c>
      <c r="L294">
        <v>-1</v>
      </c>
      <c r="M294">
        <v>0</v>
      </c>
      <c r="N294">
        <v>-1</v>
      </c>
      <c r="O294">
        <v>0</v>
      </c>
      <c r="P294" t="s">
        <v>70</v>
      </c>
      <c r="Q294">
        <v>0</v>
      </c>
      <c r="R294">
        <v>0</v>
      </c>
      <c r="S294">
        <v>780</v>
      </c>
      <c r="T294" t="s">
        <v>57</v>
      </c>
      <c r="U294">
        <v>0</v>
      </c>
      <c r="V294">
        <v>0</v>
      </c>
      <c r="W294">
        <v>0</v>
      </c>
      <c r="X294">
        <v>0</v>
      </c>
      <c r="Y294" t="s">
        <v>67</v>
      </c>
      <c r="Z294">
        <v>0</v>
      </c>
      <c r="AA294">
        <v>0</v>
      </c>
      <c r="AB294">
        <v>0</v>
      </c>
      <c r="AC294">
        <v>0</v>
      </c>
      <c r="AD294" t="s">
        <v>60</v>
      </c>
      <c r="AE294">
        <v>0</v>
      </c>
      <c r="AF294">
        <v>0</v>
      </c>
      <c r="AG294">
        <v>0</v>
      </c>
      <c r="AH294">
        <v>0</v>
      </c>
      <c r="AI294" t="b">
        <v>0</v>
      </c>
      <c r="AJ294" t="s">
        <v>58</v>
      </c>
      <c r="AK294" t="s">
        <v>58</v>
      </c>
      <c r="AL294" t="s">
        <v>71</v>
      </c>
      <c r="AM294">
        <v>14</v>
      </c>
      <c r="AN294">
        <v>17</v>
      </c>
      <c r="AO294">
        <v>2</v>
      </c>
      <c r="AP294">
        <v>11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s">
        <v>61</v>
      </c>
      <c r="AY294" t="s">
        <v>57</v>
      </c>
      <c r="AZ294" t="s">
        <v>55</v>
      </c>
      <c r="BA294" t="s">
        <v>58</v>
      </c>
      <c r="BB294" t="s">
        <v>58</v>
      </c>
    </row>
    <row r="295" spans="1:54" x14ac:dyDescent="0.25">
      <c r="A295" t="s">
        <v>54</v>
      </c>
      <c r="B295" t="s">
        <v>54</v>
      </c>
      <c r="C295" t="s">
        <v>54</v>
      </c>
      <c r="D295" t="s">
        <v>147</v>
      </c>
      <c r="E295" t="s">
        <v>54</v>
      </c>
      <c r="F295" t="s">
        <v>54</v>
      </c>
      <c r="G295" t="s">
        <v>54</v>
      </c>
      <c r="H295" t="s">
        <v>54</v>
      </c>
      <c r="I295" t="s">
        <v>54</v>
      </c>
      <c r="J295" t="s">
        <v>54</v>
      </c>
      <c r="K295" t="s">
        <v>148</v>
      </c>
      <c r="L295">
        <v>-1</v>
      </c>
      <c r="M295">
        <v>0</v>
      </c>
      <c r="N295">
        <v>-1</v>
      </c>
      <c r="O295">
        <v>0</v>
      </c>
      <c r="P295" t="s">
        <v>70</v>
      </c>
      <c r="Q295">
        <v>0</v>
      </c>
      <c r="R295">
        <v>0</v>
      </c>
      <c r="S295">
        <v>780</v>
      </c>
      <c r="T295" t="s">
        <v>57</v>
      </c>
      <c r="U295">
        <v>0</v>
      </c>
      <c r="V295">
        <v>0</v>
      </c>
      <c r="W295">
        <v>0</v>
      </c>
      <c r="X295">
        <v>0</v>
      </c>
      <c r="Y295" t="s">
        <v>67</v>
      </c>
      <c r="Z295">
        <v>0</v>
      </c>
      <c r="AA295">
        <v>0</v>
      </c>
      <c r="AB295">
        <v>0</v>
      </c>
      <c r="AC295">
        <v>0</v>
      </c>
      <c r="AD295" t="s">
        <v>60</v>
      </c>
      <c r="AE295">
        <v>0</v>
      </c>
      <c r="AF295">
        <v>0</v>
      </c>
      <c r="AG295">
        <v>0</v>
      </c>
      <c r="AH295">
        <v>0</v>
      </c>
      <c r="AI295" t="b">
        <v>0</v>
      </c>
      <c r="AJ295" t="s">
        <v>58</v>
      </c>
      <c r="AK295" t="s">
        <v>58</v>
      </c>
      <c r="AL295" t="s">
        <v>71</v>
      </c>
      <c r="AM295">
        <v>14</v>
      </c>
      <c r="AN295">
        <v>15</v>
      </c>
      <c r="AO295">
        <v>7</v>
      </c>
      <c r="AP295">
        <v>11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s">
        <v>61</v>
      </c>
      <c r="AY295" t="s">
        <v>57</v>
      </c>
      <c r="AZ295" t="s">
        <v>55</v>
      </c>
      <c r="BA295" t="s">
        <v>58</v>
      </c>
      <c r="BB295" t="s">
        <v>58</v>
      </c>
    </row>
    <row r="296" spans="1:54" x14ac:dyDescent="0.25">
      <c r="A296" t="s">
        <v>54</v>
      </c>
      <c r="B296" t="s">
        <v>54</v>
      </c>
      <c r="C296" t="s">
        <v>54</v>
      </c>
      <c r="D296" t="s">
        <v>172</v>
      </c>
      <c r="E296" t="s">
        <v>54</v>
      </c>
      <c r="F296" t="s">
        <v>54</v>
      </c>
      <c r="G296" t="s">
        <v>54</v>
      </c>
      <c r="H296" t="s">
        <v>54</v>
      </c>
      <c r="I296" t="s">
        <v>54</v>
      </c>
      <c r="J296" t="s">
        <v>54</v>
      </c>
      <c r="K296" t="s">
        <v>148</v>
      </c>
      <c r="L296">
        <v>-1</v>
      </c>
      <c r="M296">
        <v>0</v>
      </c>
      <c r="N296">
        <v>-1</v>
      </c>
      <c r="O296">
        <v>0</v>
      </c>
      <c r="P296" t="s">
        <v>70</v>
      </c>
      <c r="Q296">
        <v>0</v>
      </c>
      <c r="R296">
        <v>0</v>
      </c>
      <c r="S296">
        <v>780</v>
      </c>
      <c r="T296" t="s">
        <v>57</v>
      </c>
      <c r="U296">
        <v>0</v>
      </c>
      <c r="V296">
        <v>0</v>
      </c>
      <c r="W296">
        <v>0</v>
      </c>
      <c r="X296">
        <v>0</v>
      </c>
      <c r="Y296" t="s">
        <v>67</v>
      </c>
      <c r="Z296">
        <v>0</v>
      </c>
      <c r="AA296">
        <v>0</v>
      </c>
      <c r="AB296">
        <v>0</v>
      </c>
      <c r="AC296">
        <v>0</v>
      </c>
      <c r="AD296" t="s">
        <v>60</v>
      </c>
      <c r="AE296">
        <v>0</v>
      </c>
      <c r="AF296">
        <v>0</v>
      </c>
      <c r="AG296">
        <v>0</v>
      </c>
      <c r="AH296">
        <v>0</v>
      </c>
      <c r="AI296" t="b">
        <v>0</v>
      </c>
      <c r="AJ296" t="s">
        <v>58</v>
      </c>
      <c r="AK296" t="s">
        <v>58</v>
      </c>
      <c r="AL296" t="s">
        <v>71</v>
      </c>
      <c r="AM296">
        <v>14</v>
      </c>
      <c r="AN296">
        <v>16</v>
      </c>
      <c r="AO296">
        <v>2</v>
      </c>
      <c r="AP296">
        <v>11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s">
        <v>61</v>
      </c>
      <c r="AY296" t="s">
        <v>57</v>
      </c>
      <c r="AZ296" t="s">
        <v>55</v>
      </c>
      <c r="BA296" t="s">
        <v>58</v>
      </c>
      <c r="BB296" t="s">
        <v>58</v>
      </c>
    </row>
    <row r="297" spans="1:54" x14ac:dyDescent="0.25">
      <c r="A297" t="s">
        <v>54</v>
      </c>
      <c r="B297" t="s">
        <v>54</v>
      </c>
      <c r="C297" t="s">
        <v>54</v>
      </c>
      <c r="D297" t="s">
        <v>155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  <c r="J297" t="s">
        <v>54</v>
      </c>
      <c r="K297" t="s">
        <v>165</v>
      </c>
      <c r="L297">
        <v>-1</v>
      </c>
      <c r="M297">
        <v>0</v>
      </c>
      <c r="N297">
        <v>-1</v>
      </c>
      <c r="O297">
        <v>0</v>
      </c>
      <c r="P297" t="s">
        <v>70</v>
      </c>
      <c r="Q297">
        <v>0</v>
      </c>
      <c r="R297">
        <v>0</v>
      </c>
      <c r="S297">
        <v>975</v>
      </c>
      <c r="T297" t="s">
        <v>57</v>
      </c>
      <c r="U297">
        <v>0</v>
      </c>
      <c r="V297">
        <v>0</v>
      </c>
      <c r="W297">
        <v>0</v>
      </c>
      <c r="X297">
        <v>0</v>
      </c>
      <c r="Y297" t="s">
        <v>67</v>
      </c>
      <c r="Z297">
        <v>0</v>
      </c>
      <c r="AA297">
        <v>0</v>
      </c>
      <c r="AB297">
        <v>0</v>
      </c>
      <c r="AC297">
        <v>0</v>
      </c>
      <c r="AD297" t="s">
        <v>60</v>
      </c>
      <c r="AE297">
        <v>0</v>
      </c>
      <c r="AF297">
        <v>0</v>
      </c>
      <c r="AG297">
        <v>0</v>
      </c>
      <c r="AH297">
        <v>0</v>
      </c>
      <c r="AI297" t="b">
        <v>0</v>
      </c>
      <c r="AJ297" t="s">
        <v>58</v>
      </c>
      <c r="AK297" t="s">
        <v>58</v>
      </c>
      <c r="AL297" t="s">
        <v>71</v>
      </c>
      <c r="AM297">
        <v>14</v>
      </c>
      <c r="AN297">
        <v>15</v>
      </c>
      <c r="AO297">
        <v>12</v>
      </c>
      <c r="AP297">
        <v>11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s">
        <v>61</v>
      </c>
      <c r="AY297" t="s">
        <v>57</v>
      </c>
      <c r="AZ297" t="s">
        <v>55</v>
      </c>
      <c r="BA297" t="s">
        <v>58</v>
      </c>
      <c r="BB297" t="s">
        <v>58</v>
      </c>
    </row>
    <row r="298" spans="1:54" x14ac:dyDescent="0.25">
      <c r="A298" t="s">
        <v>54</v>
      </c>
      <c r="B298" t="s">
        <v>54</v>
      </c>
      <c r="C298" t="s">
        <v>54</v>
      </c>
      <c r="D298" t="s">
        <v>169</v>
      </c>
      <c r="E298" t="s">
        <v>54</v>
      </c>
      <c r="F298" t="s">
        <v>54</v>
      </c>
      <c r="G298" t="s">
        <v>54</v>
      </c>
      <c r="H298" t="s">
        <v>54</v>
      </c>
      <c r="I298" t="s">
        <v>54</v>
      </c>
      <c r="J298" t="s">
        <v>54</v>
      </c>
      <c r="K298" t="s">
        <v>168</v>
      </c>
      <c r="L298">
        <v>-1</v>
      </c>
      <c r="M298">
        <v>0</v>
      </c>
      <c r="N298">
        <v>-1</v>
      </c>
      <c r="O298">
        <v>0</v>
      </c>
      <c r="P298" t="s">
        <v>70</v>
      </c>
      <c r="Q298">
        <v>0</v>
      </c>
      <c r="R298">
        <v>0</v>
      </c>
      <c r="S298">
        <v>975</v>
      </c>
      <c r="T298" t="s">
        <v>57</v>
      </c>
      <c r="U298">
        <v>0</v>
      </c>
      <c r="V298">
        <v>0</v>
      </c>
      <c r="W298">
        <v>0</v>
      </c>
      <c r="X298">
        <v>0</v>
      </c>
      <c r="Y298" t="s">
        <v>67</v>
      </c>
      <c r="Z298">
        <v>0</v>
      </c>
      <c r="AA298">
        <v>0</v>
      </c>
      <c r="AB298">
        <v>0</v>
      </c>
      <c r="AC298">
        <v>0</v>
      </c>
      <c r="AD298" t="s">
        <v>60</v>
      </c>
      <c r="AE298">
        <v>0</v>
      </c>
      <c r="AF298">
        <v>0</v>
      </c>
      <c r="AG298">
        <v>0</v>
      </c>
      <c r="AH298">
        <v>0</v>
      </c>
      <c r="AI298" t="b">
        <v>0</v>
      </c>
      <c r="AJ298" t="s">
        <v>58</v>
      </c>
      <c r="AK298" t="s">
        <v>58</v>
      </c>
      <c r="AL298" t="s">
        <v>71</v>
      </c>
      <c r="AM298">
        <v>14</v>
      </c>
      <c r="AN298">
        <v>16</v>
      </c>
      <c r="AO298">
        <v>12</v>
      </c>
      <c r="AP298">
        <v>11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s">
        <v>61</v>
      </c>
      <c r="AY298" t="s">
        <v>57</v>
      </c>
      <c r="AZ298" t="s">
        <v>55</v>
      </c>
      <c r="BA298" t="s">
        <v>58</v>
      </c>
      <c r="BB298" t="s">
        <v>58</v>
      </c>
    </row>
    <row r="299" spans="1:54" x14ac:dyDescent="0.25">
      <c r="A299" t="s">
        <v>54</v>
      </c>
      <c r="B299" t="s">
        <v>54</v>
      </c>
      <c r="C299" t="s">
        <v>54</v>
      </c>
      <c r="D299" t="s">
        <v>173</v>
      </c>
      <c r="E299" t="s">
        <v>54</v>
      </c>
      <c r="F299" t="s">
        <v>54</v>
      </c>
      <c r="G299" t="s">
        <v>54</v>
      </c>
      <c r="H299" t="s">
        <v>54</v>
      </c>
      <c r="I299" t="s">
        <v>54</v>
      </c>
      <c r="J299" t="s">
        <v>54</v>
      </c>
      <c r="K299" t="s">
        <v>169</v>
      </c>
      <c r="L299">
        <v>-1</v>
      </c>
      <c r="M299">
        <v>0</v>
      </c>
      <c r="N299">
        <v>-1</v>
      </c>
      <c r="O299">
        <v>0</v>
      </c>
      <c r="P299" t="s">
        <v>70</v>
      </c>
      <c r="Q299">
        <v>0</v>
      </c>
      <c r="R299">
        <v>0</v>
      </c>
      <c r="S299">
        <v>975</v>
      </c>
      <c r="T299" t="s">
        <v>57</v>
      </c>
      <c r="U299">
        <v>0</v>
      </c>
      <c r="V299">
        <v>0</v>
      </c>
      <c r="W299">
        <v>0</v>
      </c>
      <c r="X299">
        <v>0</v>
      </c>
      <c r="Y299" t="s">
        <v>67</v>
      </c>
      <c r="Z299">
        <v>0</v>
      </c>
      <c r="AA299">
        <v>0</v>
      </c>
      <c r="AB299">
        <v>0</v>
      </c>
      <c r="AC299">
        <v>0</v>
      </c>
      <c r="AD299" t="s">
        <v>60</v>
      </c>
      <c r="AE299">
        <v>0</v>
      </c>
      <c r="AF299">
        <v>0</v>
      </c>
      <c r="AG299">
        <v>0</v>
      </c>
      <c r="AH299">
        <v>0</v>
      </c>
      <c r="AI299" t="b">
        <v>0</v>
      </c>
      <c r="AJ299" t="s">
        <v>58</v>
      </c>
      <c r="AK299" t="s">
        <v>58</v>
      </c>
      <c r="AL299" t="s">
        <v>71</v>
      </c>
      <c r="AM299">
        <v>14</v>
      </c>
      <c r="AN299">
        <v>14</v>
      </c>
      <c r="AO299">
        <v>11</v>
      </c>
      <c r="AP299">
        <v>11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s">
        <v>61</v>
      </c>
      <c r="AY299" t="s">
        <v>57</v>
      </c>
      <c r="AZ299" t="s">
        <v>55</v>
      </c>
      <c r="BA299" t="s">
        <v>58</v>
      </c>
      <c r="BB299" t="s">
        <v>58</v>
      </c>
    </row>
    <row r="300" spans="1:54" x14ac:dyDescent="0.25">
      <c r="A300" t="s">
        <v>54</v>
      </c>
      <c r="B300" t="s">
        <v>54</v>
      </c>
      <c r="C300" t="s">
        <v>54</v>
      </c>
      <c r="D300" t="s">
        <v>163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173</v>
      </c>
      <c r="L300">
        <v>-1</v>
      </c>
      <c r="M300">
        <v>0</v>
      </c>
      <c r="N300">
        <v>-1</v>
      </c>
      <c r="O300">
        <v>0</v>
      </c>
      <c r="P300" t="s">
        <v>70</v>
      </c>
      <c r="Q300">
        <v>0</v>
      </c>
      <c r="R300">
        <v>0</v>
      </c>
      <c r="S300">
        <v>965</v>
      </c>
      <c r="T300" t="s">
        <v>57</v>
      </c>
      <c r="U300">
        <v>0</v>
      </c>
      <c r="V300">
        <v>0</v>
      </c>
      <c r="W300">
        <v>0</v>
      </c>
      <c r="X300">
        <v>0</v>
      </c>
      <c r="Y300" t="s">
        <v>67</v>
      </c>
      <c r="Z300">
        <v>0</v>
      </c>
      <c r="AA300">
        <v>0</v>
      </c>
      <c r="AB300">
        <v>0</v>
      </c>
      <c r="AC300">
        <v>0</v>
      </c>
      <c r="AD300" t="s">
        <v>60</v>
      </c>
      <c r="AE300">
        <v>0</v>
      </c>
      <c r="AF300">
        <v>0</v>
      </c>
      <c r="AG300">
        <v>0</v>
      </c>
      <c r="AH300">
        <v>0</v>
      </c>
      <c r="AI300" t="b">
        <v>0</v>
      </c>
      <c r="AJ300" t="s">
        <v>58</v>
      </c>
      <c r="AK300" t="s">
        <v>58</v>
      </c>
      <c r="AL300" t="s">
        <v>71</v>
      </c>
      <c r="AM300">
        <v>14</v>
      </c>
      <c r="AN300">
        <v>15</v>
      </c>
      <c r="AO300">
        <v>8</v>
      </c>
      <c r="AP300">
        <v>11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s">
        <v>61</v>
      </c>
      <c r="AY300" t="s">
        <v>57</v>
      </c>
      <c r="AZ300" t="s">
        <v>55</v>
      </c>
      <c r="BA300" t="s">
        <v>58</v>
      </c>
      <c r="BB300" t="s">
        <v>58</v>
      </c>
    </row>
    <row r="301" spans="1:54" x14ac:dyDescent="0.25">
      <c r="A301" t="s">
        <v>54</v>
      </c>
      <c r="B301" t="s">
        <v>54</v>
      </c>
      <c r="C301" t="s">
        <v>54</v>
      </c>
      <c r="D301" t="s">
        <v>149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154</v>
      </c>
      <c r="L301">
        <v>-1</v>
      </c>
      <c r="M301">
        <v>0</v>
      </c>
      <c r="N301">
        <v>-1</v>
      </c>
      <c r="O301">
        <v>0</v>
      </c>
      <c r="P301" t="s">
        <v>70</v>
      </c>
      <c r="Q301">
        <v>0</v>
      </c>
      <c r="R301">
        <v>0</v>
      </c>
      <c r="S301">
        <v>975</v>
      </c>
      <c r="T301" t="s">
        <v>57</v>
      </c>
      <c r="U301">
        <v>0</v>
      </c>
      <c r="V301">
        <v>0</v>
      </c>
      <c r="W301">
        <v>0</v>
      </c>
      <c r="X301">
        <v>0</v>
      </c>
      <c r="Y301" t="s">
        <v>67</v>
      </c>
      <c r="Z301">
        <v>0</v>
      </c>
      <c r="AA301">
        <v>0</v>
      </c>
      <c r="AB301">
        <v>0</v>
      </c>
      <c r="AC301">
        <v>0</v>
      </c>
      <c r="AD301" t="s">
        <v>60</v>
      </c>
      <c r="AE301">
        <v>0</v>
      </c>
      <c r="AF301">
        <v>0</v>
      </c>
      <c r="AG301">
        <v>0</v>
      </c>
      <c r="AH301">
        <v>0</v>
      </c>
      <c r="AI301" t="b">
        <v>0</v>
      </c>
      <c r="AJ301" t="s">
        <v>58</v>
      </c>
      <c r="AK301" t="s">
        <v>58</v>
      </c>
      <c r="AL301" t="s">
        <v>71</v>
      </c>
      <c r="AM301">
        <v>14</v>
      </c>
      <c r="AN301">
        <v>14</v>
      </c>
      <c r="AO301">
        <v>12</v>
      </c>
      <c r="AP301">
        <v>11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s">
        <v>61</v>
      </c>
      <c r="AY301" t="s">
        <v>57</v>
      </c>
      <c r="AZ301" t="s">
        <v>55</v>
      </c>
      <c r="BA301" t="s">
        <v>58</v>
      </c>
      <c r="BB301" t="s">
        <v>58</v>
      </c>
    </row>
    <row r="302" spans="1:54" x14ac:dyDescent="0.25">
      <c r="A302" t="s">
        <v>54</v>
      </c>
      <c r="B302" t="s">
        <v>54</v>
      </c>
      <c r="C302" t="s">
        <v>54</v>
      </c>
      <c r="D302" t="s">
        <v>162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166</v>
      </c>
      <c r="L302">
        <v>-1</v>
      </c>
      <c r="M302">
        <v>0</v>
      </c>
      <c r="N302">
        <v>-1</v>
      </c>
      <c r="O302">
        <v>0</v>
      </c>
      <c r="P302" t="s">
        <v>70</v>
      </c>
      <c r="Q302">
        <v>0</v>
      </c>
      <c r="R302">
        <v>0</v>
      </c>
      <c r="S302">
        <v>780</v>
      </c>
      <c r="T302" t="s">
        <v>57</v>
      </c>
      <c r="U302">
        <v>0</v>
      </c>
      <c r="V302">
        <v>0</v>
      </c>
      <c r="W302">
        <v>0</v>
      </c>
      <c r="X302">
        <v>0</v>
      </c>
      <c r="Y302" t="s">
        <v>67</v>
      </c>
      <c r="Z302">
        <v>0</v>
      </c>
      <c r="AA302">
        <v>0</v>
      </c>
      <c r="AB302">
        <v>0</v>
      </c>
      <c r="AC302">
        <v>0</v>
      </c>
      <c r="AD302" t="s">
        <v>60</v>
      </c>
      <c r="AE302">
        <v>0</v>
      </c>
      <c r="AF302">
        <v>0</v>
      </c>
      <c r="AG302">
        <v>0</v>
      </c>
      <c r="AH302">
        <v>0</v>
      </c>
      <c r="AI302" t="b">
        <v>0</v>
      </c>
      <c r="AJ302" t="s">
        <v>58</v>
      </c>
      <c r="AK302" t="s">
        <v>58</v>
      </c>
      <c r="AL302" t="s">
        <v>71</v>
      </c>
      <c r="AM302">
        <v>14</v>
      </c>
      <c r="AN302">
        <v>16</v>
      </c>
      <c r="AO302">
        <v>3</v>
      </c>
      <c r="AP302">
        <v>11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s">
        <v>61</v>
      </c>
      <c r="AY302" t="s">
        <v>57</v>
      </c>
      <c r="AZ302" t="s">
        <v>55</v>
      </c>
      <c r="BA302" t="s">
        <v>58</v>
      </c>
      <c r="BB302" t="s">
        <v>58</v>
      </c>
    </row>
    <row r="303" spans="1:54" x14ac:dyDescent="0.25">
      <c r="A303" t="s">
        <v>54</v>
      </c>
      <c r="B303" t="s">
        <v>54</v>
      </c>
      <c r="C303" t="s">
        <v>54</v>
      </c>
      <c r="D303" t="s">
        <v>161</v>
      </c>
      <c r="E303" t="s">
        <v>54</v>
      </c>
      <c r="F303" t="s">
        <v>54</v>
      </c>
      <c r="G303" t="s">
        <v>54</v>
      </c>
      <c r="H303" t="s">
        <v>54</v>
      </c>
      <c r="I303" t="s">
        <v>54</v>
      </c>
      <c r="J303" t="s">
        <v>54</v>
      </c>
      <c r="K303" t="s">
        <v>155</v>
      </c>
      <c r="L303">
        <v>-1</v>
      </c>
      <c r="M303">
        <v>0</v>
      </c>
      <c r="N303">
        <v>-1</v>
      </c>
      <c r="O303">
        <v>0</v>
      </c>
      <c r="P303" t="s">
        <v>70</v>
      </c>
      <c r="Q303">
        <v>0</v>
      </c>
      <c r="R303">
        <v>0</v>
      </c>
      <c r="S303">
        <v>780</v>
      </c>
      <c r="T303" t="s">
        <v>57</v>
      </c>
      <c r="U303">
        <v>0</v>
      </c>
      <c r="V303">
        <v>0</v>
      </c>
      <c r="W303">
        <v>0</v>
      </c>
      <c r="X303">
        <v>0</v>
      </c>
      <c r="Y303" t="s">
        <v>67</v>
      </c>
      <c r="Z303">
        <v>0</v>
      </c>
      <c r="AA303">
        <v>0</v>
      </c>
      <c r="AB303">
        <v>0</v>
      </c>
      <c r="AC303">
        <v>0</v>
      </c>
      <c r="AD303" t="s">
        <v>60</v>
      </c>
      <c r="AE303">
        <v>0</v>
      </c>
      <c r="AF303">
        <v>0</v>
      </c>
      <c r="AG303">
        <v>0</v>
      </c>
      <c r="AH303">
        <v>0</v>
      </c>
      <c r="AI303" t="b">
        <v>0</v>
      </c>
      <c r="AJ303" t="s">
        <v>58</v>
      </c>
      <c r="AK303" t="s">
        <v>58</v>
      </c>
      <c r="AL303" t="s">
        <v>71</v>
      </c>
      <c r="AM303">
        <v>14</v>
      </c>
      <c r="AN303">
        <v>16</v>
      </c>
      <c r="AO303">
        <v>4</v>
      </c>
      <c r="AP303">
        <v>11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s">
        <v>61</v>
      </c>
      <c r="AY303" t="s">
        <v>57</v>
      </c>
      <c r="AZ303" t="s">
        <v>55</v>
      </c>
      <c r="BA303" t="s">
        <v>58</v>
      </c>
      <c r="BB303" t="s">
        <v>58</v>
      </c>
    </row>
    <row r="304" spans="1:54" x14ac:dyDescent="0.25">
      <c r="A304" t="s">
        <v>54</v>
      </c>
      <c r="B304" t="s">
        <v>54</v>
      </c>
      <c r="C304" t="s">
        <v>54</v>
      </c>
      <c r="D304" t="s">
        <v>174</v>
      </c>
      <c r="E304" t="s">
        <v>54</v>
      </c>
      <c r="F304" t="s">
        <v>54</v>
      </c>
      <c r="G304" t="s">
        <v>54</v>
      </c>
      <c r="H304" t="s">
        <v>54</v>
      </c>
      <c r="I304" t="s">
        <v>54</v>
      </c>
      <c r="J304" t="s">
        <v>54</v>
      </c>
      <c r="K304" t="s">
        <v>173</v>
      </c>
      <c r="L304">
        <v>-1</v>
      </c>
      <c r="M304">
        <v>0</v>
      </c>
      <c r="N304">
        <v>-1</v>
      </c>
      <c r="O304">
        <v>0</v>
      </c>
      <c r="P304" t="s">
        <v>70</v>
      </c>
      <c r="Q304">
        <v>0</v>
      </c>
      <c r="R304">
        <v>0</v>
      </c>
      <c r="S304">
        <v>965</v>
      </c>
      <c r="T304" t="s">
        <v>57</v>
      </c>
      <c r="U304">
        <v>0</v>
      </c>
      <c r="V304">
        <v>0</v>
      </c>
      <c r="W304">
        <v>0</v>
      </c>
      <c r="X304">
        <v>0</v>
      </c>
      <c r="Y304" t="s">
        <v>67</v>
      </c>
      <c r="Z304">
        <v>0</v>
      </c>
      <c r="AA304">
        <v>0</v>
      </c>
      <c r="AB304">
        <v>0</v>
      </c>
      <c r="AC304">
        <v>0</v>
      </c>
      <c r="AD304" t="s">
        <v>60</v>
      </c>
      <c r="AE304">
        <v>0</v>
      </c>
      <c r="AF304">
        <v>0</v>
      </c>
      <c r="AG304">
        <v>0</v>
      </c>
      <c r="AH304">
        <v>0</v>
      </c>
      <c r="AI304" t="b">
        <v>0</v>
      </c>
      <c r="AJ304" t="s">
        <v>58</v>
      </c>
      <c r="AK304" t="s">
        <v>58</v>
      </c>
      <c r="AL304" t="s">
        <v>71</v>
      </c>
      <c r="AM304">
        <v>14</v>
      </c>
      <c r="AN304">
        <v>17</v>
      </c>
      <c r="AO304">
        <v>8</v>
      </c>
      <c r="AP304">
        <v>11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s">
        <v>61</v>
      </c>
      <c r="AY304" t="s">
        <v>57</v>
      </c>
      <c r="AZ304" t="s">
        <v>55</v>
      </c>
      <c r="BA304" t="s">
        <v>58</v>
      </c>
      <c r="BB304" t="s">
        <v>58</v>
      </c>
    </row>
    <row r="305" spans="1:54" x14ac:dyDescent="0.25">
      <c r="A305" t="s">
        <v>54</v>
      </c>
      <c r="B305" t="s">
        <v>54</v>
      </c>
      <c r="C305" t="s">
        <v>54</v>
      </c>
      <c r="D305" t="s">
        <v>153</v>
      </c>
      <c r="E305" t="s">
        <v>54</v>
      </c>
      <c r="F305" t="s">
        <v>54</v>
      </c>
      <c r="G305" t="s">
        <v>54</v>
      </c>
      <c r="H305" t="s">
        <v>54</v>
      </c>
      <c r="I305" t="s">
        <v>54</v>
      </c>
      <c r="J305" t="s">
        <v>54</v>
      </c>
      <c r="K305" t="s">
        <v>167</v>
      </c>
      <c r="L305">
        <v>-1</v>
      </c>
      <c r="M305">
        <v>0</v>
      </c>
      <c r="N305">
        <v>-1</v>
      </c>
      <c r="O305">
        <v>0</v>
      </c>
      <c r="P305" t="s">
        <v>70</v>
      </c>
      <c r="Q305">
        <v>0</v>
      </c>
      <c r="R305">
        <v>0</v>
      </c>
      <c r="S305">
        <v>965</v>
      </c>
      <c r="T305" t="s">
        <v>57</v>
      </c>
      <c r="U305">
        <v>0</v>
      </c>
      <c r="V305">
        <v>0</v>
      </c>
      <c r="W305">
        <v>0</v>
      </c>
      <c r="X305">
        <v>0</v>
      </c>
      <c r="Y305" t="s">
        <v>67</v>
      </c>
      <c r="Z305">
        <v>0</v>
      </c>
      <c r="AA305">
        <v>0</v>
      </c>
      <c r="AB305">
        <v>0</v>
      </c>
      <c r="AC305">
        <v>0</v>
      </c>
      <c r="AD305" t="s">
        <v>60</v>
      </c>
      <c r="AE305">
        <v>0</v>
      </c>
      <c r="AF305">
        <v>0</v>
      </c>
      <c r="AG305">
        <v>0</v>
      </c>
      <c r="AH305">
        <v>0</v>
      </c>
      <c r="AI305" t="b">
        <v>0</v>
      </c>
      <c r="AJ305" t="s">
        <v>58</v>
      </c>
      <c r="AK305" t="s">
        <v>58</v>
      </c>
      <c r="AL305" t="s">
        <v>71</v>
      </c>
      <c r="AM305">
        <v>14</v>
      </c>
      <c r="AN305">
        <v>16</v>
      </c>
      <c r="AO305">
        <v>10</v>
      </c>
      <c r="AP305">
        <v>11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s">
        <v>61</v>
      </c>
      <c r="AY305" t="s">
        <v>57</v>
      </c>
      <c r="AZ305" t="s">
        <v>55</v>
      </c>
      <c r="BA305" t="s">
        <v>58</v>
      </c>
      <c r="BB305" t="s">
        <v>58</v>
      </c>
    </row>
    <row r="306" spans="1:54" x14ac:dyDescent="0.25">
      <c r="A306" t="s">
        <v>54</v>
      </c>
      <c r="B306" t="s">
        <v>54</v>
      </c>
      <c r="C306" t="s">
        <v>54</v>
      </c>
      <c r="D306" t="s">
        <v>170</v>
      </c>
      <c r="E306" t="s">
        <v>54</v>
      </c>
      <c r="F306" t="s">
        <v>54</v>
      </c>
      <c r="G306" t="s">
        <v>54</v>
      </c>
      <c r="H306" t="s">
        <v>54</v>
      </c>
      <c r="I306" t="s">
        <v>54</v>
      </c>
      <c r="J306" t="s">
        <v>54</v>
      </c>
      <c r="K306" t="s">
        <v>144</v>
      </c>
      <c r="L306">
        <v>-1</v>
      </c>
      <c r="M306">
        <v>0</v>
      </c>
      <c r="N306">
        <v>-1</v>
      </c>
      <c r="O306">
        <v>0</v>
      </c>
      <c r="P306" t="s">
        <v>70</v>
      </c>
      <c r="Q306">
        <v>0</v>
      </c>
      <c r="R306">
        <v>0</v>
      </c>
      <c r="S306">
        <v>780</v>
      </c>
      <c r="T306" t="s">
        <v>57</v>
      </c>
      <c r="U306">
        <v>0</v>
      </c>
      <c r="V306">
        <v>0</v>
      </c>
      <c r="W306">
        <v>0</v>
      </c>
      <c r="X306">
        <v>0</v>
      </c>
      <c r="Y306" t="s">
        <v>67</v>
      </c>
      <c r="Z306">
        <v>0</v>
      </c>
      <c r="AA306">
        <v>0</v>
      </c>
      <c r="AB306">
        <v>0</v>
      </c>
      <c r="AC306">
        <v>0</v>
      </c>
      <c r="AD306" t="s">
        <v>60</v>
      </c>
      <c r="AE306">
        <v>0</v>
      </c>
      <c r="AF306">
        <v>0</v>
      </c>
      <c r="AG306">
        <v>0</v>
      </c>
      <c r="AH306">
        <v>0</v>
      </c>
      <c r="AI306" t="b">
        <v>0</v>
      </c>
      <c r="AJ306" t="s">
        <v>58</v>
      </c>
      <c r="AK306" t="s">
        <v>58</v>
      </c>
      <c r="AL306" t="s">
        <v>71</v>
      </c>
      <c r="AM306">
        <v>14</v>
      </c>
      <c r="AN306">
        <v>16</v>
      </c>
      <c r="AO306">
        <v>5</v>
      </c>
      <c r="AP306">
        <v>11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s">
        <v>61</v>
      </c>
      <c r="AY306" t="s">
        <v>57</v>
      </c>
      <c r="AZ306" t="s">
        <v>55</v>
      </c>
      <c r="BA306" t="s">
        <v>58</v>
      </c>
      <c r="BB306" t="s">
        <v>58</v>
      </c>
    </row>
    <row r="307" spans="1:54" x14ac:dyDescent="0.25">
      <c r="A307" t="s">
        <v>54</v>
      </c>
      <c r="B307" t="s">
        <v>54</v>
      </c>
      <c r="C307" t="s">
        <v>54</v>
      </c>
      <c r="D307" t="s">
        <v>153</v>
      </c>
      <c r="E307" t="s">
        <v>54</v>
      </c>
      <c r="F307" t="s">
        <v>54</v>
      </c>
      <c r="G307" t="s">
        <v>54</v>
      </c>
      <c r="H307" t="s">
        <v>54</v>
      </c>
      <c r="I307" t="s">
        <v>54</v>
      </c>
      <c r="J307" t="s">
        <v>54</v>
      </c>
      <c r="K307" t="s">
        <v>164</v>
      </c>
      <c r="L307">
        <v>-1</v>
      </c>
      <c r="M307">
        <v>0</v>
      </c>
      <c r="N307">
        <v>-1</v>
      </c>
      <c r="O307">
        <v>0</v>
      </c>
      <c r="P307" t="s">
        <v>70</v>
      </c>
      <c r="Q307">
        <v>0</v>
      </c>
      <c r="R307">
        <v>0</v>
      </c>
      <c r="S307">
        <v>780</v>
      </c>
      <c r="T307" t="s">
        <v>57</v>
      </c>
      <c r="U307">
        <v>0</v>
      </c>
      <c r="V307">
        <v>0</v>
      </c>
      <c r="W307">
        <v>0</v>
      </c>
      <c r="X307">
        <v>0</v>
      </c>
      <c r="Y307" t="s">
        <v>67</v>
      </c>
      <c r="Z307">
        <v>0</v>
      </c>
      <c r="AA307">
        <v>0</v>
      </c>
      <c r="AB307">
        <v>0</v>
      </c>
      <c r="AC307">
        <v>0</v>
      </c>
      <c r="AD307" t="s">
        <v>60</v>
      </c>
      <c r="AE307">
        <v>0</v>
      </c>
      <c r="AF307">
        <v>0</v>
      </c>
      <c r="AG307">
        <v>0</v>
      </c>
      <c r="AH307">
        <v>0</v>
      </c>
      <c r="AI307" t="b">
        <v>0</v>
      </c>
      <c r="AJ307" t="s">
        <v>58</v>
      </c>
      <c r="AK307" t="s">
        <v>58</v>
      </c>
      <c r="AL307" t="s">
        <v>71</v>
      </c>
      <c r="AM307">
        <v>14</v>
      </c>
      <c r="AN307">
        <v>17</v>
      </c>
      <c r="AO307">
        <v>3</v>
      </c>
      <c r="AP307">
        <v>11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s">
        <v>61</v>
      </c>
      <c r="AY307" t="s">
        <v>57</v>
      </c>
      <c r="AZ307" t="s">
        <v>55</v>
      </c>
      <c r="BA307" t="s">
        <v>58</v>
      </c>
      <c r="BB307" t="s">
        <v>58</v>
      </c>
    </row>
    <row r="308" spans="1:54" x14ac:dyDescent="0.25">
      <c r="A308" t="s">
        <v>54</v>
      </c>
      <c r="B308" t="s">
        <v>54</v>
      </c>
      <c r="C308" t="s">
        <v>54</v>
      </c>
      <c r="D308" t="s">
        <v>170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  <c r="J308" t="s">
        <v>54</v>
      </c>
      <c r="K308" t="s">
        <v>171</v>
      </c>
      <c r="L308">
        <v>-1</v>
      </c>
      <c r="M308">
        <v>0</v>
      </c>
      <c r="N308">
        <v>-1</v>
      </c>
      <c r="O308">
        <v>0</v>
      </c>
      <c r="P308" t="s">
        <v>70</v>
      </c>
      <c r="Q308">
        <v>0</v>
      </c>
      <c r="R308">
        <v>0</v>
      </c>
      <c r="S308">
        <v>780</v>
      </c>
      <c r="T308" t="s">
        <v>57</v>
      </c>
      <c r="U308">
        <v>0</v>
      </c>
      <c r="V308">
        <v>0</v>
      </c>
      <c r="W308">
        <v>0</v>
      </c>
      <c r="X308">
        <v>0</v>
      </c>
      <c r="Y308" t="s">
        <v>67</v>
      </c>
      <c r="Z308">
        <v>0</v>
      </c>
      <c r="AA308">
        <v>0</v>
      </c>
      <c r="AB308">
        <v>0</v>
      </c>
      <c r="AC308">
        <v>0</v>
      </c>
      <c r="AD308" t="s">
        <v>60</v>
      </c>
      <c r="AE308">
        <v>0</v>
      </c>
      <c r="AF308">
        <v>0</v>
      </c>
      <c r="AG308">
        <v>0</v>
      </c>
      <c r="AH308">
        <v>0</v>
      </c>
      <c r="AI308" t="b">
        <v>0</v>
      </c>
      <c r="AJ308" t="s">
        <v>58</v>
      </c>
      <c r="AK308" t="s">
        <v>58</v>
      </c>
      <c r="AL308" t="s">
        <v>71</v>
      </c>
      <c r="AM308">
        <v>14</v>
      </c>
      <c r="AN308">
        <v>17</v>
      </c>
      <c r="AO308">
        <v>4</v>
      </c>
      <c r="AP308">
        <v>11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s">
        <v>61</v>
      </c>
      <c r="AY308" t="s">
        <v>57</v>
      </c>
      <c r="AZ308" t="s">
        <v>55</v>
      </c>
      <c r="BA308" t="s">
        <v>58</v>
      </c>
      <c r="BB308" t="s">
        <v>58</v>
      </c>
    </row>
    <row r="309" spans="1:54" x14ac:dyDescent="0.25">
      <c r="A309" t="s">
        <v>54</v>
      </c>
      <c r="B309" t="s">
        <v>54</v>
      </c>
      <c r="C309" t="s">
        <v>54</v>
      </c>
      <c r="D309" t="s">
        <v>156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  <c r="J309" t="s">
        <v>54</v>
      </c>
      <c r="K309" t="s">
        <v>147</v>
      </c>
      <c r="L309">
        <v>-1</v>
      </c>
      <c r="M309">
        <v>0</v>
      </c>
      <c r="N309">
        <v>-1</v>
      </c>
      <c r="O309">
        <v>0</v>
      </c>
      <c r="P309" t="s">
        <v>70</v>
      </c>
      <c r="Q309">
        <v>0</v>
      </c>
      <c r="R309">
        <v>0</v>
      </c>
      <c r="S309">
        <v>780</v>
      </c>
      <c r="T309" t="s">
        <v>57</v>
      </c>
      <c r="U309">
        <v>0</v>
      </c>
      <c r="V309">
        <v>0</v>
      </c>
      <c r="W309">
        <v>0</v>
      </c>
      <c r="X309">
        <v>0</v>
      </c>
      <c r="Y309" t="s">
        <v>67</v>
      </c>
      <c r="Z309">
        <v>0</v>
      </c>
      <c r="AA309">
        <v>0</v>
      </c>
      <c r="AB309">
        <v>0</v>
      </c>
      <c r="AC309">
        <v>0</v>
      </c>
      <c r="AD309" t="s">
        <v>60</v>
      </c>
      <c r="AE309">
        <v>0</v>
      </c>
      <c r="AF309">
        <v>0</v>
      </c>
      <c r="AG309">
        <v>0</v>
      </c>
      <c r="AH309">
        <v>0</v>
      </c>
      <c r="AI309" t="b">
        <v>0</v>
      </c>
      <c r="AJ309" t="s">
        <v>58</v>
      </c>
      <c r="AK309" t="s">
        <v>58</v>
      </c>
      <c r="AL309" t="s">
        <v>71</v>
      </c>
      <c r="AM309">
        <v>14</v>
      </c>
      <c r="AN309">
        <v>16</v>
      </c>
      <c r="AO309">
        <v>6</v>
      </c>
      <c r="AP309">
        <v>11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s">
        <v>61</v>
      </c>
      <c r="AY309" t="s">
        <v>57</v>
      </c>
      <c r="AZ309" t="s">
        <v>55</v>
      </c>
      <c r="BA309" t="s">
        <v>58</v>
      </c>
      <c r="BB309" t="s">
        <v>58</v>
      </c>
    </row>
    <row r="310" spans="1:54" x14ac:dyDescent="0.25">
      <c r="A310" t="s">
        <v>54</v>
      </c>
      <c r="B310" t="s">
        <v>54</v>
      </c>
      <c r="C310" t="s">
        <v>54</v>
      </c>
      <c r="D310" t="s">
        <v>159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  <c r="J310" t="s">
        <v>54</v>
      </c>
      <c r="K310" t="s">
        <v>156</v>
      </c>
      <c r="L310">
        <v>-1</v>
      </c>
      <c r="M310">
        <v>0</v>
      </c>
      <c r="N310">
        <v>-1</v>
      </c>
      <c r="O310">
        <v>0</v>
      </c>
      <c r="P310" t="s">
        <v>70</v>
      </c>
      <c r="Q310">
        <v>0</v>
      </c>
      <c r="R310">
        <v>0</v>
      </c>
      <c r="S310">
        <v>780</v>
      </c>
      <c r="T310" t="s">
        <v>57</v>
      </c>
      <c r="U310">
        <v>0</v>
      </c>
      <c r="V310">
        <v>0</v>
      </c>
      <c r="W310">
        <v>0</v>
      </c>
      <c r="X310">
        <v>0</v>
      </c>
      <c r="Y310" t="s">
        <v>67</v>
      </c>
      <c r="Z310">
        <v>0</v>
      </c>
      <c r="AA310">
        <v>0</v>
      </c>
      <c r="AB310">
        <v>0</v>
      </c>
      <c r="AC310">
        <v>0</v>
      </c>
      <c r="AD310" t="s">
        <v>60</v>
      </c>
      <c r="AE310">
        <v>0</v>
      </c>
      <c r="AF310">
        <v>0</v>
      </c>
      <c r="AG310">
        <v>0</v>
      </c>
      <c r="AH310">
        <v>0</v>
      </c>
      <c r="AI310" t="b">
        <v>0</v>
      </c>
      <c r="AJ310" t="s">
        <v>58</v>
      </c>
      <c r="AK310" t="s">
        <v>58</v>
      </c>
      <c r="AL310" t="s">
        <v>71</v>
      </c>
      <c r="AM310">
        <v>14</v>
      </c>
      <c r="AN310">
        <v>17</v>
      </c>
      <c r="AO310">
        <v>5</v>
      </c>
      <c r="AP310">
        <v>11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s">
        <v>61</v>
      </c>
      <c r="AY310" t="s">
        <v>57</v>
      </c>
      <c r="AZ310" t="s">
        <v>55</v>
      </c>
      <c r="BA310" t="s">
        <v>58</v>
      </c>
      <c r="BB310" t="s">
        <v>58</v>
      </c>
    </row>
    <row r="311" spans="1:54" x14ac:dyDescent="0.25">
      <c r="A311" t="s">
        <v>54</v>
      </c>
      <c r="B311" t="s">
        <v>54</v>
      </c>
      <c r="C311" t="s">
        <v>54</v>
      </c>
      <c r="D311" t="s">
        <v>143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  <c r="J311" t="s">
        <v>54</v>
      </c>
      <c r="K311" t="s">
        <v>150</v>
      </c>
      <c r="L311">
        <v>-1</v>
      </c>
      <c r="M311">
        <v>0</v>
      </c>
      <c r="N311">
        <v>-1</v>
      </c>
      <c r="O311">
        <v>0</v>
      </c>
      <c r="P311" t="s">
        <v>70</v>
      </c>
      <c r="Q311">
        <v>0</v>
      </c>
      <c r="R311">
        <v>0</v>
      </c>
      <c r="S311">
        <v>965</v>
      </c>
      <c r="T311" t="s">
        <v>57</v>
      </c>
      <c r="U311">
        <v>0</v>
      </c>
      <c r="V311">
        <v>0</v>
      </c>
      <c r="W311">
        <v>0</v>
      </c>
      <c r="X311">
        <v>0</v>
      </c>
      <c r="Y311" t="s">
        <v>67</v>
      </c>
      <c r="Z311">
        <v>0</v>
      </c>
      <c r="AA311">
        <v>0</v>
      </c>
      <c r="AB311">
        <v>0</v>
      </c>
      <c r="AC311">
        <v>0</v>
      </c>
      <c r="AD311" t="s">
        <v>60</v>
      </c>
      <c r="AE311">
        <v>0</v>
      </c>
      <c r="AF311">
        <v>0</v>
      </c>
      <c r="AG311">
        <v>0</v>
      </c>
      <c r="AH311">
        <v>0</v>
      </c>
      <c r="AI311" t="b">
        <v>0</v>
      </c>
      <c r="AJ311" t="s">
        <v>58</v>
      </c>
      <c r="AK311" t="s">
        <v>58</v>
      </c>
      <c r="AL311" t="s">
        <v>71</v>
      </c>
      <c r="AM311">
        <v>14</v>
      </c>
      <c r="AN311">
        <v>16</v>
      </c>
      <c r="AO311">
        <v>11</v>
      </c>
      <c r="AP311">
        <v>11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s">
        <v>61</v>
      </c>
      <c r="AY311" t="s">
        <v>57</v>
      </c>
      <c r="AZ311" t="s">
        <v>55</v>
      </c>
      <c r="BA311" t="s">
        <v>58</v>
      </c>
      <c r="BB311" t="s">
        <v>58</v>
      </c>
    </row>
    <row r="312" spans="1:54" x14ac:dyDescent="0.25">
      <c r="A312" t="s">
        <v>54</v>
      </c>
      <c r="B312" t="s">
        <v>54</v>
      </c>
      <c r="C312" t="s">
        <v>54</v>
      </c>
      <c r="D312" t="s">
        <v>165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  <c r="J312" t="s">
        <v>54</v>
      </c>
      <c r="K312" t="s">
        <v>159</v>
      </c>
      <c r="L312">
        <v>-1</v>
      </c>
      <c r="M312">
        <v>0</v>
      </c>
      <c r="N312">
        <v>-1</v>
      </c>
      <c r="O312">
        <v>0</v>
      </c>
      <c r="P312" t="s">
        <v>70</v>
      </c>
      <c r="Q312">
        <v>0</v>
      </c>
      <c r="R312">
        <v>0</v>
      </c>
      <c r="S312">
        <v>780</v>
      </c>
      <c r="T312" t="s">
        <v>57</v>
      </c>
      <c r="U312">
        <v>0</v>
      </c>
      <c r="V312">
        <v>0</v>
      </c>
      <c r="W312">
        <v>0</v>
      </c>
      <c r="X312">
        <v>0</v>
      </c>
      <c r="Y312" t="s">
        <v>67</v>
      </c>
      <c r="Z312">
        <v>0</v>
      </c>
      <c r="AA312">
        <v>0</v>
      </c>
      <c r="AB312">
        <v>0</v>
      </c>
      <c r="AC312">
        <v>0</v>
      </c>
      <c r="AD312" t="s">
        <v>60</v>
      </c>
      <c r="AE312">
        <v>0</v>
      </c>
      <c r="AF312">
        <v>0</v>
      </c>
      <c r="AG312">
        <v>0</v>
      </c>
      <c r="AH312">
        <v>0</v>
      </c>
      <c r="AI312" t="b">
        <v>0</v>
      </c>
      <c r="AJ312" t="s">
        <v>58</v>
      </c>
      <c r="AK312" t="s">
        <v>58</v>
      </c>
      <c r="AL312" t="s">
        <v>71</v>
      </c>
      <c r="AM312">
        <v>14</v>
      </c>
      <c r="AN312">
        <v>16</v>
      </c>
      <c r="AO312">
        <v>7</v>
      </c>
      <c r="AP312">
        <v>11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s">
        <v>61</v>
      </c>
      <c r="AY312" t="s">
        <v>57</v>
      </c>
      <c r="AZ312" t="s">
        <v>55</v>
      </c>
      <c r="BA312" t="s">
        <v>58</v>
      </c>
      <c r="BB312" t="s">
        <v>58</v>
      </c>
    </row>
    <row r="313" spans="1:54" x14ac:dyDescent="0.25">
      <c r="A313" t="s">
        <v>54</v>
      </c>
      <c r="B313" t="s">
        <v>54</v>
      </c>
      <c r="C313" t="s">
        <v>54</v>
      </c>
      <c r="D313" t="s">
        <v>173</v>
      </c>
      <c r="E313" t="s">
        <v>54</v>
      </c>
      <c r="F313" t="s">
        <v>54</v>
      </c>
      <c r="G313" t="s">
        <v>54</v>
      </c>
      <c r="H313" t="s">
        <v>54</v>
      </c>
      <c r="I313" t="s">
        <v>54</v>
      </c>
      <c r="J313" t="s">
        <v>54</v>
      </c>
      <c r="K313" t="s">
        <v>173</v>
      </c>
      <c r="L313">
        <v>-1</v>
      </c>
      <c r="M313">
        <v>0</v>
      </c>
      <c r="N313">
        <v>-1</v>
      </c>
      <c r="O313">
        <v>0</v>
      </c>
      <c r="P313" t="s">
        <v>70</v>
      </c>
      <c r="Q313">
        <v>0</v>
      </c>
      <c r="R313">
        <v>0</v>
      </c>
      <c r="S313">
        <v>1110</v>
      </c>
      <c r="T313" t="s">
        <v>57</v>
      </c>
      <c r="U313">
        <v>0</v>
      </c>
      <c r="V313">
        <v>0</v>
      </c>
      <c r="W313">
        <v>0</v>
      </c>
      <c r="X313">
        <v>0</v>
      </c>
      <c r="Y313" t="s">
        <v>67</v>
      </c>
      <c r="Z313">
        <v>0</v>
      </c>
      <c r="AA313">
        <v>0</v>
      </c>
      <c r="AB313">
        <v>0</v>
      </c>
      <c r="AC313">
        <v>0</v>
      </c>
      <c r="AD313" t="s">
        <v>60</v>
      </c>
      <c r="AE313">
        <v>0</v>
      </c>
      <c r="AF313">
        <v>0</v>
      </c>
      <c r="AG313">
        <v>0</v>
      </c>
      <c r="AH313">
        <v>0</v>
      </c>
      <c r="AI313" t="b">
        <v>0</v>
      </c>
      <c r="AJ313" t="s">
        <v>58</v>
      </c>
      <c r="AK313" t="s">
        <v>58</v>
      </c>
      <c r="AL313" t="s">
        <v>72</v>
      </c>
      <c r="AM313">
        <v>14</v>
      </c>
      <c r="AN313">
        <v>22</v>
      </c>
      <c r="AO313">
        <v>0</v>
      </c>
      <c r="AP313">
        <v>11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s">
        <v>61</v>
      </c>
      <c r="AY313" t="s">
        <v>57</v>
      </c>
      <c r="AZ313" t="s">
        <v>55</v>
      </c>
      <c r="BA313" t="s">
        <v>58</v>
      </c>
      <c r="BB313" t="s">
        <v>58</v>
      </c>
    </row>
    <row r="314" spans="1:54" x14ac:dyDescent="0.25">
      <c r="A314" t="s">
        <v>54</v>
      </c>
      <c r="B314" t="s">
        <v>54</v>
      </c>
      <c r="C314" t="s">
        <v>54</v>
      </c>
      <c r="D314" t="s">
        <v>149</v>
      </c>
      <c r="E314" t="s">
        <v>54</v>
      </c>
      <c r="F314" t="s">
        <v>54</v>
      </c>
      <c r="G314" t="s">
        <v>54</v>
      </c>
      <c r="H314" t="s">
        <v>54</v>
      </c>
      <c r="I314" t="s">
        <v>54</v>
      </c>
      <c r="J314" t="s">
        <v>54</v>
      </c>
      <c r="K314" t="s">
        <v>150</v>
      </c>
      <c r="L314">
        <v>-1</v>
      </c>
      <c r="M314">
        <v>0</v>
      </c>
      <c r="N314">
        <v>-1</v>
      </c>
      <c r="O314">
        <v>0</v>
      </c>
      <c r="P314" t="s">
        <v>70</v>
      </c>
      <c r="Q314">
        <v>0</v>
      </c>
      <c r="R314">
        <v>0</v>
      </c>
      <c r="S314">
        <v>1220</v>
      </c>
      <c r="T314" t="s">
        <v>57</v>
      </c>
      <c r="U314">
        <v>0</v>
      </c>
      <c r="V314">
        <v>0</v>
      </c>
      <c r="W314">
        <v>0</v>
      </c>
      <c r="X314">
        <v>0</v>
      </c>
      <c r="Y314" t="s">
        <v>60</v>
      </c>
      <c r="Z314">
        <v>0</v>
      </c>
      <c r="AA314">
        <v>0</v>
      </c>
      <c r="AB314">
        <v>0</v>
      </c>
      <c r="AC314">
        <v>0</v>
      </c>
      <c r="AD314" t="s">
        <v>60</v>
      </c>
      <c r="AE314">
        <v>0</v>
      </c>
      <c r="AF314">
        <v>0</v>
      </c>
      <c r="AG314">
        <v>0</v>
      </c>
      <c r="AH314">
        <v>0</v>
      </c>
      <c r="AI314" t="b">
        <v>0</v>
      </c>
      <c r="AJ314" t="s">
        <v>58</v>
      </c>
      <c r="AK314" t="s">
        <v>58</v>
      </c>
      <c r="AL314" t="s">
        <v>71</v>
      </c>
      <c r="AM314">
        <v>14</v>
      </c>
      <c r="AN314">
        <v>17</v>
      </c>
      <c r="AO314">
        <v>15</v>
      </c>
      <c r="AP314">
        <v>11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s">
        <v>61</v>
      </c>
      <c r="AY314" t="s">
        <v>57</v>
      </c>
      <c r="AZ314" t="s">
        <v>55</v>
      </c>
      <c r="BA314" t="s">
        <v>58</v>
      </c>
      <c r="BB314" t="s">
        <v>58</v>
      </c>
    </row>
    <row r="315" spans="1:54" x14ac:dyDescent="0.25">
      <c r="A315" t="s">
        <v>54</v>
      </c>
      <c r="B315" t="s">
        <v>54</v>
      </c>
      <c r="C315" t="s">
        <v>54</v>
      </c>
      <c r="D315" t="s">
        <v>155</v>
      </c>
      <c r="E315" t="s">
        <v>54</v>
      </c>
      <c r="F315" t="s">
        <v>54</v>
      </c>
      <c r="G315" t="s">
        <v>54</v>
      </c>
      <c r="H315" t="s">
        <v>54</v>
      </c>
      <c r="I315" t="s">
        <v>54</v>
      </c>
      <c r="J315" t="s">
        <v>54</v>
      </c>
      <c r="K315" t="s">
        <v>169</v>
      </c>
      <c r="L315">
        <v>-1</v>
      </c>
      <c r="M315">
        <v>0</v>
      </c>
      <c r="N315">
        <v>-1</v>
      </c>
      <c r="O315">
        <v>0</v>
      </c>
      <c r="P315" t="s">
        <v>70</v>
      </c>
      <c r="Q315">
        <v>0</v>
      </c>
      <c r="R315">
        <v>0</v>
      </c>
      <c r="S315">
        <v>780</v>
      </c>
      <c r="T315" t="s">
        <v>57</v>
      </c>
      <c r="U315">
        <v>0</v>
      </c>
      <c r="V315">
        <v>0</v>
      </c>
      <c r="W315">
        <v>0</v>
      </c>
      <c r="X315">
        <v>0</v>
      </c>
      <c r="Y315" t="s">
        <v>67</v>
      </c>
      <c r="Z315">
        <v>0</v>
      </c>
      <c r="AA315">
        <v>0</v>
      </c>
      <c r="AB315">
        <v>0</v>
      </c>
      <c r="AC315">
        <v>0</v>
      </c>
      <c r="AD315" t="s">
        <v>60</v>
      </c>
      <c r="AE315">
        <v>0</v>
      </c>
      <c r="AF315">
        <v>0</v>
      </c>
      <c r="AG315">
        <v>0</v>
      </c>
      <c r="AH315">
        <v>0</v>
      </c>
      <c r="AI315" t="b">
        <v>0</v>
      </c>
      <c r="AJ315" t="s">
        <v>58</v>
      </c>
      <c r="AK315" t="s">
        <v>58</v>
      </c>
      <c r="AL315" t="s">
        <v>71</v>
      </c>
      <c r="AM315">
        <v>14</v>
      </c>
      <c r="AN315">
        <v>17</v>
      </c>
      <c r="AO315">
        <v>6</v>
      </c>
      <c r="AP315">
        <v>11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s">
        <v>61</v>
      </c>
      <c r="AY315" t="s">
        <v>57</v>
      </c>
      <c r="AZ315" t="s">
        <v>55</v>
      </c>
      <c r="BA315" t="s">
        <v>58</v>
      </c>
      <c r="BB315" t="s">
        <v>58</v>
      </c>
    </row>
    <row r="316" spans="1:54" x14ac:dyDescent="0.25">
      <c r="A316" t="s">
        <v>54</v>
      </c>
      <c r="B316" t="s">
        <v>54</v>
      </c>
      <c r="C316" t="s">
        <v>54</v>
      </c>
      <c r="D316" t="s">
        <v>147</v>
      </c>
      <c r="E316" t="s">
        <v>54</v>
      </c>
      <c r="F316" t="s">
        <v>54</v>
      </c>
      <c r="G316" t="s">
        <v>54</v>
      </c>
      <c r="H316" t="s">
        <v>54</v>
      </c>
      <c r="I316" t="s">
        <v>54</v>
      </c>
      <c r="J316" t="s">
        <v>54</v>
      </c>
      <c r="K316" t="s">
        <v>166</v>
      </c>
      <c r="L316">
        <v>-1</v>
      </c>
      <c r="M316">
        <v>0</v>
      </c>
      <c r="N316">
        <v>-1</v>
      </c>
      <c r="O316">
        <v>0</v>
      </c>
      <c r="P316" t="s">
        <v>70</v>
      </c>
      <c r="Q316">
        <v>0</v>
      </c>
      <c r="R316">
        <v>0</v>
      </c>
      <c r="S316">
        <v>965</v>
      </c>
      <c r="T316" t="s">
        <v>57</v>
      </c>
      <c r="U316">
        <v>0</v>
      </c>
      <c r="V316">
        <v>0</v>
      </c>
      <c r="W316">
        <v>0</v>
      </c>
      <c r="X316">
        <v>0</v>
      </c>
      <c r="Y316" t="s">
        <v>67</v>
      </c>
      <c r="Z316">
        <v>0</v>
      </c>
      <c r="AA316">
        <v>0</v>
      </c>
      <c r="AB316">
        <v>0</v>
      </c>
      <c r="AC316">
        <v>0</v>
      </c>
      <c r="AD316" t="s">
        <v>60</v>
      </c>
      <c r="AE316">
        <v>0</v>
      </c>
      <c r="AF316">
        <v>0</v>
      </c>
      <c r="AG316">
        <v>0</v>
      </c>
      <c r="AH316">
        <v>0</v>
      </c>
      <c r="AI316" t="b">
        <v>0</v>
      </c>
      <c r="AJ316" t="s">
        <v>58</v>
      </c>
      <c r="AK316" t="s">
        <v>58</v>
      </c>
      <c r="AL316" t="s">
        <v>71</v>
      </c>
      <c r="AM316">
        <v>14</v>
      </c>
      <c r="AN316">
        <v>17</v>
      </c>
      <c r="AO316">
        <v>9</v>
      </c>
      <c r="AP316">
        <v>11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s">
        <v>61</v>
      </c>
      <c r="AY316" t="s">
        <v>57</v>
      </c>
      <c r="AZ316" t="s">
        <v>55</v>
      </c>
      <c r="BA316" t="s">
        <v>58</v>
      </c>
      <c r="BB316" t="s">
        <v>58</v>
      </c>
    </row>
    <row r="317" spans="1:54" x14ac:dyDescent="0.25">
      <c r="A317" t="s">
        <v>54</v>
      </c>
      <c r="B317" t="s">
        <v>54</v>
      </c>
      <c r="C317" t="s">
        <v>54</v>
      </c>
      <c r="D317" t="s">
        <v>171</v>
      </c>
      <c r="E317" t="s">
        <v>54</v>
      </c>
      <c r="F317" t="s">
        <v>54</v>
      </c>
      <c r="G317" t="s">
        <v>54</v>
      </c>
      <c r="H317" t="s">
        <v>54</v>
      </c>
      <c r="I317" t="s">
        <v>54</v>
      </c>
      <c r="J317" t="s">
        <v>54</v>
      </c>
      <c r="K317" t="s">
        <v>144</v>
      </c>
      <c r="L317">
        <v>-1</v>
      </c>
      <c r="M317">
        <v>0</v>
      </c>
      <c r="N317">
        <v>-1</v>
      </c>
      <c r="O317">
        <v>0</v>
      </c>
      <c r="P317" t="s">
        <v>70</v>
      </c>
      <c r="Q317">
        <v>0</v>
      </c>
      <c r="R317">
        <v>0</v>
      </c>
      <c r="S317">
        <v>965</v>
      </c>
      <c r="T317" t="s">
        <v>57</v>
      </c>
      <c r="U317">
        <v>0</v>
      </c>
      <c r="V317">
        <v>0</v>
      </c>
      <c r="W317">
        <v>0</v>
      </c>
      <c r="X317">
        <v>0</v>
      </c>
      <c r="Y317" t="s">
        <v>67</v>
      </c>
      <c r="Z317">
        <v>0</v>
      </c>
      <c r="AA317">
        <v>0</v>
      </c>
      <c r="AB317">
        <v>0</v>
      </c>
      <c r="AC317">
        <v>0</v>
      </c>
      <c r="AD317" t="s">
        <v>60</v>
      </c>
      <c r="AE317">
        <v>0</v>
      </c>
      <c r="AF317">
        <v>0</v>
      </c>
      <c r="AG317">
        <v>0</v>
      </c>
      <c r="AH317">
        <v>0</v>
      </c>
      <c r="AI317" t="b">
        <v>0</v>
      </c>
      <c r="AJ317" t="s">
        <v>58</v>
      </c>
      <c r="AK317" t="s">
        <v>58</v>
      </c>
      <c r="AL317" t="s">
        <v>71</v>
      </c>
      <c r="AM317">
        <v>14</v>
      </c>
      <c r="AN317">
        <v>15</v>
      </c>
      <c r="AO317">
        <v>9</v>
      </c>
      <c r="AP317">
        <v>11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s">
        <v>61</v>
      </c>
      <c r="AY317" t="s">
        <v>57</v>
      </c>
      <c r="AZ317" t="s">
        <v>55</v>
      </c>
      <c r="BA317" t="s">
        <v>58</v>
      </c>
      <c r="BB317" t="s">
        <v>58</v>
      </c>
    </row>
    <row r="318" spans="1:54" x14ac:dyDescent="0.25">
      <c r="A318" t="s">
        <v>54</v>
      </c>
      <c r="B318" t="s">
        <v>54</v>
      </c>
      <c r="C318" t="s">
        <v>54</v>
      </c>
      <c r="D318" t="s">
        <v>157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  <c r="J318" t="s">
        <v>54</v>
      </c>
      <c r="K318" t="s">
        <v>160</v>
      </c>
      <c r="L318">
        <v>-1</v>
      </c>
      <c r="M318">
        <v>0</v>
      </c>
      <c r="N318">
        <v>-1</v>
      </c>
      <c r="O318">
        <v>0</v>
      </c>
      <c r="P318" t="s">
        <v>70</v>
      </c>
      <c r="Q318">
        <v>0</v>
      </c>
      <c r="R318">
        <v>0</v>
      </c>
      <c r="S318">
        <v>780</v>
      </c>
      <c r="T318" t="s">
        <v>57</v>
      </c>
      <c r="U318">
        <v>0</v>
      </c>
      <c r="V318">
        <v>0</v>
      </c>
      <c r="W318">
        <v>0</v>
      </c>
      <c r="X318">
        <v>0</v>
      </c>
      <c r="Y318" t="s">
        <v>67</v>
      </c>
      <c r="Z318">
        <v>0</v>
      </c>
      <c r="AA318">
        <v>0</v>
      </c>
      <c r="AB318">
        <v>0</v>
      </c>
      <c r="AC318">
        <v>0</v>
      </c>
      <c r="AD318" t="s">
        <v>60</v>
      </c>
      <c r="AE318">
        <v>0</v>
      </c>
      <c r="AF318">
        <v>0</v>
      </c>
      <c r="AG318">
        <v>0</v>
      </c>
      <c r="AH318">
        <v>0</v>
      </c>
      <c r="AI318" t="b">
        <v>0</v>
      </c>
      <c r="AJ318" t="s">
        <v>58</v>
      </c>
      <c r="AK318" t="s">
        <v>58</v>
      </c>
      <c r="AL318" t="s">
        <v>71</v>
      </c>
      <c r="AM318">
        <v>14</v>
      </c>
      <c r="AN318">
        <v>17</v>
      </c>
      <c r="AO318">
        <v>7</v>
      </c>
      <c r="AP318">
        <v>11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s">
        <v>61</v>
      </c>
      <c r="AY318" t="s">
        <v>57</v>
      </c>
      <c r="AZ318" t="s">
        <v>55</v>
      </c>
      <c r="BA318" t="s">
        <v>58</v>
      </c>
      <c r="BB318" t="s">
        <v>58</v>
      </c>
    </row>
    <row r="319" spans="1:54" x14ac:dyDescent="0.25">
      <c r="A319" t="s">
        <v>54</v>
      </c>
      <c r="B319" t="s">
        <v>54</v>
      </c>
      <c r="C319" t="s">
        <v>54</v>
      </c>
      <c r="D319" t="s">
        <v>172</v>
      </c>
      <c r="E319" t="s">
        <v>54</v>
      </c>
      <c r="F319" t="s">
        <v>54</v>
      </c>
      <c r="G319" t="s">
        <v>54</v>
      </c>
      <c r="H319" t="s">
        <v>54</v>
      </c>
      <c r="I319" t="s">
        <v>54</v>
      </c>
      <c r="J319" t="s">
        <v>54</v>
      </c>
      <c r="K319" t="s">
        <v>167</v>
      </c>
      <c r="L319">
        <v>-1</v>
      </c>
      <c r="M319">
        <v>0</v>
      </c>
      <c r="N319">
        <v>-1</v>
      </c>
      <c r="O319">
        <v>0</v>
      </c>
      <c r="P319" t="s">
        <v>70</v>
      </c>
      <c r="Q319">
        <v>0</v>
      </c>
      <c r="R319">
        <v>0</v>
      </c>
      <c r="S319">
        <v>975</v>
      </c>
      <c r="T319" t="s">
        <v>57</v>
      </c>
      <c r="U319">
        <v>0</v>
      </c>
      <c r="V319">
        <v>0</v>
      </c>
      <c r="W319">
        <v>0</v>
      </c>
      <c r="X319">
        <v>0</v>
      </c>
      <c r="Y319" t="s">
        <v>67</v>
      </c>
      <c r="Z319">
        <v>0</v>
      </c>
      <c r="AA319">
        <v>0</v>
      </c>
      <c r="AB319">
        <v>0</v>
      </c>
      <c r="AC319">
        <v>0</v>
      </c>
      <c r="AD319" t="s">
        <v>60</v>
      </c>
      <c r="AE319">
        <v>0</v>
      </c>
      <c r="AF319">
        <v>0</v>
      </c>
      <c r="AG319">
        <v>0</v>
      </c>
      <c r="AH319">
        <v>0</v>
      </c>
      <c r="AI319" t="b">
        <v>0</v>
      </c>
      <c r="AJ319" t="s">
        <v>58</v>
      </c>
      <c r="AK319" t="s">
        <v>58</v>
      </c>
      <c r="AL319" t="s">
        <v>71</v>
      </c>
      <c r="AM319">
        <v>14</v>
      </c>
      <c r="AN319">
        <v>17</v>
      </c>
      <c r="AO319">
        <v>12</v>
      </c>
      <c r="AP319">
        <v>11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s">
        <v>61</v>
      </c>
      <c r="AY319" t="s">
        <v>57</v>
      </c>
      <c r="AZ319" t="s">
        <v>55</v>
      </c>
      <c r="BA319" t="s">
        <v>58</v>
      </c>
      <c r="BB319" t="s">
        <v>58</v>
      </c>
    </row>
    <row r="320" spans="1:54" x14ac:dyDescent="0.25">
      <c r="A320" t="s">
        <v>54</v>
      </c>
      <c r="B320" t="s">
        <v>54</v>
      </c>
      <c r="C320" t="s">
        <v>54</v>
      </c>
      <c r="D320" t="s">
        <v>162</v>
      </c>
      <c r="E320" t="s">
        <v>54</v>
      </c>
      <c r="F320" t="s">
        <v>54</v>
      </c>
      <c r="G320" t="s">
        <v>54</v>
      </c>
      <c r="H320" t="s">
        <v>54</v>
      </c>
      <c r="I320" t="s">
        <v>54</v>
      </c>
      <c r="J320" t="s">
        <v>54</v>
      </c>
      <c r="K320" t="s">
        <v>161</v>
      </c>
      <c r="L320">
        <v>-1</v>
      </c>
      <c r="M320">
        <v>0</v>
      </c>
      <c r="N320">
        <v>-1</v>
      </c>
      <c r="O320">
        <v>0</v>
      </c>
      <c r="P320" t="s">
        <v>70</v>
      </c>
      <c r="Q320">
        <v>0</v>
      </c>
      <c r="R320">
        <v>0</v>
      </c>
      <c r="S320">
        <v>975</v>
      </c>
      <c r="T320" t="s">
        <v>57</v>
      </c>
      <c r="U320">
        <v>0</v>
      </c>
      <c r="V320">
        <v>0</v>
      </c>
      <c r="W320">
        <v>0</v>
      </c>
      <c r="X320">
        <v>0</v>
      </c>
      <c r="Y320" t="s">
        <v>67</v>
      </c>
      <c r="Z320">
        <v>0</v>
      </c>
      <c r="AA320">
        <v>0</v>
      </c>
      <c r="AB320">
        <v>0</v>
      </c>
      <c r="AC320">
        <v>0</v>
      </c>
      <c r="AD320" t="s">
        <v>60</v>
      </c>
      <c r="AE320">
        <v>0</v>
      </c>
      <c r="AF320">
        <v>0</v>
      </c>
      <c r="AG320">
        <v>0</v>
      </c>
      <c r="AH320">
        <v>0</v>
      </c>
      <c r="AI320" t="b">
        <v>0</v>
      </c>
      <c r="AJ320" t="s">
        <v>58</v>
      </c>
      <c r="AK320" t="s">
        <v>58</v>
      </c>
      <c r="AL320" t="s">
        <v>71</v>
      </c>
      <c r="AM320">
        <v>14</v>
      </c>
      <c r="AN320">
        <v>17</v>
      </c>
      <c r="AO320">
        <v>13</v>
      </c>
      <c r="AP320">
        <v>11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s">
        <v>61</v>
      </c>
      <c r="AY320" t="s">
        <v>57</v>
      </c>
      <c r="AZ320" t="s">
        <v>55</v>
      </c>
      <c r="BA320" t="s">
        <v>58</v>
      </c>
      <c r="BB320" t="s">
        <v>58</v>
      </c>
    </row>
    <row r="321" spans="1:54" x14ac:dyDescent="0.25">
      <c r="A321" t="s">
        <v>54</v>
      </c>
      <c r="B321" t="s">
        <v>54</v>
      </c>
      <c r="C321" t="s">
        <v>54</v>
      </c>
      <c r="D321" t="s">
        <v>173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  <c r="J321" t="s">
        <v>54</v>
      </c>
      <c r="K321" t="s">
        <v>173</v>
      </c>
      <c r="L321">
        <v>-1</v>
      </c>
      <c r="M321">
        <v>0</v>
      </c>
      <c r="N321">
        <v>-1</v>
      </c>
      <c r="O321">
        <v>0</v>
      </c>
      <c r="P321" t="s">
        <v>70</v>
      </c>
      <c r="Q321">
        <v>0</v>
      </c>
      <c r="R321">
        <v>0</v>
      </c>
      <c r="S321">
        <v>1120</v>
      </c>
      <c r="T321" t="s">
        <v>57</v>
      </c>
      <c r="U321">
        <v>0</v>
      </c>
      <c r="V321">
        <v>0</v>
      </c>
      <c r="W321">
        <v>0</v>
      </c>
      <c r="X321">
        <v>0</v>
      </c>
      <c r="Y321" t="s">
        <v>67</v>
      </c>
      <c r="Z321">
        <v>0</v>
      </c>
      <c r="AA321">
        <v>0</v>
      </c>
      <c r="AB321">
        <v>0</v>
      </c>
      <c r="AC321">
        <v>0</v>
      </c>
      <c r="AD321" t="s">
        <v>60</v>
      </c>
      <c r="AE321">
        <v>0</v>
      </c>
      <c r="AF321">
        <v>0</v>
      </c>
      <c r="AG321">
        <v>0</v>
      </c>
      <c r="AH321">
        <v>0</v>
      </c>
      <c r="AI321" t="b">
        <v>0</v>
      </c>
      <c r="AJ321" t="s">
        <v>58</v>
      </c>
      <c r="AK321" t="s">
        <v>58</v>
      </c>
      <c r="AL321" t="s">
        <v>56</v>
      </c>
      <c r="AM321">
        <v>14</v>
      </c>
      <c r="AN321">
        <v>20</v>
      </c>
      <c r="AO321">
        <v>1</v>
      </c>
      <c r="AP321">
        <v>11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s">
        <v>61</v>
      </c>
      <c r="AY321" t="s">
        <v>57</v>
      </c>
      <c r="AZ321" t="s">
        <v>55</v>
      </c>
      <c r="BA321" t="s">
        <v>58</v>
      </c>
      <c r="BB321" t="s">
        <v>58</v>
      </c>
    </row>
    <row r="322" spans="1:54" x14ac:dyDescent="0.25">
      <c r="A322" t="s">
        <v>54</v>
      </c>
      <c r="B322" t="s">
        <v>54</v>
      </c>
      <c r="C322" t="s">
        <v>54</v>
      </c>
      <c r="D322" t="s">
        <v>173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  <c r="J322" t="s">
        <v>54</v>
      </c>
      <c r="K322" t="s">
        <v>173</v>
      </c>
      <c r="L322">
        <v>-1</v>
      </c>
      <c r="M322">
        <v>0</v>
      </c>
      <c r="N322">
        <v>-1</v>
      </c>
      <c r="O322">
        <v>0</v>
      </c>
      <c r="P322" t="s">
        <v>70</v>
      </c>
      <c r="Q322">
        <v>0</v>
      </c>
      <c r="R322">
        <v>0</v>
      </c>
      <c r="S322">
        <v>905</v>
      </c>
      <c r="T322" t="s">
        <v>57</v>
      </c>
      <c r="U322">
        <v>0</v>
      </c>
      <c r="V322">
        <v>0</v>
      </c>
      <c r="W322">
        <v>0</v>
      </c>
      <c r="X322">
        <v>0</v>
      </c>
      <c r="Y322" t="s">
        <v>67</v>
      </c>
      <c r="Z322">
        <v>0</v>
      </c>
      <c r="AA322">
        <v>0</v>
      </c>
      <c r="AB322">
        <v>0</v>
      </c>
      <c r="AC322">
        <v>0</v>
      </c>
      <c r="AD322" t="s">
        <v>60</v>
      </c>
      <c r="AE322">
        <v>0</v>
      </c>
      <c r="AF322">
        <v>0</v>
      </c>
      <c r="AG322">
        <v>0</v>
      </c>
      <c r="AH322">
        <v>0</v>
      </c>
      <c r="AI322" t="b">
        <v>0</v>
      </c>
      <c r="AJ322" t="s">
        <v>58</v>
      </c>
      <c r="AK322" t="s">
        <v>58</v>
      </c>
      <c r="AL322" t="s">
        <v>56</v>
      </c>
      <c r="AM322">
        <v>14</v>
      </c>
      <c r="AN322">
        <v>20</v>
      </c>
      <c r="AO322">
        <v>0</v>
      </c>
      <c r="AP322">
        <v>11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s">
        <v>61</v>
      </c>
      <c r="AY322" t="s">
        <v>57</v>
      </c>
      <c r="AZ322" t="s">
        <v>55</v>
      </c>
      <c r="BA322" t="s">
        <v>58</v>
      </c>
      <c r="BB322" t="s">
        <v>58</v>
      </c>
    </row>
    <row r="323" spans="1:54" x14ac:dyDescent="0.25">
      <c r="A323" t="s">
        <v>54</v>
      </c>
      <c r="B323" t="s">
        <v>54</v>
      </c>
      <c r="C323" t="s">
        <v>54</v>
      </c>
      <c r="D323" t="s">
        <v>173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  <c r="J323" t="s">
        <v>54</v>
      </c>
      <c r="K323" t="s">
        <v>173</v>
      </c>
      <c r="L323">
        <v>-1</v>
      </c>
      <c r="M323">
        <v>0</v>
      </c>
      <c r="N323">
        <v>-1</v>
      </c>
      <c r="O323">
        <v>0</v>
      </c>
      <c r="P323" t="s">
        <v>70</v>
      </c>
      <c r="Q323">
        <v>0</v>
      </c>
      <c r="R323">
        <v>0</v>
      </c>
      <c r="S323">
        <v>1120</v>
      </c>
      <c r="T323" t="s">
        <v>57</v>
      </c>
      <c r="U323">
        <v>0</v>
      </c>
      <c r="V323">
        <v>0</v>
      </c>
      <c r="W323">
        <v>0</v>
      </c>
      <c r="X323">
        <v>0</v>
      </c>
      <c r="Y323" t="s">
        <v>67</v>
      </c>
      <c r="Z323">
        <v>0</v>
      </c>
      <c r="AA323">
        <v>0</v>
      </c>
      <c r="AB323">
        <v>0</v>
      </c>
      <c r="AC323">
        <v>0</v>
      </c>
      <c r="AD323" t="s">
        <v>60</v>
      </c>
      <c r="AE323">
        <v>0</v>
      </c>
      <c r="AF323">
        <v>0</v>
      </c>
      <c r="AG323">
        <v>0</v>
      </c>
      <c r="AH323">
        <v>0</v>
      </c>
      <c r="AI323" t="b">
        <v>0</v>
      </c>
      <c r="AJ323" t="s">
        <v>58</v>
      </c>
      <c r="AK323" t="s">
        <v>58</v>
      </c>
      <c r="AL323" t="s">
        <v>62</v>
      </c>
      <c r="AM323">
        <v>14</v>
      </c>
      <c r="AN323">
        <v>19</v>
      </c>
      <c r="AO323">
        <v>1</v>
      </c>
      <c r="AP323">
        <v>11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s">
        <v>61</v>
      </c>
      <c r="AY323" t="s">
        <v>57</v>
      </c>
      <c r="AZ323" t="s">
        <v>55</v>
      </c>
      <c r="BA323" t="s">
        <v>58</v>
      </c>
      <c r="BB323" t="s">
        <v>58</v>
      </c>
    </row>
    <row r="324" spans="1:54" x14ac:dyDescent="0.25">
      <c r="A324" t="s">
        <v>54</v>
      </c>
      <c r="B324" t="s">
        <v>54</v>
      </c>
      <c r="C324" t="s">
        <v>54</v>
      </c>
      <c r="D324" t="s">
        <v>173</v>
      </c>
      <c r="E324" t="s">
        <v>54</v>
      </c>
      <c r="F324" t="s">
        <v>54</v>
      </c>
      <c r="G324" t="s">
        <v>54</v>
      </c>
      <c r="H324" t="s">
        <v>54</v>
      </c>
      <c r="I324" t="s">
        <v>54</v>
      </c>
      <c r="J324" t="s">
        <v>54</v>
      </c>
      <c r="K324" t="s">
        <v>173</v>
      </c>
      <c r="L324">
        <v>-1</v>
      </c>
      <c r="M324">
        <v>0</v>
      </c>
      <c r="N324">
        <v>-1</v>
      </c>
      <c r="O324">
        <v>0</v>
      </c>
      <c r="P324" t="s">
        <v>70</v>
      </c>
      <c r="Q324">
        <v>0</v>
      </c>
      <c r="R324">
        <v>0</v>
      </c>
      <c r="S324">
        <v>1215</v>
      </c>
      <c r="T324" t="s">
        <v>57</v>
      </c>
      <c r="U324">
        <v>0</v>
      </c>
      <c r="V324">
        <v>0</v>
      </c>
      <c r="W324">
        <v>0</v>
      </c>
      <c r="X324">
        <v>0</v>
      </c>
      <c r="Y324" t="s">
        <v>67</v>
      </c>
      <c r="Z324">
        <v>0</v>
      </c>
      <c r="AA324">
        <v>0</v>
      </c>
      <c r="AB324">
        <v>0</v>
      </c>
      <c r="AC324">
        <v>0</v>
      </c>
      <c r="AD324" t="s">
        <v>60</v>
      </c>
      <c r="AE324">
        <v>0</v>
      </c>
      <c r="AF324">
        <v>0</v>
      </c>
      <c r="AG324">
        <v>0</v>
      </c>
      <c r="AH324">
        <v>0</v>
      </c>
      <c r="AI324" t="b">
        <v>0</v>
      </c>
      <c r="AJ324" t="s">
        <v>58</v>
      </c>
      <c r="AK324" t="s">
        <v>58</v>
      </c>
      <c r="AL324" t="s">
        <v>64</v>
      </c>
      <c r="AM324">
        <v>14</v>
      </c>
      <c r="AN324">
        <v>18</v>
      </c>
      <c r="AO324">
        <v>2</v>
      </c>
      <c r="AP324">
        <v>11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s">
        <v>61</v>
      </c>
      <c r="AY324" t="s">
        <v>57</v>
      </c>
      <c r="AZ324" t="s">
        <v>55</v>
      </c>
      <c r="BA324" t="s">
        <v>58</v>
      </c>
      <c r="BB324" t="s">
        <v>58</v>
      </c>
    </row>
    <row r="325" spans="1:54" x14ac:dyDescent="0.25">
      <c r="A325" t="s">
        <v>54</v>
      </c>
      <c r="B325" t="s">
        <v>54</v>
      </c>
      <c r="C325" t="s">
        <v>54</v>
      </c>
      <c r="D325" t="s">
        <v>152</v>
      </c>
      <c r="E325" t="s">
        <v>54</v>
      </c>
      <c r="F325" t="s">
        <v>54</v>
      </c>
      <c r="G325" t="s">
        <v>54</v>
      </c>
      <c r="H325" t="s">
        <v>54</v>
      </c>
      <c r="I325" t="s">
        <v>54</v>
      </c>
      <c r="J325" t="s">
        <v>54</v>
      </c>
      <c r="K325" t="s">
        <v>146</v>
      </c>
      <c r="L325">
        <v>-1</v>
      </c>
      <c r="M325">
        <v>0</v>
      </c>
      <c r="N325">
        <v>-1</v>
      </c>
      <c r="O325">
        <v>0</v>
      </c>
      <c r="P325" t="s">
        <v>70</v>
      </c>
      <c r="Q325">
        <v>0</v>
      </c>
      <c r="R325">
        <v>0</v>
      </c>
      <c r="S325">
        <v>975</v>
      </c>
      <c r="T325" t="s">
        <v>57</v>
      </c>
      <c r="U325">
        <v>0</v>
      </c>
      <c r="V325">
        <v>0</v>
      </c>
      <c r="W325">
        <v>0</v>
      </c>
      <c r="X325">
        <v>0</v>
      </c>
      <c r="Y325" t="s">
        <v>67</v>
      </c>
      <c r="Z325">
        <v>0</v>
      </c>
      <c r="AA325">
        <v>0</v>
      </c>
      <c r="AB325">
        <v>0</v>
      </c>
      <c r="AC325">
        <v>0</v>
      </c>
      <c r="AD325" t="s">
        <v>60</v>
      </c>
      <c r="AE325">
        <v>0</v>
      </c>
      <c r="AF325">
        <v>0</v>
      </c>
      <c r="AG325">
        <v>0</v>
      </c>
      <c r="AH325">
        <v>0</v>
      </c>
      <c r="AI325" t="b">
        <v>0</v>
      </c>
      <c r="AJ325" t="s">
        <v>58</v>
      </c>
      <c r="AK325" t="s">
        <v>58</v>
      </c>
      <c r="AL325" t="s">
        <v>71</v>
      </c>
      <c r="AM325">
        <v>14</v>
      </c>
      <c r="AN325">
        <v>17</v>
      </c>
      <c r="AO325">
        <v>14</v>
      </c>
      <c r="AP325">
        <v>11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s">
        <v>61</v>
      </c>
      <c r="AY325" t="s">
        <v>57</v>
      </c>
      <c r="AZ325" t="s">
        <v>55</v>
      </c>
      <c r="BA325" t="s">
        <v>58</v>
      </c>
      <c r="BB325" t="s">
        <v>58</v>
      </c>
    </row>
    <row r="326" spans="1:54" x14ac:dyDescent="0.25">
      <c r="A326" t="s">
        <v>54</v>
      </c>
      <c r="B326" t="s">
        <v>54</v>
      </c>
      <c r="C326" t="s">
        <v>54</v>
      </c>
      <c r="D326" t="s">
        <v>173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  <c r="J326" t="s">
        <v>54</v>
      </c>
      <c r="K326" t="s">
        <v>173</v>
      </c>
      <c r="L326">
        <v>-1</v>
      </c>
      <c r="M326">
        <v>0</v>
      </c>
      <c r="N326">
        <v>-1</v>
      </c>
      <c r="O326">
        <v>0</v>
      </c>
      <c r="P326" t="s">
        <v>70</v>
      </c>
      <c r="Q326">
        <v>0</v>
      </c>
      <c r="R326">
        <v>0</v>
      </c>
      <c r="S326">
        <v>1000</v>
      </c>
      <c r="T326" t="s">
        <v>57</v>
      </c>
      <c r="U326">
        <v>0</v>
      </c>
      <c r="V326">
        <v>0</v>
      </c>
      <c r="W326">
        <v>0</v>
      </c>
      <c r="X326">
        <v>0</v>
      </c>
      <c r="Y326" t="s">
        <v>67</v>
      </c>
      <c r="Z326">
        <v>0</v>
      </c>
      <c r="AA326">
        <v>0</v>
      </c>
      <c r="AB326">
        <v>0</v>
      </c>
      <c r="AC326">
        <v>0</v>
      </c>
      <c r="AD326" t="s">
        <v>60</v>
      </c>
      <c r="AE326">
        <v>0</v>
      </c>
      <c r="AF326">
        <v>0</v>
      </c>
      <c r="AG326">
        <v>0</v>
      </c>
      <c r="AH326">
        <v>0</v>
      </c>
      <c r="AI326" t="b">
        <v>0</v>
      </c>
      <c r="AJ326" t="s">
        <v>58</v>
      </c>
      <c r="AK326" t="s">
        <v>58</v>
      </c>
      <c r="AL326" t="s">
        <v>64</v>
      </c>
      <c r="AM326">
        <v>14</v>
      </c>
      <c r="AN326">
        <v>18</v>
      </c>
      <c r="AO326">
        <v>1</v>
      </c>
      <c r="AP326">
        <v>11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s">
        <v>61</v>
      </c>
      <c r="AY326" t="s">
        <v>57</v>
      </c>
      <c r="AZ326" t="s">
        <v>55</v>
      </c>
      <c r="BA326" t="s">
        <v>58</v>
      </c>
      <c r="BB326" t="s">
        <v>58</v>
      </c>
    </row>
    <row r="327" spans="1:54" x14ac:dyDescent="0.25">
      <c r="A327" t="s">
        <v>54</v>
      </c>
      <c r="B327" t="s">
        <v>54</v>
      </c>
      <c r="C327" t="s">
        <v>54</v>
      </c>
      <c r="D327" t="s">
        <v>173</v>
      </c>
      <c r="E327" t="s">
        <v>54</v>
      </c>
      <c r="F327" t="s">
        <v>54</v>
      </c>
      <c r="G327" t="s">
        <v>54</v>
      </c>
      <c r="H327" t="s">
        <v>54</v>
      </c>
      <c r="I327" t="s">
        <v>54</v>
      </c>
      <c r="J327" t="s">
        <v>54</v>
      </c>
      <c r="K327" t="s">
        <v>173</v>
      </c>
      <c r="L327">
        <v>-1</v>
      </c>
      <c r="M327">
        <v>0</v>
      </c>
      <c r="N327">
        <v>-1</v>
      </c>
      <c r="O327">
        <v>0</v>
      </c>
      <c r="P327" t="s">
        <v>70</v>
      </c>
      <c r="Q327">
        <v>0</v>
      </c>
      <c r="R327">
        <v>0</v>
      </c>
      <c r="S327">
        <v>905</v>
      </c>
      <c r="T327" t="s">
        <v>57</v>
      </c>
      <c r="U327">
        <v>0</v>
      </c>
      <c r="V327">
        <v>0</v>
      </c>
      <c r="W327">
        <v>0</v>
      </c>
      <c r="X327">
        <v>0</v>
      </c>
      <c r="Y327" t="s">
        <v>67</v>
      </c>
      <c r="Z327">
        <v>0</v>
      </c>
      <c r="AA327">
        <v>0</v>
      </c>
      <c r="AB327">
        <v>0</v>
      </c>
      <c r="AC327">
        <v>0</v>
      </c>
      <c r="AD327" t="s">
        <v>60</v>
      </c>
      <c r="AE327">
        <v>0</v>
      </c>
      <c r="AF327">
        <v>0</v>
      </c>
      <c r="AG327">
        <v>0</v>
      </c>
      <c r="AH327">
        <v>0</v>
      </c>
      <c r="AI327" t="b">
        <v>0</v>
      </c>
      <c r="AJ327" t="s">
        <v>58</v>
      </c>
      <c r="AK327" t="s">
        <v>58</v>
      </c>
      <c r="AL327" t="s">
        <v>62</v>
      </c>
      <c r="AM327">
        <v>14</v>
      </c>
      <c r="AN327">
        <v>19</v>
      </c>
      <c r="AO327">
        <v>0</v>
      </c>
      <c r="AP327">
        <v>11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s">
        <v>61</v>
      </c>
      <c r="AY327" t="s">
        <v>57</v>
      </c>
      <c r="AZ327" t="s">
        <v>55</v>
      </c>
      <c r="BA327" t="s">
        <v>58</v>
      </c>
      <c r="BB327" t="s">
        <v>58</v>
      </c>
    </row>
    <row r="328" spans="1:54" x14ac:dyDescent="0.25">
      <c r="A328" t="s">
        <v>54</v>
      </c>
      <c r="B328" t="s">
        <v>54</v>
      </c>
      <c r="C328" t="s">
        <v>54</v>
      </c>
      <c r="D328" t="s">
        <v>173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  <c r="J328" t="s">
        <v>54</v>
      </c>
      <c r="K328" t="s">
        <v>173</v>
      </c>
      <c r="L328">
        <v>-1</v>
      </c>
      <c r="M328">
        <v>0</v>
      </c>
      <c r="N328">
        <v>-1</v>
      </c>
      <c r="O328">
        <v>0</v>
      </c>
      <c r="P328" t="s">
        <v>70</v>
      </c>
      <c r="Q328">
        <v>0</v>
      </c>
      <c r="R328">
        <v>0</v>
      </c>
      <c r="S328">
        <v>785</v>
      </c>
      <c r="T328" t="s">
        <v>57</v>
      </c>
      <c r="U328">
        <v>0</v>
      </c>
      <c r="V328">
        <v>0</v>
      </c>
      <c r="W328">
        <v>0</v>
      </c>
      <c r="X328">
        <v>0</v>
      </c>
      <c r="Y328" t="s">
        <v>67</v>
      </c>
      <c r="Z328">
        <v>0</v>
      </c>
      <c r="AA328">
        <v>0</v>
      </c>
      <c r="AB328">
        <v>0</v>
      </c>
      <c r="AC328">
        <v>0</v>
      </c>
      <c r="AD328" t="s">
        <v>60</v>
      </c>
      <c r="AE328">
        <v>0</v>
      </c>
      <c r="AF328">
        <v>0</v>
      </c>
      <c r="AG328">
        <v>0</v>
      </c>
      <c r="AH328">
        <v>0</v>
      </c>
      <c r="AI328" t="b">
        <v>0</v>
      </c>
      <c r="AJ328" t="s">
        <v>58</v>
      </c>
      <c r="AK328" t="s">
        <v>58</v>
      </c>
      <c r="AL328" t="s">
        <v>64</v>
      </c>
      <c r="AM328">
        <v>14</v>
      </c>
      <c r="AN328">
        <v>18</v>
      </c>
      <c r="AO328">
        <v>0</v>
      </c>
      <c r="AP328">
        <v>11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s">
        <v>61</v>
      </c>
      <c r="AY328" t="s">
        <v>57</v>
      </c>
      <c r="AZ328" t="s">
        <v>55</v>
      </c>
      <c r="BA328" t="s">
        <v>58</v>
      </c>
      <c r="BB328" t="s">
        <v>58</v>
      </c>
    </row>
    <row r="329" spans="1:54" x14ac:dyDescent="0.25">
      <c r="A329" t="s">
        <v>54</v>
      </c>
      <c r="B329" t="s">
        <v>54</v>
      </c>
      <c r="C329" t="s">
        <v>54</v>
      </c>
      <c r="D329" t="s">
        <v>173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  <c r="J329" t="s">
        <v>54</v>
      </c>
      <c r="K329" t="s">
        <v>173</v>
      </c>
      <c r="L329">
        <v>-1</v>
      </c>
      <c r="M329">
        <v>0</v>
      </c>
      <c r="N329">
        <v>-1</v>
      </c>
      <c r="O329">
        <v>0</v>
      </c>
      <c r="P329" t="s">
        <v>70</v>
      </c>
      <c r="Q329">
        <v>0</v>
      </c>
      <c r="R329">
        <v>0</v>
      </c>
      <c r="S329">
        <v>1000</v>
      </c>
      <c r="T329" t="s">
        <v>57</v>
      </c>
      <c r="U329">
        <v>0</v>
      </c>
      <c r="V329">
        <v>0</v>
      </c>
      <c r="W329">
        <v>0</v>
      </c>
      <c r="X329">
        <v>0</v>
      </c>
      <c r="Y329" t="s">
        <v>67</v>
      </c>
      <c r="Z329">
        <v>0</v>
      </c>
      <c r="AA329">
        <v>0</v>
      </c>
      <c r="AB329">
        <v>0</v>
      </c>
      <c r="AC329">
        <v>0</v>
      </c>
      <c r="AD329" t="s">
        <v>63</v>
      </c>
      <c r="AE329">
        <v>0</v>
      </c>
      <c r="AF329">
        <v>0</v>
      </c>
      <c r="AG329">
        <v>0</v>
      </c>
      <c r="AH329">
        <v>0</v>
      </c>
      <c r="AI329" t="b">
        <v>0</v>
      </c>
      <c r="AJ329" t="s">
        <v>58</v>
      </c>
      <c r="AK329" t="s">
        <v>58</v>
      </c>
      <c r="AL329" t="s">
        <v>64</v>
      </c>
      <c r="AM329">
        <v>14</v>
      </c>
      <c r="AN329">
        <v>18</v>
      </c>
      <c r="AO329">
        <v>4</v>
      </c>
      <c r="AP329">
        <v>11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s">
        <v>61</v>
      </c>
      <c r="AY329" t="s">
        <v>57</v>
      </c>
      <c r="AZ329" t="s">
        <v>55</v>
      </c>
      <c r="BA329" t="s">
        <v>58</v>
      </c>
      <c r="BB329" t="s">
        <v>58</v>
      </c>
    </row>
    <row r="330" spans="1:54" x14ac:dyDescent="0.25">
      <c r="A330" t="s">
        <v>54</v>
      </c>
      <c r="B330" t="s">
        <v>54</v>
      </c>
      <c r="C330" t="s">
        <v>54</v>
      </c>
      <c r="D330" t="s">
        <v>173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  <c r="J330" t="s">
        <v>54</v>
      </c>
      <c r="K330" t="s">
        <v>173</v>
      </c>
      <c r="L330">
        <v>-1</v>
      </c>
      <c r="M330">
        <v>0</v>
      </c>
      <c r="N330">
        <v>-1</v>
      </c>
      <c r="O330">
        <v>0</v>
      </c>
      <c r="P330" t="s">
        <v>70</v>
      </c>
      <c r="Q330">
        <v>0</v>
      </c>
      <c r="R330">
        <v>0</v>
      </c>
      <c r="S330">
        <v>1215</v>
      </c>
      <c r="T330" t="s">
        <v>57</v>
      </c>
      <c r="U330">
        <v>0</v>
      </c>
      <c r="V330">
        <v>0</v>
      </c>
      <c r="W330">
        <v>0</v>
      </c>
      <c r="X330">
        <v>0</v>
      </c>
      <c r="Y330" t="s">
        <v>67</v>
      </c>
      <c r="Z330">
        <v>0</v>
      </c>
      <c r="AA330">
        <v>0</v>
      </c>
      <c r="AB330">
        <v>0</v>
      </c>
      <c r="AC330">
        <v>0</v>
      </c>
      <c r="AD330" t="s">
        <v>63</v>
      </c>
      <c r="AE330">
        <v>0</v>
      </c>
      <c r="AF330">
        <v>0</v>
      </c>
      <c r="AG330">
        <v>0</v>
      </c>
      <c r="AH330">
        <v>0</v>
      </c>
      <c r="AI330" t="b">
        <v>0</v>
      </c>
      <c r="AJ330" t="s">
        <v>58</v>
      </c>
      <c r="AK330" t="s">
        <v>58</v>
      </c>
      <c r="AL330" t="s">
        <v>64</v>
      </c>
      <c r="AM330">
        <v>14</v>
      </c>
      <c r="AN330">
        <v>18</v>
      </c>
      <c r="AO330">
        <v>5</v>
      </c>
      <c r="AP330">
        <v>11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s">
        <v>61</v>
      </c>
      <c r="AY330" t="s">
        <v>57</v>
      </c>
      <c r="AZ330" t="s">
        <v>55</v>
      </c>
      <c r="BA330" t="s">
        <v>58</v>
      </c>
      <c r="BB330" t="s">
        <v>58</v>
      </c>
    </row>
    <row r="331" spans="1:54" x14ac:dyDescent="0.25">
      <c r="A331" t="s">
        <v>54</v>
      </c>
      <c r="B331" t="s">
        <v>54</v>
      </c>
      <c r="C331" t="s">
        <v>54</v>
      </c>
      <c r="D331" t="s">
        <v>173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173</v>
      </c>
      <c r="L331">
        <v>-1</v>
      </c>
      <c r="M331">
        <v>0</v>
      </c>
      <c r="N331">
        <v>-1</v>
      </c>
      <c r="O331">
        <v>0</v>
      </c>
      <c r="P331" t="s">
        <v>70</v>
      </c>
      <c r="Q331">
        <v>0</v>
      </c>
      <c r="R331">
        <v>0</v>
      </c>
      <c r="S331">
        <v>995</v>
      </c>
      <c r="T331" t="s">
        <v>57</v>
      </c>
      <c r="U331">
        <v>0</v>
      </c>
      <c r="V331">
        <v>0</v>
      </c>
      <c r="W331">
        <v>0</v>
      </c>
      <c r="X331">
        <v>0</v>
      </c>
      <c r="Y331" t="s">
        <v>67</v>
      </c>
      <c r="Z331">
        <v>0</v>
      </c>
      <c r="AA331">
        <v>0</v>
      </c>
      <c r="AB331">
        <v>0</v>
      </c>
      <c r="AC331">
        <v>0</v>
      </c>
      <c r="AD331" t="s">
        <v>63</v>
      </c>
      <c r="AE331">
        <v>0</v>
      </c>
      <c r="AF331">
        <v>0</v>
      </c>
      <c r="AG331">
        <v>0</v>
      </c>
      <c r="AH331">
        <v>0</v>
      </c>
      <c r="AI331" t="b">
        <v>0</v>
      </c>
      <c r="AJ331" t="s">
        <v>58</v>
      </c>
      <c r="AK331" t="s">
        <v>58</v>
      </c>
      <c r="AL331" t="s">
        <v>62</v>
      </c>
      <c r="AM331">
        <v>14</v>
      </c>
      <c r="AN331">
        <v>19</v>
      </c>
      <c r="AO331">
        <v>2</v>
      </c>
      <c r="AP331">
        <v>11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s">
        <v>61</v>
      </c>
      <c r="AY331" t="s">
        <v>57</v>
      </c>
      <c r="AZ331" t="s">
        <v>55</v>
      </c>
      <c r="BA331" t="s">
        <v>58</v>
      </c>
      <c r="BB331" t="s">
        <v>58</v>
      </c>
    </row>
    <row r="332" spans="1:54" x14ac:dyDescent="0.25">
      <c r="A332" t="s">
        <v>54</v>
      </c>
      <c r="B332" t="s">
        <v>54</v>
      </c>
      <c r="C332" t="s">
        <v>54</v>
      </c>
      <c r="D332" t="s">
        <v>165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158</v>
      </c>
      <c r="L332">
        <v>-1</v>
      </c>
      <c r="M332">
        <v>0</v>
      </c>
      <c r="N332">
        <v>-1</v>
      </c>
      <c r="O332">
        <v>0</v>
      </c>
      <c r="P332" t="s">
        <v>70</v>
      </c>
      <c r="Q332">
        <v>0</v>
      </c>
      <c r="R332">
        <v>0</v>
      </c>
      <c r="S332">
        <v>965</v>
      </c>
      <c r="T332" t="s">
        <v>57</v>
      </c>
      <c r="U332">
        <v>0</v>
      </c>
      <c r="V332">
        <v>0</v>
      </c>
      <c r="W332">
        <v>0</v>
      </c>
      <c r="X332">
        <v>0</v>
      </c>
      <c r="Y332" t="s">
        <v>67</v>
      </c>
      <c r="Z332">
        <v>0</v>
      </c>
      <c r="AA332">
        <v>0</v>
      </c>
      <c r="AB332">
        <v>0</v>
      </c>
      <c r="AC332">
        <v>0</v>
      </c>
      <c r="AD332" t="s">
        <v>60</v>
      </c>
      <c r="AE332">
        <v>0</v>
      </c>
      <c r="AF332">
        <v>0</v>
      </c>
      <c r="AG332">
        <v>0</v>
      </c>
      <c r="AH332">
        <v>0</v>
      </c>
      <c r="AI332" t="b">
        <v>0</v>
      </c>
      <c r="AJ332" t="s">
        <v>58</v>
      </c>
      <c r="AK332" t="s">
        <v>58</v>
      </c>
      <c r="AL332" t="s">
        <v>71</v>
      </c>
      <c r="AM332">
        <v>14</v>
      </c>
      <c r="AN332">
        <v>17</v>
      </c>
      <c r="AO332">
        <v>10</v>
      </c>
      <c r="AP332">
        <v>11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s">
        <v>61</v>
      </c>
      <c r="AY332" t="s">
        <v>57</v>
      </c>
      <c r="AZ332" t="s">
        <v>55</v>
      </c>
      <c r="BA332" t="s">
        <v>58</v>
      </c>
      <c r="BB332" t="s">
        <v>58</v>
      </c>
    </row>
    <row r="333" spans="1:54" x14ac:dyDescent="0.25">
      <c r="A333" t="s">
        <v>54</v>
      </c>
      <c r="B333" t="s">
        <v>54</v>
      </c>
      <c r="C333" t="s">
        <v>54</v>
      </c>
      <c r="D333" t="s">
        <v>148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154</v>
      </c>
      <c r="L333">
        <v>-1</v>
      </c>
      <c r="M333">
        <v>0</v>
      </c>
      <c r="N333">
        <v>-1</v>
      </c>
      <c r="O333">
        <v>0</v>
      </c>
      <c r="P333" t="s">
        <v>70</v>
      </c>
      <c r="Q333">
        <v>0</v>
      </c>
      <c r="R333">
        <v>0</v>
      </c>
      <c r="S333">
        <v>965</v>
      </c>
      <c r="T333" t="s">
        <v>57</v>
      </c>
      <c r="U333">
        <v>0</v>
      </c>
      <c r="V333">
        <v>0</v>
      </c>
      <c r="W333">
        <v>0</v>
      </c>
      <c r="X333">
        <v>0</v>
      </c>
      <c r="Y333" t="s">
        <v>67</v>
      </c>
      <c r="Z333">
        <v>0</v>
      </c>
      <c r="AA333">
        <v>0</v>
      </c>
      <c r="AB333">
        <v>0</v>
      </c>
      <c r="AC333">
        <v>0</v>
      </c>
      <c r="AD333" t="s">
        <v>60</v>
      </c>
      <c r="AE333">
        <v>0</v>
      </c>
      <c r="AF333">
        <v>0</v>
      </c>
      <c r="AG333">
        <v>0</v>
      </c>
      <c r="AH333">
        <v>0</v>
      </c>
      <c r="AI333" t="b">
        <v>0</v>
      </c>
      <c r="AJ333" t="s">
        <v>58</v>
      </c>
      <c r="AK333" t="s">
        <v>58</v>
      </c>
      <c r="AL333" t="s">
        <v>71</v>
      </c>
      <c r="AM333">
        <v>14</v>
      </c>
      <c r="AN333">
        <v>17</v>
      </c>
      <c r="AO333">
        <v>11</v>
      </c>
      <c r="AP333">
        <v>11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s">
        <v>61</v>
      </c>
      <c r="AY333" t="s">
        <v>57</v>
      </c>
      <c r="AZ333" t="s">
        <v>55</v>
      </c>
      <c r="BA333" t="s">
        <v>58</v>
      </c>
      <c r="BB333" t="s">
        <v>58</v>
      </c>
    </row>
    <row r="334" spans="1:54" x14ac:dyDescent="0.25">
      <c r="A334" t="s">
        <v>54</v>
      </c>
      <c r="B334" t="s">
        <v>54</v>
      </c>
      <c r="C334" t="s">
        <v>54</v>
      </c>
      <c r="D334" t="s">
        <v>173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  <c r="J334" t="s">
        <v>54</v>
      </c>
      <c r="K334" t="s">
        <v>173</v>
      </c>
      <c r="L334">
        <v>-1</v>
      </c>
      <c r="M334">
        <v>0</v>
      </c>
      <c r="N334">
        <v>-1</v>
      </c>
      <c r="O334">
        <v>0</v>
      </c>
      <c r="P334" t="s">
        <v>70</v>
      </c>
      <c r="Q334">
        <v>0</v>
      </c>
      <c r="R334">
        <v>0</v>
      </c>
      <c r="S334">
        <v>785</v>
      </c>
      <c r="T334" t="s">
        <v>57</v>
      </c>
      <c r="U334">
        <v>0</v>
      </c>
      <c r="V334">
        <v>0</v>
      </c>
      <c r="W334">
        <v>0</v>
      </c>
      <c r="X334">
        <v>0</v>
      </c>
      <c r="Y334" t="s">
        <v>67</v>
      </c>
      <c r="Z334">
        <v>0</v>
      </c>
      <c r="AA334">
        <v>0</v>
      </c>
      <c r="AB334">
        <v>0</v>
      </c>
      <c r="AC334">
        <v>0</v>
      </c>
      <c r="AD334" t="s">
        <v>63</v>
      </c>
      <c r="AE334">
        <v>0</v>
      </c>
      <c r="AF334">
        <v>0</v>
      </c>
      <c r="AG334">
        <v>0</v>
      </c>
      <c r="AH334">
        <v>0</v>
      </c>
      <c r="AI334" t="b">
        <v>0</v>
      </c>
      <c r="AJ334" t="s">
        <v>58</v>
      </c>
      <c r="AK334" t="s">
        <v>58</v>
      </c>
      <c r="AL334" t="s">
        <v>64</v>
      </c>
      <c r="AM334">
        <v>14</v>
      </c>
      <c r="AN334">
        <v>18</v>
      </c>
      <c r="AO334">
        <v>3</v>
      </c>
      <c r="AP334">
        <v>11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s">
        <v>61</v>
      </c>
      <c r="AY334" t="s">
        <v>57</v>
      </c>
      <c r="AZ334" t="s">
        <v>55</v>
      </c>
      <c r="BA334" t="s">
        <v>58</v>
      </c>
      <c r="BB334" t="s">
        <v>58</v>
      </c>
    </row>
    <row r="335" spans="1:54" x14ac:dyDescent="0.25">
      <c r="A335" t="s">
        <v>54</v>
      </c>
      <c r="B335" t="s">
        <v>54</v>
      </c>
      <c r="C335" t="s">
        <v>54</v>
      </c>
      <c r="D335" t="s">
        <v>173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  <c r="J335" t="s">
        <v>54</v>
      </c>
      <c r="K335" t="s">
        <v>173</v>
      </c>
      <c r="L335">
        <v>-1</v>
      </c>
      <c r="M335">
        <v>0</v>
      </c>
      <c r="N335">
        <v>-1</v>
      </c>
      <c r="O335">
        <v>0</v>
      </c>
      <c r="P335" t="s">
        <v>70</v>
      </c>
      <c r="Q335">
        <v>0</v>
      </c>
      <c r="R335">
        <v>0</v>
      </c>
      <c r="S335">
        <v>1215</v>
      </c>
      <c r="T335" t="s">
        <v>57</v>
      </c>
      <c r="U335">
        <v>0</v>
      </c>
      <c r="V335">
        <v>0</v>
      </c>
      <c r="W335">
        <v>0</v>
      </c>
      <c r="X335">
        <v>0</v>
      </c>
      <c r="Y335" t="s">
        <v>67</v>
      </c>
      <c r="Z335">
        <v>0</v>
      </c>
      <c r="AA335">
        <v>0</v>
      </c>
      <c r="AB335">
        <v>0</v>
      </c>
      <c r="AC335">
        <v>0</v>
      </c>
      <c r="AD335" t="s">
        <v>63</v>
      </c>
      <c r="AE335">
        <v>0</v>
      </c>
      <c r="AF335">
        <v>0</v>
      </c>
      <c r="AG335">
        <v>0</v>
      </c>
      <c r="AH335">
        <v>0</v>
      </c>
      <c r="AI335" t="b">
        <v>0</v>
      </c>
      <c r="AJ335" t="s">
        <v>58</v>
      </c>
      <c r="AK335" t="s">
        <v>58</v>
      </c>
      <c r="AL335" t="s">
        <v>62</v>
      </c>
      <c r="AM335">
        <v>14</v>
      </c>
      <c r="AN335">
        <v>19</v>
      </c>
      <c r="AO335">
        <v>3</v>
      </c>
      <c r="AP335">
        <v>11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s">
        <v>61</v>
      </c>
      <c r="AY335" t="s">
        <v>57</v>
      </c>
      <c r="AZ335" t="s">
        <v>55</v>
      </c>
      <c r="BA335" t="s">
        <v>58</v>
      </c>
      <c r="BB335" t="s">
        <v>58</v>
      </c>
    </row>
    <row r="336" spans="1:54" x14ac:dyDescent="0.25">
      <c r="A336" t="s">
        <v>54</v>
      </c>
      <c r="B336" t="s">
        <v>54</v>
      </c>
      <c r="C336" t="s">
        <v>54</v>
      </c>
      <c r="D336" t="s">
        <v>173</v>
      </c>
      <c r="E336" t="s">
        <v>54</v>
      </c>
      <c r="F336" t="s">
        <v>54</v>
      </c>
      <c r="G336" t="s">
        <v>54</v>
      </c>
      <c r="H336" t="s">
        <v>54</v>
      </c>
      <c r="I336" t="s">
        <v>54</v>
      </c>
      <c r="J336" t="s">
        <v>54</v>
      </c>
      <c r="K336" t="s">
        <v>174</v>
      </c>
      <c r="L336">
        <v>-1</v>
      </c>
      <c r="M336">
        <v>0</v>
      </c>
      <c r="N336">
        <v>90289</v>
      </c>
      <c r="O336">
        <v>0</v>
      </c>
      <c r="P336" t="s">
        <v>70</v>
      </c>
      <c r="Q336">
        <v>0</v>
      </c>
      <c r="R336">
        <v>0</v>
      </c>
      <c r="S336">
        <v>975</v>
      </c>
      <c r="T336" t="s">
        <v>57</v>
      </c>
      <c r="U336">
        <v>0</v>
      </c>
      <c r="V336">
        <v>0</v>
      </c>
      <c r="W336">
        <v>0</v>
      </c>
      <c r="X336">
        <v>0</v>
      </c>
      <c r="Y336" t="s">
        <v>67</v>
      </c>
      <c r="Z336">
        <v>0</v>
      </c>
      <c r="AA336">
        <v>0</v>
      </c>
      <c r="AB336">
        <v>0</v>
      </c>
      <c r="AC336">
        <v>0</v>
      </c>
      <c r="AD336" t="s">
        <v>60</v>
      </c>
      <c r="AE336">
        <v>0</v>
      </c>
      <c r="AF336">
        <v>0</v>
      </c>
      <c r="AG336">
        <v>0</v>
      </c>
      <c r="AH336">
        <v>0</v>
      </c>
      <c r="AI336" t="b">
        <v>0</v>
      </c>
      <c r="AJ336" t="s">
        <v>58</v>
      </c>
      <c r="AK336" t="s">
        <v>58</v>
      </c>
      <c r="AL336" t="s">
        <v>66</v>
      </c>
      <c r="AM336">
        <v>14</v>
      </c>
      <c r="AN336">
        <v>0</v>
      </c>
      <c r="AO336">
        <v>0</v>
      </c>
      <c r="AP336">
        <v>11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s">
        <v>61</v>
      </c>
      <c r="AY336" t="s">
        <v>57</v>
      </c>
      <c r="AZ336" t="s">
        <v>55</v>
      </c>
      <c r="BA336" t="s">
        <v>58</v>
      </c>
      <c r="BB336" t="s">
        <v>58</v>
      </c>
    </row>
    <row r="337" spans="1:54" x14ac:dyDescent="0.25">
      <c r="A337" t="s">
        <v>54</v>
      </c>
      <c r="B337" t="s">
        <v>54</v>
      </c>
      <c r="C337" t="s">
        <v>54</v>
      </c>
      <c r="D337" t="s">
        <v>173</v>
      </c>
      <c r="E337" t="s">
        <v>54</v>
      </c>
      <c r="F337" t="s">
        <v>54</v>
      </c>
      <c r="G337" t="s">
        <v>54</v>
      </c>
      <c r="H337" t="s">
        <v>54</v>
      </c>
      <c r="I337" t="s">
        <v>54</v>
      </c>
      <c r="J337" t="s">
        <v>54</v>
      </c>
      <c r="K337" t="s">
        <v>154</v>
      </c>
      <c r="L337">
        <v>-1</v>
      </c>
      <c r="M337">
        <v>0</v>
      </c>
      <c r="N337">
        <v>90271</v>
      </c>
      <c r="O337">
        <v>0</v>
      </c>
      <c r="P337" t="s">
        <v>70</v>
      </c>
      <c r="Q337">
        <v>0</v>
      </c>
      <c r="R337">
        <v>0</v>
      </c>
      <c r="S337">
        <v>975</v>
      </c>
      <c r="T337" t="s">
        <v>57</v>
      </c>
      <c r="U337">
        <v>0</v>
      </c>
      <c r="V337">
        <v>0</v>
      </c>
      <c r="W337">
        <v>0</v>
      </c>
      <c r="X337">
        <v>0</v>
      </c>
      <c r="Y337" t="s">
        <v>67</v>
      </c>
      <c r="Z337">
        <v>0</v>
      </c>
      <c r="AA337">
        <v>0</v>
      </c>
      <c r="AB337">
        <v>0</v>
      </c>
      <c r="AC337">
        <v>0</v>
      </c>
      <c r="AD337" t="s">
        <v>60</v>
      </c>
      <c r="AE337">
        <v>0</v>
      </c>
      <c r="AF337">
        <v>0</v>
      </c>
      <c r="AG337">
        <v>0</v>
      </c>
      <c r="AH337">
        <v>0</v>
      </c>
      <c r="AI337" t="b">
        <v>0</v>
      </c>
      <c r="AJ337" t="s">
        <v>58</v>
      </c>
      <c r="AK337" t="s">
        <v>58</v>
      </c>
      <c r="AL337" t="s">
        <v>66</v>
      </c>
      <c r="AM337">
        <v>14</v>
      </c>
      <c r="AN337">
        <v>0</v>
      </c>
      <c r="AO337">
        <v>0</v>
      </c>
      <c r="AP337">
        <v>11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s">
        <v>61</v>
      </c>
      <c r="AY337" t="s">
        <v>57</v>
      </c>
      <c r="AZ337" t="s">
        <v>55</v>
      </c>
      <c r="BA337" t="s">
        <v>58</v>
      </c>
      <c r="BB337" t="s">
        <v>58</v>
      </c>
    </row>
    <row r="338" spans="1:54" x14ac:dyDescent="0.25">
      <c r="A338" t="s">
        <v>54</v>
      </c>
      <c r="B338" t="s">
        <v>54</v>
      </c>
      <c r="C338" t="s">
        <v>54</v>
      </c>
      <c r="D338" t="s">
        <v>173</v>
      </c>
      <c r="E338" t="s">
        <v>54</v>
      </c>
      <c r="F338" t="s">
        <v>54</v>
      </c>
      <c r="G338" t="s">
        <v>54</v>
      </c>
      <c r="H338" t="s">
        <v>54</v>
      </c>
      <c r="I338" t="s">
        <v>54</v>
      </c>
      <c r="J338" t="s">
        <v>54</v>
      </c>
      <c r="K338" t="s">
        <v>149</v>
      </c>
      <c r="L338">
        <v>-1</v>
      </c>
      <c r="M338">
        <v>0</v>
      </c>
      <c r="N338">
        <v>90266</v>
      </c>
      <c r="O338">
        <v>0</v>
      </c>
      <c r="P338" t="s">
        <v>70</v>
      </c>
      <c r="Q338">
        <v>0</v>
      </c>
      <c r="R338">
        <v>0</v>
      </c>
      <c r="S338">
        <v>975</v>
      </c>
      <c r="T338" t="s">
        <v>57</v>
      </c>
      <c r="U338">
        <v>0</v>
      </c>
      <c r="V338">
        <v>0</v>
      </c>
      <c r="W338">
        <v>0</v>
      </c>
      <c r="X338">
        <v>0</v>
      </c>
      <c r="Y338" t="s">
        <v>67</v>
      </c>
      <c r="Z338">
        <v>0</v>
      </c>
      <c r="AA338">
        <v>0</v>
      </c>
      <c r="AB338">
        <v>0</v>
      </c>
      <c r="AC338">
        <v>0</v>
      </c>
      <c r="AD338" t="s">
        <v>60</v>
      </c>
      <c r="AE338">
        <v>0</v>
      </c>
      <c r="AF338">
        <v>0</v>
      </c>
      <c r="AG338">
        <v>0</v>
      </c>
      <c r="AH338">
        <v>0</v>
      </c>
      <c r="AI338" t="b">
        <v>0</v>
      </c>
      <c r="AJ338" t="s">
        <v>58</v>
      </c>
      <c r="AK338" t="s">
        <v>58</v>
      </c>
      <c r="AL338" t="s">
        <v>66</v>
      </c>
      <c r="AM338">
        <v>14</v>
      </c>
      <c r="AN338">
        <v>0</v>
      </c>
      <c r="AO338">
        <v>0</v>
      </c>
      <c r="AP338">
        <v>11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0</v>
      </c>
      <c r="AX338" t="s">
        <v>61</v>
      </c>
      <c r="AY338" t="s">
        <v>57</v>
      </c>
      <c r="AZ338" t="s">
        <v>55</v>
      </c>
      <c r="BA338" t="s">
        <v>58</v>
      </c>
      <c r="BB338" t="s">
        <v>58</v>
      </c>
    </row>
    <row r="339" spans="1:54" x14ac:dyDescent="0.25">
      <c r="A339" t="s">
        <v>54</v>
      </c>
      <c r="B339" t="s">
        <v>54</v>
      </c>
      <c r="C339" t="s">
        <v>54</v>
      </c>
      <c r="D339" t="s">
        <v>173</v>
      </c>
      <c r="E339" t="s">
        <v>54</v>
      </c>
      <c r="F339" t="s">
        <v>54</v>
      </c>
      <c r="G339" t="s">
        <v>54</v>
      </c>
      <c r="H339" t="s">
        <v>54</v>
      </c>
      <c r="I339" t="s">
        <v>54</v>
      </c>
      <c r="J339" t="s">
        <v>54</v>
      </c>
      <c r="K339" t="s">
        <v>143</v>
      </c>
      <c r="L339">
        <v>-1</v>
      </c>
      <c r="M339">
        <v>0</v>
      </c>
      <c r="N339">
        <v>90274</v>
      </c>
      <c r="O339">
        <v>0</v>
      </c>
      <c r="P339" t="s">
        <v>70</v>
      </c>
      <c r="Q339">
        <v>0</v>
      </c>
      <c r="R339">
        <v>0</v>
      </c>
      <c r="S339">
        <v>975</v>
      </c>
      <c r="T339" t="s">
        <v>57</v>
      </c>
      <c r="U339">
        <v>0</v>
      </c>
      <c r="V339">
        <v>0</v>
      </c>
      <c r="W339">
        <v>0</v>
      </c>
      <c r="X339">
        <v>0</v>
      </c>
      <c r="Y339" t="s">
        <v>67</v>
      </c>
      <c r="Z339">
        <v>0</v>
      </c>
      <c r="AA339">
        <v>0</v>
      </c>
      <c r="AB339">
        <v>0</v>
      </c>
      <c r="AC339">
        <v>0</v>
      </c>
      <c r="AD339" t="s">
        <v>60</v>
      </c>
      <c r="AE339">
        <v>0</v>
      </c>
      <c r="AF339">
        <v>0</v>
      </c>
      <c r="AG339">
        <v>0</v>
      </c>
      <c r="AH339">
        <v>0</v>
      </c>
      <c r="AI339" t="b">
        <v>0</v>
      </c>
      <c r="AJ339" t="s">
        <v>58</v>
      </c>
      <c r="AK339" t="s">
        <v>58</v>
      </c>
      <c r="AL339" t="s">
        <v>66</v>
      </c>
      <c r="AM339">
        <v>14</v>
      </c>
      <c r="AN339">
        <v>0</v>
      </c>
      <c r="AO339">
        <v>0</v>
      </c>
      <c r="AP339">
        <v>11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1</v>
      </c>
      <c r="AW339" t="b">
        <v>0</v>
      </c>
      <c r="AX339" t="s">
        <v>61</v>
      </c>
      <c r="AY339" t="s">
        <v>57</v>
      </c>
      <c r="AZ339" t="s">
        <v>55</v>
      </c>
      <c r="BA339" t="s">
        <v>58</v>
      </c>
      <c r="BB339" t="s">
        <v>58</v>
      </c>
    </row>
    <row r="340" spans="1:54" x14ac:dyDescent="0.25">
      <c r="A340" t="s">
        <v>54</v>
      </c>
      <c r="B340" t="s">
        <v>54</v>
      </c>
      <c r="C340" t="s">
        <v>54</v>
      </c>
      <c r="D340" t="s">
        <v>173</v>
      </c>
      <c r="E340" t="s">
        <v>54</v>
      </c>
      <c r="F340" t="s">
        <v>54</v>
      </c>
      <c r="G340" t="s">
        <v>54</v>
      </c>
      <c r="H340" t="s">
        <v>54</v>
      </c>
      <c r="I340" t="s">
        <v>54</v>
      </c>
      <c r="J340" t="s">
        <v>54</v>
      </c>
      <c r="K340" t="s">
        <v>161</v>
      </c>
      <c r="L340">
        <v>-1</v>
      </c>
      <c r="M340">
        <v>0</v>
      </c>
      <c r="N340">
        <v>90282</v>
      </c>
      <c r="O340">
        <v>0</v>
      </c>
      <c r="P340" t="s">
        <v>70</v>
      </c>
      <c r="Q340">
        <v>0</v>
      </c>
      <c r="R340">
        <v>0</v>
      </c>
      <c r="S340">
        <v>975</v>
      </c>
      <c r="T340" t="s">
        <v>57</v>
      </c>
      <c r="U340">
        <v>0</v>
      </c>
      <c r="V340">
        <v>0</v>
      </c>
      <c r="W340">
        <v>0</v>
      </c>
      <c r="X340">
        <v>0</v>
      </c>
      <c r="Y340" t="s">
        <v>67</v>
      </c>
      <c r="Z340">
        <v>0</v>
      </c>
      <c r="AA340">
        <v>0</v>
      </c>
      <c r="AB340">
        <v>0</v>
      </c>
      <c r="AC340">
        <v>0</v>
      </c>
      <c r="AD340" t="s">
        <v>60</v>
      </c>
      <c r="AE340">
        <v>0</v>
      </c>
      <c r="AF340">
        <v>0</v>
      </c>
      <c r="AG340">
        <v>0</v>
      </c>
      <c r="AH340">
        <v>0</v>
      </c>
      <c r="AI340" t="b">
        <v>0</v>
      </c>
      <c r="AJ340" t="s">
        <v>58</v>
      </c>
      <c r="AK340" t="s">
        <v>58</v>
      </c>
      <c r="AL340" t="s">
        <v>66</v>
      </c>
      <c r="AM340">
        <v>14</v>
      </c>
      <c r="AN340">
        <v>0</v>
      </c>
      <c r="AO340">
        <v>0</v>
      </c>
      <c r="AP340">
        <v>11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1</v>
      </c>
      <c r="AW340" t="b">
        <v>0</v>
      </c>
      <c r="AX340" t="s">
        <v>61</v>
      </c>
      <c r="AY340" t="s">
        <v>57</v>
      </c>
      <c r="AZ340" t="s">
        <v>55</v>
      </c>
      <c r="BA340" t="s">
        <v>58</v>
      </c>
      <c r="BB340" t="s">
        <v>58</v>
      </c>
    </row>
    <row r="341" spans="1:54" x14ac:dyDescent="0.25">
      <c r="A341" t="s">
        <v>54</v>
      </c>
      <c r="B341" t="s">
        <v>54</v>
      </c>
      <c r="C341" t="s">
        <v>54</v>
      </c>
      <c r="D341" t="s">
        <v>173</v>
      </c>
      <c r="E341" t="s">
        <v>54</v>
      </c>
      <c r="F341" t="s">
        <v>54</v>
      </c>
      <c r="G341" t="s">
        <v>54</v>
      </c>
      <c r="H341" t="s">
        <v>54</v>
      </c>
      <c r="I341" t="s">
        <v>54</v>
      </c>
      <c r="J341" t="s">
        <v>54</v>
      </c>
      <c r="K341" t="s">
        <v>153</v>
      </c>
      <c r="L341">
        <v>-1</v>
      </c>
      <c r="M341">
        <v>0</v>
      </c>
      <c r="N341">
        <v>90268</v>
      </c>
      <c r="O341">
        <v>0</v>
      </c>
      <c r="P341" t="s">
        <v>70</v>
      </c>
      <c r="Q341">
        <v>0</v>
      </c>
      <c r="R341">
        <v>0</v>
      </c>
      <c r="S341">
        <v>975</v>
      </c>
      <c r="T341" t="s">
        <v>57</v>
      </c>
      <c r="U341">
        <v>0</v>
      </c>
      <c r="V341">
        <v>0</v>
      </c>
      <c r="W341">
        <v>0</v>
      </c>
      <c r="X341">
        <v>0</v>
      </c>
      <c r="Y341" t="s">
        <v>67</v>
      </c>
      <c r="Z341">
        <v>0</v>
      </c>
      <c r="AA341">
        <v>0</v>
      </c>
      <c r="AB341">
        <v>0</v>
      </c>
      <c r="AC341">
        <v>0</v>
      </c>
      <c r="AD341" t="s">
        <v>60</v>
      </c>
      <c r="AE341">
        <v>0</v>
      </c>
      <c r="AF341">
        <v>0</v>
      </c>
      <c r="AG341">
        <v>0</v>
      </c>
      <c r="AH341">
        <v>0</v>
      </c>
      <c r="AI341" t="b">
        <v>0</v>
      </c>
      <c r="AJ341" t="s">
        <v>58</v>
      </c>
      <c r="AK341" t="s">
        <v>58</v>
      </c>
      <c r="AL341" t="s">
        <v>66</v>
      </c>
      <c r="AM341">
        <v>14</v>
      </c>
      <c r="AN341">
        <v>0</v>
      </c>
      <c r="AO341">
        <v>0</v>
      </c>
      <c r="AP341">
        <v>11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1</v>
      </c>
      <c r="AW341" t="b">
        <v>0</v>
      </c>
      <c r="AX341" t="s">
        <v>61</v>
      </c>
      <c r="AY341" t="s">
        <v>57</v>
      </c>
      <c r="AZ341" t="s">
        <v>55</v>
      </c>
      <c r="BA341" t="s">
        <v>58</v>
      </c>
      <c r="BB341" t="s">
        <v>58</v>
      </c>
    </row>
    <row r="342" spans="1:54" x14ac:dyDescent="0.25">
      <c r="A342" t="s">
        <v>54</v>
      </c>
      <c r="B342" t="s">
        <v>54</v>
      </c>
      <c r="C342" t="s">
        <v>54</v>
      </c>
      <c r="D342" t="s">
        <v>173</v>
      </c>
      <c r="E342" t="s">
        <v>54</v>
      </c>
      <c r="F342" t="s">
        <v>54</v>
      </c>
      <c r="G342" t="s">
        <v>54</v>
      </c>
      <c r="H342" t="s">
        <v>54</v>
      </c>
      <c r="I342" t="s">
        <v>54</v>
      </c>
      <c r="J342" t="s">
        <v>54</v>
      </c>
      <c r="K342" t="s">
        <v>170</v>
      </c>
      <c r="L342">
        <v>-1</v>
      </c>
      <c r="M342">
        <v>0</v>
      </c>
      <c r="N342">
        <v>90283</v>
      </c>
      <c r="O342">
        <v>0</v>
      </c>
      <c r="P342" t="s">
        <v>70</v>
      </c>
      <c r="Q342">
        <v>0</v>
      </c>
      <c r="R342">
        <v>0</v>
      </c>
      <c r="S342">
        <v>975</v>
      </c>
      <c r="T342" t="s">
        <v>57</v>
      </c>
      <c r="U342">
        <v>0</v>
      </c>
      <c r="V342">
        <v>0</v>
      </c>
      <c r="W342">
        <v>0</v>
      </c>
      <c r="X342">
        <v>0</v>
      </c>
      <c r="Y342" t="s">
        <v>67</v>
      </c>
      <c r="Z342">
        <v>0</v>
      </c>
      <c r="AA342">
        <v>0</v>
      </c>
      <c r="AB342">
        <v>0</v>
      </c>
      <c r="AC342">
        <v>0</v>
      </c>
      <c r="AD342" t="s">
        <v>60</v>
      </c>
      <c r="AE342">
        <v>0</v>
      </c>
      <c r="AF342">
        <v>0</v>
      </c>
      <c r="AG342">
        <v>0</v>
      </c>
      <c r="AH342">
        <v>0</v>
      </c>
      <c r="AI342" t="b">
        <v>0</v>
      </c>
      <c r="AJ342" t="s">
        <v>58</v>
      </c>
      <c r="AK342" t="s">
        <v>58</v>
      </c>
      <c r="AL342" t="s">
        <v>66</v>
      </c>
      <c r="AM342">
        <v>14</v>
      </c>
      <c r="AN342">
        <v>0</v>
      </c>
      <c r="AO342">
        <v>0</v>
      </c>
      <c r="AP342">
        <v>11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1</v>
      </c>
      <c r="AW342" t="b">
        <v>0</v>
      </c>
      <c r="AX342" t="s">
        <v>61</v>
      </c>
      <c r="AY342" t="s">
        <v>57</v>
      </c>
      <c r="AZ342" t="s">
        <v>55</v>
      </c>
      <c r="BA342" t="s">
        <v>58</v>
      </c>
      <c r="BB342" t="s">
        <v>58</v>
      </c>
    </row>
    <row r="343" spans="1:54" x14ac:dyDescent="0.25">
      <c r="A343" t="s">
        <v>54</v>
      </c>
      <c r="B343" t="s">
        <v>54</v>
      </c>
      <c r="C343" t="s">
        <v>54</v>
      </c>
      <c r="D343" t="s">
        <v>173</v>
      </c>
      <c r="E343" t="s">
        <v>54</v>
      </c>
      <c r="F343" t="s">
        <v>54</v>
      </c>
      <c r="G343" t="s">
        <v>54</v>
      </c>
      <c r="H343" t="s">
        <v>54</v>
      </c>
      <c r="I343" t="s">
        <v>54</v>
      </c>
      <c r="J343" t="s">
        <v>54</v>
      </c>
      <c r="K343" t="s">
        <v>169</v>
      </c>
      <c r="L343">
        <v>-1</v>
      </c>
      <c r="M343">
        <v>0</v>
      </c>
      <c r="N343">
        <v>90270</v>
      </c>
      <c r="O343">
        <v>0</v>
      </c>
      <c r="P343" t="s">
        <v>70</v>
      </c>
      <c r="Q343">
        <v>0</v>
      </c>
      <c r="R343">
        <v>0</v>
      </c>
      <c r="S343">
        <v>975</v>
      </c>
      <c r="T343" t="s">
        <v>57</v>
      </c>
      <c r="U343">
        <v>0</v>
      </c>
      <c r="V343">
        <v>0</v>
      </c>
      <c r="W343">
        <v>0</v>
      </c>
      <c r="X343">
        <v>0</v>
      </c>
      <c r="Y343" t="s">
        <v>67</v>
      </c>
      <c r="Z343">
        <v>0</v>
      </c>
      <c r="AA343">
        <v>0</v>
      </c>
      <c r="AB343">
        <v>0</v>
      </c>
      <c r="AC343">
        <v>0</v>
      </c>
      <c r="AD343" t="s">
        <v>60</v>
      </c>
      <c r="AE343">
        <v>0</v>
      </c>
      <c r="AF343">
        <v>0</v>
      </c>
      <c r="AG343">
        <v>0</v>
      </c>
      <c r="AH343">
        <v>0</v>
      </c>
      <c r="AI343" t="b">
        <v>0</v>
      </c>
      <c r="AJ343" t="s">
        <v>58</v>
      </c>
      <c r="AK343" t="s">
        <v>58</v>
      </c>
      <c r="AL343" t="s">
        <v>66</v>
      </c>
      <c r="AM343">
        <v>14</v>
      </c>
      <c r="AN343">
        <v>0</v>
      </c>
      <c r="AO343">
        <v>0</v>
      </c>
      <c r="AP343">
        <v>11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s">
        <v>61</v>
      </c>
      <c r="AY343" t="s">
        <v>57</v>
      </c>
      <c r="AZ343" t="s">
        <v>55</v>
      </c>
      <c r="BA343" t="s">
        <v>58</v>
      </c>
      <c r="BB343" t="s">
        <v>58</v>
      </c>
    </row>
    <row r="344" spans="1:54" x14ac:dyDescent="0.25">
      <c r="A344" t="s">
        <v>54</v>
      </c>
      <c r="B344" t="s">
        <v>54</v>
      </c>
      <c r="C344" t="s">
        <v>54</v>
      </c>
      <c r="D344" t="s">
        <v>173</v>
      </c>
      <c r="E344" t="s">
        <v>54</v>
      </c>
      <c r="F344" t="s">
        <v>54</v>
      </c>
      <c r="G344" t="s">
        <v>54</v>
      </c>
      <c r="H344" t="s">
        <v>54</v>
      </c>
      <c r="I344" t="s">
        <v>54</v>
      </c>
      <c r="J344" t="s">
        <v>54</v>
      </c>
      <c r="K344" t="s">
        <v>144</v>
      </c>
      <c r="L344">
        <v>-1</v>
      </c>
      <c r="M344">
        <v>0</v>
      </c>
      <c r="N344">
        <v>90277</v>
      </c>
      <c r="O344">
        <v>0</v>
      </c>
      <c r="P344" t="s">
        <v>70</v>
      </c>
      <c r="Q344">
        <v>0</v>
      </c>
      <c r="R344">
        <v>0</v>
      </c>
      <c r="S344">
        <v>975</v>
      </c>
      <c r="T344" t="s">
        <v>57</v>
      </c>
      <c r="U344">
        <v>0</v>
      </c>
      <c r="V344">
        <v>0</v>
      </c>
      <c r="W344">
        <v>0</v>
      </c>
      <c r="X344">
        <v>0</v>
      </c>
      <c r="Y344" t="s">
        <v>67</v>
      </c>
      <c r="Z344">
        <v>0</v>
      </c>
      <c r="AA344">
        <v>0</v>
      </c>
      <c r="AB344">
        <v>0</v>
      </c>
      <c r="AC344">
        <v>0</v>
      </c>
      <c r="AD344" t="s">
        <v>60</v>
      </c>
      <c r="AE344">
        <v>0</v>
      </c>
      <c r="AF344">
        <v>0</v>
      </c>
      <c r="AG344">
        <v>0</v>
      </c>
      <c r="AH344">
        <v>0</v>
      </c>
      <c r="AI344" t="b">
        <v>0</v>
      </c>
      <c r="AJ344" t="s">
        <v>58</v>
      </c>
      <c r="AK344" t="s">
        <v>58</v>
      </c>
      <c r="AL344" t="s">
        <v>66</v>
      </c>
      <c r="AM344">
        <v>14</v>
      </c>
      <c r="AN344">
        <v>0</v>
      </c>
      <c r="AO344">
        <v>0</v>
      </c>
      <c r="AP344">
        <v>11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1</v>
      </c>
      <c r="AW344" t="b">
        <v>0</v>
      </c>
      <c r="AX344" t="s">
        <v>61</v>
      </c>
      <c r="AY344" t="s">
        <v>57</v>
      </c>
      <c r="AZ344" t="s">
        <v>55</v>
      </c>
      <c r="BA344" t="s">
        <v>58</v>
      </c>
      <c r="BB344" t="s">
        <v>58</v>
      </c>
    </row>
    <row r="345" spans="1:54" x14ac:dyDescent="0.25">
      <c r="A345" t="s">
        <v>54</v>
      </c>
      <c r="B345" t="s">
        <v>54</v>
      </c>
      <c r="C345" t="s">
        <v>54</v>
      </c>
      <c r="D345" t="s">
        <v>173</v>
      </c>
      <c r="E345" t="s">
        <v>54</v>
      </c>
      <c r="F345" t="s">
        <v>54</v>
      </c>
      <c r="G345" t="s">
        <v>54</v>
      </c>
      <c r="H345" t="s">
        <v>54</v>
      </c>
      <c r="I345" t="s">
        <v>54</v>
      </c>
      <c r="J345" t="s">
        <v>54</v>
      </c>
      <c r="K345" t="s">
        <v>171</v>
      </c>
      <c r="L345">
        <v>-1</v>
      </c>
      <c r="M345">
        <v>0</v>
      </c>
      <c r="N345">
        <v>90276</v>
      </c>
      <c r="O345">
        <v>0</v>
      </c>
      <c r="P345" t="s">
        <v>70</v>
      </c>
      <c r="Q345">
        <v>0</v>
      </c>
      <c r="R345">
        <v>0</v>
      </c>
      <c r="S345">
        <v>975</v>
      </c>
      <c r="T345" t="s">
        <v>57</v>
      </c>
      <c r="U345">
        <v>0</v>
      </c>
      <c r="V345">
        <v>0</v>
      </c>
      <c r="W345">
        <v>0</v>
      </c>
      <c r="X345">
        <v>0</v>
      </c>
      <c r="Y345" t="s">
        <v>67</v>
      </c>
      <c r="Z345">
        <v>0</v>
      </c>
      <c r="AA345">
        <v>0</v>
      </c>
      <c r="AB345">
        <v>0</v>
      </c>
      <c r="AC345">
        <v>0</v>
      </c>
      <c r="AD345" t="s">
        <v>60</v>
      </c>
      <c r="AE345">
        <v>0</v>
      </c>
      <c r="AF345">
        <v>0</v>
      </c>
      <c r="AG345">
        <v>0</v>
      </c>
      <c r="AH345">
        <v>0</v>
      </c>
      <c r="AI345" t="b">
        <v>0</v>
      </c>
      <c r="AJ345" t="s">
        <v>58</v>
      </c>
      <c r="AK345" t="s">
        <v>58</v>
      </c>
      <c r="AL345" t="s">
        <v>66</v>
      </c>
      <c r="AM345">
        <v>14</v>
      </c>
      <c r="AN345">
        <v>0</v>
      </c>
      <c r="AO345">
        <v>0</v>
      </c>
      <c r="AP345">
        <v>11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1</v>
      </c>
      <c r="AW345" t="b">
        <v>0</v>
      </c>
      <c r="AX345" t="s">
        <v>61</v>
      </c>
      <c r="AY345" t="s">
        <v>57</v>
      </c>
      <c r="AZ345" t="s">
        <v>55</v>
      </c>
      <c r="BA345" t="s">
        <v>58</v>
      </c>
      <c r="BB345" t="s">
        <v>58</v>
      </c>
    </row>
    <row r="346" spans="1:54" x14ac:dyDescent="0.25">
      <c r="A346" t="s">
        <v>54</v>
      </c>
      <c r="B346" t="s">
        <v>54</v>
      </c>
      <c r="C346" t="s">
        <v>54</v>
      </c>
      <c r="D346" t="s">
        <v>173</v>
      </c>
      <c r="E346" t="s">
        <v>54</v>
      </c>
      <c r="F346" t="s">
        <v>54</v>
      </c>
      <c r="G346" t="s">
        <v>54</v>
      </c>
      <c r="H346" t="s">
        <v>54</v>
      </c>
      <c r="I346" t="s">
        <v>54</v>
      </c>
      <c r="J346" t="s">
        <v>54</v>
      </c>
      <c r="K346" t="s">
        <v>164</v>
      </c>
      <c r="L346">
        <v>-1</v>
      </c>
      <c r="M346">
        <v>0</v>
      </c>
      <c r="N346">
        <v>90281</v>
      </c>
      <c r="O346">
        <v>0</v>
      </c>
      <c r="P346" t="s">
        <v>70</v>
      </c>
      <c r="Q346">
        <v>0</v>
      </c>
      <c r="R346">
        <v>0</v>
      </c>
      <c r="S346">
        <v>975</v>
      </c>
      <c r="T346" t="s">
        <v>57</v>
      </c>
      <c r="U346">
        <v>0</v>
      </c>
      <c r="V346">
        <v>0</v>
      </c>
      <c r="W346">
        <v>0</v>
      </c>
      <c r="X346">
        <v>0</v>
      </c>
      <c r="Y346" t="s">
        <v>67</v>
      </c>
      <c r="Z346">
        <v>0</v>
      </c>
      <c r="AA346">
        <v>0</v>
      </c>
      <c r="AB346">
        <v>0</v>
      </c>
      <c r="AC346">
        <v>0</v>
      </c>
      <c r="AD346" t="s">
        <v>60</v>
      </c>
      <c r="AE346">
        <v>0</v>
      </c>
      <c r="AF346">
        <v>0</v>
      </c>
      <c r="AG346">
        <v>0</v>
      </c>
      <c r="AH346">
        <v>0</v>
      </c>
      <c r="AI346" t="b">
        <v>0</v>
      </c>
      <c r="AJ346" t="s">
        <v>58</v>
      </c>
      <c r="AK346" t="s">
        <v>58</v>
      </c>
      <c r="AL346" t="s">
        <v>66</v>
      </c>
      <c r="AM346">
        <v>14</v>
      </c>
      <c r="AN346">
        <v>0</v>
      </c>
      <c r="AO346">
        <v>0</v>
      </c>
      <c r="AP346">
        <v>11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1</v>
      </c>
      <c r="AW346" t="b">
        <v>0</v>
      </c>
      <c r="AX346" t="s">
        <v>61</v>
      </c>
      <c r="AY346" t="s">
        <v>57</v>
      </c>
      <c r="AZ346" t="s">
        <v>55</v>
      </c>
      <c r="BA346" t="s">
        <v>58</v>
      </c>
      <c r="BB346" t="s">
        <v>58</v>
      </c>
    </row>
    <row r="347" spans="1:54" x14ac:dyDescent="0.25">
      <c r="A347" t="s">
        <v>54</v>
      </c>
      <c r="B347" t="s">
        <v>54</v>
      </c>
      <c r="C347" t="s">
        <v>54</v>
      </c>
      <c r="D347" t="s">
        <v>173</v>
      </c>
      <c r="E347" t="s">
        <v>54</v>
      </c>
      <c r="F347" t="s">
        <v>54</v>
      </c>
      <c r="G347" t="s">
        <v>54</v>
      </c>
      <c r="H347" t="s">
        <v>54</v>
      </c>
      <c r="I347" t="s">
        <v>54</v>
      </c>
      <c r="J347" t="s">
        <v>54</v>
      </c>
      <c r="K347" t="s">
        <v>168</v>
      </c>
      <c r="L347">
        <v>-1</v>
      </c>
      <c r="M347">
        <v>0</v>
      </c>
      <c r="N347">
        <v>90273</v>
      </c>
      <c r="O347">
        <v>0</v>
      </c>
      <c r="P347" t="s">
        <v>70</v>
      </c>
      <c r="Q347">
        <v>0</v>
      </c>
      <c r="R347">
        <v>0</v>
      </c>
      <c r="S347">
        <v>975</v>
      </c>
      <c r="T347" t="s">
        <v>57</v>
      </c>
      <c r="U347">
        <v>0</v>
      </c>
      <c r="V347">
        <v>0</v>
      </c>
      <c r="W347">
        <v>0</v>
      </c>
      <c r="X347">
        <v>0</v>
      </c>
      <c r="Y347" t="s">
        <v>67</v>
      </c>
      <c r="Z347">
        <v>0</v>
      </c>
      <c r="AA347">
        <v>0</v>
      </c>
      <c r="AB347">
        <v>0</v>
      </c>
      <c r="AC347">
        <v>0</v>
      </c>
      <c r="AD347" t="s">
        <v>60</v>
      </c>
      <c r="AE347">
        <v>0</v>
      </c>
      <c r="AF347">
        <v>0</v>
      </c>
      <c r="AG347">
        <v>0</v>
      </c>
      <c r="AH347">
        <v>0</v>
      </c>
      <c r="AI347" t="b">
        <v>0</v>
      </c>
      <c r="AJ347" t="s">
        <v>58</v>
      </c>
      <c r="AK347" t="s">
        <v>58</v>
      </c>
      <c r="AL347" t="s">
        <v>66</v>
      </c>
      <c r="AM347">
        <v>14</v>
      </c>
      <c r="AN347">
        <v>0</v>
      </c>
      <c r="AO347">
        <v>0</v>
      </c>
      <c r="AP347">
        <v>11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1</v>
      </c>
      <c r="AW347" t="b">
        <v>0</v>
      </c>
      <c r="AX347" t="s">
        <v>61</v>
      </c>
      <c r="AY347" t="s">
        <v>57</v>
      </c>
      <c r="AZ347" t="s">
        <v>55</v>
      </c>
      <c r="BA347" t="s">
        <v>58</v>
      </c>
      <c r="BB347" t="s">
        <v>58</v>
      </c>
    </row>
    <row r="348" spans="1:54" x14ac:dyDescent="0.25">
      <c r="A348" t="s">
        <v>54</v>
      </c>
      <c r="B348" t="s">
        <v>54</v>
      </c>
      <c r="C348" t="s">
        <v>54</v>
      </c>
      <c r="D348" t="s">
        <v>173</v>
      </c>
      <c r="E348" t="s">
        <v>54</v>
      </c>
      <c r="F348" t="s">
        <v>54</v>
      </c>
      <c r="G348" t="s">
        <v>54</v>
      </c>
      <c r="H348" t="s">
        <v>54</v>
      </c>
      <c r="I348" t="s">
        <v>54</v>
      </c>
      <c r="J348" t="s">
        <v>54</v>
      </c>
      <c r="K348" t="s">
        <v>166</v>
      </c>
      <c r="L348">
        <v>-1</v>
      </c>
      <c r="M348">
        <v>0</v>
      </c>
      <c r="N348">
        <v>90275</v>
      </c>
      <c r="O348">
        <v>0</v>
      </c>
      <c r="P348" t="s">
        <v>70</v>
      </c>
      <c r="Q348">
        <v>0</v>
      </c>
      <c r="R348">
        <v>0</v>
      </c>
      <c r="S348">
        <v>975</v>
      </c>
      <c r="T348" t="s">
        <v>57</v>
      </c>
      <c r="U348">
        <v>0</v>
      </c>
      <c r="V348">
        <v>0</v>
      </c>
      <c r="W348">
        <v>0</v>
      </c>
      <c r="X348">
        <v>0</v>
      </c>
      <c r="Y348" t="s">
        <v>67</v>
      </c>
      <c r="Z348">
        <v>0</v>
      </c>
      <c r="AA348">
        <v>0</v>
      </c>
      <c r="AB348">
        <v>0</v>
      </c>
      <c r="AC348">
        <v>0</v>
      </c>
      <c r="AD348" t="s">
        <v>60</v>
      </c>
      <c r="AE348">
        <v>0</v>
      </c>
      <c r="AF348">
        <v>0</v>
      </c>
      <c r="AG348">
        <v>0</v>
      </c>
      <c r="AH348">
        <v>0</v>
      </c>
      <c r="AI348" t="b">
        <v>0</v>
      </c>
      <c r="AJ348" t="s">
        <v>58</v>
      </c>
      <c r="AK348" t="s">
        <v>58</v>
      </c>
      <c r="AL348" t="s">
        <v>66</v>
      </c>
      <c r="AM348">
        <v>14</v>
      </c>
      <c r="AN348">
        <v>0</v>
      </c>
      <c r="AO348">
        <v>0</v>
      </c>
      <c r="AP348">
        <v>11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s">
        <v>61</v>
      </c>
      <c r="AY348" t="s">
        <v>57</v>
      </c>
      <c r="AZ348" t="s">
        <v>55</v>
      </c>
      <c r="BA348" t="s">
        <v>58</v>
      </c>
      <c r="BB348" t="s">
        <v>58</v>
      </c>
    </row>
    <row r="349" spans="1:54" x14ac:dyDescent="0.25">
      <c r="A349" t="s">
        <v>54</v>
      </c>
      <c r="B349" t="s">
        <v>54</v>
      </c>
      <c r="C349" t="s">
        <v>54</v>
      </c>
      <c r="D349" t="s">
        <v>173</v>
      </c>
      <c r="E349" t="s">
        <v>54</v>
      </c>
      <c r="F349" t="s">
        <v>54</v>
      </c>
      <c r="G349" t="s">
        <v>54</v>
      </c>
      <c r="H349" t="s">
        <v>54</v>
      </c>
      <c r="I349" t="s">
        <v>54</v>
      </c>
      <c r="J349" t="s">
        <v>54</v>
      </c>
      <c r="K349" t="s">
        <v>165</v>
      </c>
      <c r="L349">
        <v>-1</v>
      </c>
      <c r="M349">
        <v>0</v>
      </c>
      <c r="N349">
        <v>90267</v>
      </c>
      <c r="O349">
        <v>0</v>
      </c>
      <c r="P349" t="s">
        <v>70</v>
      </c>
      <c r="Q349">
        <v>0</v>
      </c>
      <c r="R349">
        <v>0</v>
      </c>
      <c r="S349">
        <v>975</v>
      </c>
      <c r="T349" t="s">
        <v>57</v>
      </c>
      <c r="U349">
        <v>0</v>
      </c>
      <c r="V349">
        <v>0</v>
      </c>
      <c r="W349">
        <v>0</v>
      </c>
      <c r="X349">
        <v>0</v>
      </c>
      <c r="Y349" t="s">
        <v>67</v>
      </c>
      <c r="Z349">
        <v>0</v>
      </c>
      <c r="AA349">
        <v>0</v>
      </c>
      <c r="AB349">
        <v>0</v>
      </c>
      <c r="AC349">
        <v>0</v>
      </c>
      <c r="AD349" t="s">
        <v>60</v>
      </c>
      <c r="AE349">
        <v>0</v>
      </c>
      <c r="AF349">
        <v>0</v>
      </c>
      <c r="AG349">
        <v>0</v>
      </c>
      <c r="AH349">
        <v>0</v>
      </c>
      <c r="AI349" t="b">
        <v>0</v>
      </c>
      <c r="AJ349" t="s">
        <v>58</v>
      </c>
      <c r="AK349" t="s">
        <v>58</v>
      </c>
      <c r="AL349" t="s">
        <v>66</v>
      </c>
      <c r="AM349">
        <v>14</v>
      </c>
      <c r="AN349">
        <v>0</v>
      </c>
      <c r="AO349">
        <v>0</v>
      </c>
      <c r="AP349">
        <v>11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s">
        <v>61</v>
      </c>
      <c r="AY349" t="s">
        <v>57</v>
      </c>
      <c r="AZ349" t="s">
        <v>55</v>
      </c>
      <c r="BA349" t="s">
        <v>58</v>
      </c>
      <c r="BB349" t="s">
        <v>58</v>
      </c>
    </row>
    <row r="350" spans="1:54" x14ac:dyDescent="0.25">
      <c r="A350" t="s">
        <v>54</v>
      </c>
      <c r="B350" t="s">
        <v>54</v>
      </c>
      <c r="C350" t="s">
        <v>54</v>
      </c>
      <c r="D350" t="s">
        <v>173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  <c r="J350" t="s">
        <v>54</v>
      </c>
      <c r="K350" t="s">
        <v>147</v>
      </c>
      <c r="L350">
        <v>-1</v>
      </c>
      <c r="M350">
        <v>0</v>
      </c>
      <c r="N350">
        <v>90286</v>
      </c>
      <c r="O350">
        <v>0</v>
      </c>
      <c r="P350" t="s">
        <v>70</v>
      </c>
      <c r="Q350">
        <v>0</v>
      </c>
      <c r="R350">
        <v>0</v>
      </c>
      <c r="S350">
        <v>975</v>
      </c>
      <c r="T350" t="s">
        <v>57</v>
      </c>
      <c r="U350">
        <v>0</v>
      </c>
      <c r="V350">
        <v>0</v>
      </c>
      <c r="W350">
        <v>0</v>
      </c>
      <c r="X350">
        <v>0</v>
      </c>
      <c r="Y350" t="s">
        <v>67</v>
      </c>
      <c r="Z350">
        <v>0</v>
      </c>
      <c r="AA350">
        <v>0</v>
      </c>
      <c r="AB350">
        <v>0</v>
      </c>
      <c r="AC350">
        <v>0</v>
      </c>
      <c r="AD350" t="s">
        <v>60</v>
      </c>
      <c r="AE350">
        <v>0</v>
      </c>
      <c r="AF350">
        <v>0</v>
      </c>
      <c r="AG350">
        <v>0</v>
      </c>
      <c r="AH350">
        <v>0</v>
      </c>
      <c r="AI350" t="b">
        <v>0</v>
      </c>
      <c r="AJ350" t="s">
        <v>58</v>
      </c>
      <c r="AK350" t="s">
        <v>58</v>
      </c>
      <c r="AL350" t="s">
        <v>66</v>
      </c>
      <c r="AM350">
        <v>14</v>
      </c>
      <c r="AN350">
        <v>0</v>
      </c>
      <c r="AO350">
        <v>0</v>
      </c>
      <c r="AP350">
        <v>11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1</v>
      </c>
      <c r="AW350" t="b">
        <v>0</v>
      </c>
      <c r="AX350" t="s">
        <v>61</v>
      </c>
      <c r="AY350" t="s">
        <v>57</v>
      </c>
      <c r="AZ350" t="s">
        <v>55</v>
      </c>
      <c r="BA350" t="s">
        <v>58</v>
      </c>
      <c r="BB350" t="s">
        <v>58</v>
      </c>
    </row>
    <row r="351" spans="1:54" x14ac:dyDescent="0.25">
      <c r="A351" t="s">
        <v>54</v>
      </c>
      <c r="B351" t="s">
        <v>54</v>
      </c>
      <c r="C351" t="s">
        <v>54</v>
      </c>
      <c r="D351" t="s">
        <v>173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  <c r="J351" t="s">
        <v>54</v>
      </c>
      <c r="K351" t="s">
        <v>157</v>
      </c>
      <c r="L351">
        <v>-1</v>
      </c>
      <c r="M351">
        <v>0</v>
      </c>
      <c r="N351">
        <v>90279</v>
      </c>
      <c r="O351">
        <v>0</v>
      </c>
      <c r="P351" t="s">
        <v>70</v>
      </c>
      <c r="Q351">
        <v>0</v>
      </c>
      <c r="R351">
        <v>0</v>
      </c>
      <c r="S351">
        <v>975</v>
      </c>
      <c r="T351" t="s">
        <v>57</v>
      </c>
      <c r="U351">
        <v>0</v>
      </c>
      <c r="V351">
        <v>0</v>
      </c>
      <c r="W351">
        <v>0</v>
      </c>
      <c r="X351">
        <v>0</v>
      </c>
      <c r="Y351" t="s">
        <v>67</v>
      </c>
      <c r="Z351">
        <v>0</v>
      </c>
      <c r="AA351">
        <v>0</v>
      </c>
      <c r="AB351">
        <v>0</v>
      </c>
      <c r="AC351">
        <v>0</v>
      </c>
      <c r="AD351" t="s">
        <v>60</v>
      </c>
      <c r="AE351">
        <v>0</v>
      </c>
      <c r="AF351">
        <v>0</v>
      </c>
      <c r="AG351">
        <v>0</v>
      </c>
      <c r="AH351">
        <v>0</v>
      </c>
      <c r="AI351" t="b">
        <v>0</v>
      </c>
      <c r="AJ351" t="s">
        <v>58</v>
      </c>
      <c r="AK351" t="s">
        <v>58</v>
      </c>
      <c r="AL351" t="s">
        <v>66</v>
      </c>
      <c r="AM351">
        <v>14</v>
      </c>
      <c r="AN351">
        <v>0</v>
      </c>
      <c r="AO351">
        <v>0</v>
      </c>
      <c r="AP351">
        <v>11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1</v>
      </c>
      <c r="AW351" t="b">
        <v>0</v>
      </c>
      <c r="AX351" t="s">
        <v>61</v>
      </c>
      <c r="AY351" t="s">
        <v>57</v>
      </c>
      <c r="AZ351" t="s">
        <v>55</v>
      </c>
      <c r="BA351" t="s">
        <v>58</v>
      </c>
      <c r="BB351" t="s">
        <v>58</v>
      </c>
    </row>
    <row r="352" spans="1:54" x14ac:dyDescent="0.25">
      <c r="A352" t="s">
        <v>54</v>
      </c>
      <c r="B352" t="s">
        <v>54</v>
      </c>
      <c r="C352" t="s">
        <v>54</v>
      </c>
      <c r="D352" t="s">
        <v>173</v>
      </c>
      <c r="E352" t="s">
        <v>54</v>
      </c>
      <c r="F352" t="s">
        <v>54</v>
      </c>
      <c r="G352" t="s">
        <v>54</v>
      </c>
      <c r="H352" t="s">
        <v>54</v>
      </c>
      <c r="I352" t="s">
        <v>54</v>
      </c>
      <c r="J352" t="s">
        <v>54</v>
      </c>
      <c r="K352" t="s">
        <v>158</v>
      </c>
      <c r="L352">
        <v>-1</v>
      </c>
      <c r="M352">
        <v>0</v>
      </c>
      <c r="N352">
        <v>90296</v>
      </c>
      <c r="O352">
        <v>0</v>
      </c>
      <c r="P352" t="s">
        <v>70</v>
      </c>
      <c r="Q352">
        <v>0</v>
      </c>
      <c r="R352">
        <v>0</v>
      </c>
      <c r="S352">
        <v>975</v>
      </c>
      <c r="T352" t="s">
        <v>57</v>
      </c>
      <c r="U352">
        <v>0</v>
      </c>
      <c r="V352">
        <v>0</v>
      </c>
      <c r="W352">
        <v>0</v>
      </c>
      <c r="X352">
        <v>0</v>
      </c>
      <c r="Y352" t="s">
        <v>67</v>
      </c>
      <c r="Z352">
        <v>0</v>
      </c>
      <c r="AA352">
        <v>0</v>
      </c>
      <c r="AB352">
        <v>0</v>
      </c>
      <c r="AC352">
        <v>0</v>
      </c>
      <c r="AD352" t="s">
        <v>60</v>
      </c>
      <c r="AE352">
        <v>0</v>
      </c>
      <c r="AF352">
        <v>0</v>
      </c>
      <c r="AG352">
        <v>0</v>
      </c>
      <c r="AH352">
        <v>0</v>
      </c>
      <c r="AI352" t="b">
        <v>0</v>
      </c>
      <c r="AJ352" t="s">
        <v>58</v>
      </c>
      <c r="AK352" t="s">
        <v>58</v>
      </c>
      <c r="AL352" t="s">
        <v>66</v>
      </c>
      <c r="AM352">
        <v>14</v>
      </c>
      <c r="AN352">
        <v>0</v>
      </c>
      <c r="AO352">
        <v>0</v>
      </c>
      <c r="AP352">
        <v>11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1</v>
      </c>
      <c r="AW352" t="b">
        <v>0</v>
      </c>
      <c r="AX352" t="s">
        <v>61</v>
      </c>
      <c r="AY352" t="s">
        <v>57</v>
      </c>
      <c r="AZ352" t="s">
        <v>55</v>
      </c>
      <c r="BA352" t="s">
        <v>58</v>
      </c>
      <c r="BB352" t="s">
        <v>58</v>
      </c>
    </row>
    <row r="353" spans="1:54" x14ac:dyDescent="0.25">
      <c r="A353" t="s">
        <v>54</v>
      </c>
      <c r="B353" t="s">
        <v>54</v>
      </c>
      <c r="C353" t="s">
        <v>54</v>
      </c>
      <c r="D353" t="s">
        <v>173</v>
      </c>
      <c r="E353" t="s">
        <v>54</v>
      </c>
      <c r="F353" t="s">
        <v>54</v>
      </c>
      <c r="G353" t="s">
        <v>54</v>
      </c>
      <c r="H353" t="s">
        <v>54</v>
      </c>
      <c r="I353" t="s">
        <v>54</v>
      </c>
      <c r="J353" t="s">
        <v>54</v>
      </c>
      <c r="K353" t="s">
        <v>159</v>
      </c>
      <c r="L353">
        <v>-1</v>
      </c>
      <c r="M353">
        <v>0</v>
      </c>
      <c r="N353">
        <v>90294</v>
      </c>
      <c r="O353">
        <v>0</v>
      </c>
      <c r="P353" t="s">
        <v>70</v>
      </c>
      <c r="Q353">
        <v>0</v>
      </c>
      <c r="R353">
        <v>0</v>
      </c>
      <c r="S353">
        <v>975</v>
      </c>
      <c r="T353" t="s">
        <v>57</v>
      </c>
      <c r="U353">
        <v>0</v>
      </c>
      <c r="V353">
        <v>0</v>
      </c>
      <c r="W353">
        <v>0</v>
      </c>
      <c r="X353">
        <v>0</v>
      </c>
      <c r="Y353" t="s">
        <v>67</v>
      </c>
      <c r="Z353">
        <v>0</v>
      </c>
      <c r="AA353">
        <v>0</v>
      </c>
      <c r="AB353">
        <v>0</v>
      </c>
      <c r="AC353">
        <v>0</v>
      </c>
      <c r="AD353" t="s">
        <v>60</v>
      </c>
      <c r="AE353">
        <v>0</v>
      </c>
      <c r="AF353">
        <v>0</v>
      </c>
      <c r="AG353">
        <v>0</v>
      </c>
      <c r="AH353">
        <v>0</v>
      </c>
      <c r="AI353" t="b">
        <v>0</v>
      </c>
      <c r="AJ353" t="s">
        <v>58</v>
      </c>
      <c r="AK353" t="s">
        <v>58</v>
      </c>
      <c r="AL353" t="s">
        <v>66</v>
      </c>
      <c r="AM353">
        <v>14</v>
      </c>
      <c r="AN353">
        <v>0</v>
      </c>
      <c r="AO353">
        <v>0</v>
      </c>
      <c r="AP353">
        <v>11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1</v>
      </c>
      <c r="AW353" t="b">
        <v>0</v>
      </c>
      <c r="AX353" t="s">
        <v>61</v>
      </c>
      <c r="AY353" t="s">
        <v>57</v>
      </c>
      <c r="AZ353" t="s">
        <v>55</v>
      </c>
      <c r="BA353" t="s">
        <v>58</v>
      </c>
      <c r="BB353" t="s">
        <v>58</v>
      </c>
    </row>
    <row r="354" spans="1:54" x14ac:dyDescent="0.25">
      <c r="A354" t="s">
        <v>54</v>
      </c>
      <c r="B354" t="s">
        <v>54</v>
      </c>
      <c r="C354" t="s">
        <v>54</v>
      </c>
      <c r="D354" t="s">
        <v>173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  <c r="J354" t="s">
        <v>54</v>
      </c>
      <c r="K354" t="s">
        <v>150</v>
      </c>
      <c r="L354">
        <v>-1</v>
      </c>
      <c r="M354">
        <v>0</v>
      </c>
      <c r="N354">
        <v>90269</v>
      </c>
      <c r="O354">
        <v>0</v>
      </c>
      <c r="P354" t="s">
        <v>70</v>
      </c>
      <c r="Q354">
        <v>0</v>
      </c>
      <c r="R354">
        <v>0</v>
      </c>
      <c r="S354">
        <v>975</v>
      </c>
      <c r="T354" t="s">
        <v>57</v>
      </c>
      <c r="U354">
        <v>0</v>
      </c>
      <c r="V354">
        <v>0</v>
      </c>
      <c r="W354">
        <v>0</v>
      </c>
      <c r="X354">
        <v>0</v>
      </c>
      <c r="Y354" t="s">
        <v>67</v>
      </c>
      <c r="Z354">
        <v>0</v>
      </c>
      <c r="AA354">
        <v>0</v>
      </c>
      <c r="AB354">
        <v>0</v>
      </c>
      <c r="AC354">
        <v>0</v>
      </c>
      <c r="AD354" t="s">
        <v>60</v>
      </c>
      <c r="AE354">
        <v>0</v>
      </c>
      <c r="AF354">
        <v>0</v>
      </c>
      <c r="AG354">
        <v>0</v>
      </c>
      <c r="AH354">
        <v>0</v>
      </c>
      <c r="AI354" t="b">
        <v>0</v>
      </c>
      <c r="AJ354" t="s">
        <v>58</v>
      </c>
      <c r="AK354" t="s">
        <v>58</v>
      </c>
      <c r="AL354" t="s">
        <v>66</v>
      </c>
      <c r="AM354">
        <v>14</v>
      </c>
      <c r="AN354">
        <v>0</v>
      </c>
      <c r="AO354">
        <v>0</v>
      </c>
      <c r="AP354">
        <v>11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1</v>
      </c>
      <c r="AW354" t="b">
        <v>0</v>
      </c>
      <c r="AX354" t="s">
        <v>61</v>
      </c>
      <c r="AY354" t="s">
        <v>57</v>
      </c>
      <c r="AZ354" t="s">
        <v>55</v>
      </c>
      <c r="BA354" t="s">
        <v>58</v>
      </c>
      <c r="BB354" t="s">
        <v>58</v>
      </c>
    </row>
    <row r="355" spans="1:54" x14ac:dyDescent="0.25">
      <c r="A355" t="s">
        <v>54</v>
      </c>
      <c r="B355" t="s">
        <v>54</v>
      </c>
      <c r="C355" t="s">
        <v>54</v>
      </c>
      <c r="D355" t="s">
        <v>173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  <c r="J355" t="s">
        <v>54</v>
      </c>
      <c r="K355" t="s">
        <v>148</v>
      </c>
      <c r="L355">
        <v>-1</v>
      </c>
      <c r="M355">
        <v>0</v>
      </c>
      <c r="N355">
        <v>90292</v>
      </c>
      <c r="O355">
        <v>0</v>
      </c>
      <c r="P355" t="s">
        <v>70</v>
      </c>
      <c r="Q355">
        <v>0</v>
      </c>
      <c r="R355">
        <v>0</v>
      </c>
      <c r="S355">
        <v>975</v>
      </c>
      <c r="T355" t="s">
        <v>57</v>
      </c>
      <c r="U355">
        <v>0</v>
      </c>
      <c r="V355">
        <v>0</v>
      </c>
      <c r="W355">
        <v>0</v>
      </c>
      <c r="X355">
        <v>0</v>
      </c>
      <c r="Y355" t="s">
        <v>67</v>
      </c>
      <c r="Z355">
        <v>0</v>
      </c>
      <c r="AA355">
        <v>0</v>
      </c>
      <c r="AB355">
        <v>0</v>
      </c>
      <c r="AC355">
        <v>0</v>
      </c>
      <c r="AD355" t="s">
        <v>60</v>
      </c>
      <c r="AE355">
        <v>0</v>
      </c>
      <c r="AF355">
        <v>0</v>
      </c>
      <c r="AG355">
        <v>0</v>
      </c>
      <c r="AH355">
        <v>0</v>
      </c>
      <c r="AI355" t="b">
        <v>0</v>
      </c>
      <c r="AJ355" t="s">
        <v>58</v>
      </c>
      <c r="AK355" t="s">
        <v>58</v>
      </c>
      <c r="AL355" t="s">
        <v>66</v>
      </c>
      <c r="AM355">
        <v>14</v>
      </c>
      <c r="AN355">
        <v>0</v>
      </c>
      <c r="AO355">
        <v>0</v>
      </c>
      <c r="AP355">
        <v>11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1</v>
      </c>
      <c r="AW355" t="b">
        <v>0</v>
      </c>
      <c r="AX355" t="s">
        <v>61</v>
      </c>
      <c r="AY355" t="s">
        <v>57</v>
      </c>
      <c r="AZ355" t="s">
        <v>55</v>
      </c>
      <c r="BA355" t="s">
        <v>58</v>
      </c>
      <c r="BB355" t="s">
        <v>58</v>
      </c>
    </row>
    <row r="356" spans="1:54" x14ac:dyDescent="0.25">
      <c r="A356" t="s">
        <v>54</v>
      </c>
      <c r="B356" t="s">
        <v>54</v>
      </c>
      <c r="C356" t="s">
        <v>54</v>
      </c>
      <c r="D356" t="s">
        <v>173</v>
      </c>
      <c r="E356" t="s">
        <v>54</v>
      </c>
      <c r="F356" t="s">
        <v>54</v>
      </c>
      <c r="G356" t="s">
        <v>54</v>
      </c>
      <c r="H356" t="s">
        <v>54</v>
      </c>
      <c r="I356" t="s">
        <v>54</v>
      </c>
      <c r="J356" t="s">
        <v>54</v>
      </c>
      <c r="K356" t="s">
        <v>155</v>
      </c>
      <c r="L356">
        <v>-1</v>
      </c>
      <c r="M356">
        <v>0</v>
      </c>
      <c r="N356">
        <v>90290</v>
      </c>
      <c r="O356">
        <v>0</v>
      </c>
      <c r="P356" t="s">
        <v>70</v>
      </c>
      <c r="Q356">
        <v>0</v>
      </c>
      <c r="R356">
        <v>0</v>
      </c>
      <c r="S356">
        <v>975</v>
      </c>
      <c r="T356" t="s">
        <v>57</v>
      </c>
      <c r="U356">
        <v>0</v>
      </c>
      <c r="V356">
        <v>0</v>
      </c>
      <c r="W356">
        <v>0</v>
      </c>
      <c r="X356">
        <v>0</v>
      </c>
      <c r="Y356" t="s">
        <v>67</v>
      </c>
      <c r="Z356">
        <v>0</v>
      </c>
      <c r="AA356">
        <v>0</v>
      </c>
      <c r="AB356">
        <v>0</v>
      </c>
      <c r="AC356">
        <v>0</v>
      </c>
      <c r="AD356" t="s">
        <v>60</v>
      </c>
      <c r="AE356">
        <v>0</v>
      </c>
      <c r="AF356">
        <v>0</v>
      </c>
      <c r="AG356">
        <v>0</v>
      </c>
      <c r="AH356">
        <v>0</v>
      </c>
      <c r="AI356" t="b">
        <v>0</v>
      </c>
      <c r="AJ356" t="s">
        <v>58</v>
      </c>
      <c r="AK356" t="s">
        <v>58</v>
      </c>
      <c r="AL356" t="s">
        <v>66</v>
      </c>
      <c r="AM356">
        <v>14</v>
      </c>
      <c r="AN356">
        <v>0</v>
      </c>
      <c r="AO356">
        <v>0</v>
      </c>
      <c r="AP356">
        <v>11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1</v>
      </c>
      <c r="AW356" t="b">
        <v>0</v>
      </c>
      <c r="AX356" t="s">
        <v>61</v>
      </c>
      <c r="AY356" t="s">
        <v>57</v>
      </c>
      <c r="AZ356" t="s">
        <v>55</v>
      </c>
      <c r="BA356" t="s">
        <v>58</v>
      </c>
      <c r="BB356" t="s">
        <v>58</v>
      </c>
    </row>
    <row r="357" spans="1:54" x14ac:dyDescent="0.25">
      <c r="A357" t="s">
        <v>54</v>
      </c>
      <c r="B357" t="s">
        <v>54</v>
      </c>
      <c r="C357" t="s">
        <v>54</v>
      </c>
      <c r="D357" t="s">
        <v>173</v>
      </c>
      <c r="E357" t="s">
        <v>54</v>
      </c>
      <c r="F357" t="s">
        <v>54</v>
      </c>
      <c r="G357" t="s">
        <v>54</v>
      </c>
      <c r="H357" t="s">
        <v>54</v>
      </c>
      <c r="I357" t="s">
        <v>54</v>
      </c>
      <c r="J357" t="s">
        <v>54</v>
      </c>
      <c r="K357" t="s">
        <v>172</v>
      </c>
      <c r="L357">
        <v>-1</v>
      </c>
      <c r="M357">
        <v>0</v>
      </c>
      <c r="N357">
        <v>90284</v>
      </c>
      <c r="O357">
        <v>0</v>
      </c>
      <c r="P357" t="s">
        <v>70</v>
      </c>
      <c r="Q357">
        <v>0</v>
      </c>
      <c r="R357">
        <v>0</v>
      </c>
      <c r="S357">
        <v>975</v>
      </c>
      <c r="T357" t="s">
        <v>57</v>
      </c>
      <c r="U357">
        <v>0</v>
      </c>
      <c r="V357">
        <v>0</v>
      </c>
      <c r="W357">
        <v>0</v>
      </c>
      <c r="X357">
        <v>0</v>
      </c>
      <c r="Y357" t="s">
        <v>67</v>
      </c>
      <c r="Z357">
        <v>0</v>
      </c>
      <c r="AA357">
        <v>0</v>
      </c>
      <c r="AB357">
        <v>0</v>
      </c>
      <c r="AC357">
        <v>0</v>
      </c>
      <c r="AD357" t="s">
        <v>60</v>
      </c>
      <c r="AE357">
        <v>0</v>
      </c>
      <c r="AF357">
        <v>0</v>
      </c>
      <c r="AG357">
        <v>0</v>
      </c>
      <c r="AH357">
        <v>0</v>
      </c>
      <c r="AI357" t="b">
        <v>0</v>
      </c>
      <c r="AJ357" t="s">
        <v>58</v>
      </c>
      <c r="AK357" t="s">
        <v>58</v>
      </c>
      <c r="AL357" t="s">
        <v>66</v>
      </c>
      <c r="AM357">
        <v>14</v>
      </c>
      <c r="AN357">
        <v>0</v>
      </c>
      <c r="AO357">
        <v>0</v>
      </c>
      <c r="AP357">
        <v>11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s">
        <v>61</v>
      </c>
      <c r="AY357" t="s">
        <v>57</v>
      </c>
      <c r="AZ357" t="s">
        <v>55</v>
      </c>
      <c r="BA357" t="s">
        <v>58</v>
      </c>
      <c r="BB357" t="s">
        <v>58</v>
      </c>
    </row>
    <row r="358" spans="1:54" x14ac:dyDescent="0.25">
      <c r="A358" t="s">
        <v>54</v>
      </c>
      <c r="B358" t="s">
        <v>54</v>
      </c>
      <c r="C358" t="s">
        <v>54</v>
      </c>
      <c r="D358" t="s">
        <v>173</v>
      </c>
      <c r="E358" t="s">
        <v>54</v>
      </c>
      <c r="F358" t="s">
        <v>54</v>
      </c>
      <c r="G358" t="s">
        <v>54</v>
      </c>
      <c r="H358" t="s">
        <v>54</v>
      </c>
      <c r="I358" t="s">
        <v>54</v>
      </c>
      <c r="J358" t="s">
        <v>54</v>
      </c>
      <c r="K358" t="s">
        <v>146</v>
      </c>
      <c r="L358">
        <v>-1</v>
      </c>
      <c r="M358">
        <v>0</v>
      </c>
      <c r="N358">
        <v>90278</v>
      </c>
      <c r="O358">
        <v>0</v>
      </c>
      <c r="P358" t="s">
        <v>70</v>
      </c>
      <c r="Q358">
        <v>0</v>
      </c>
      <c r="R358">
        <v>0</v>
      </c>
      <c r="S358">
        <v>975</v>
      </c>
      <c r="T358" t="s">
        <v>57</v>
      </c>
      <c r="U358">
        <v>0</v>
      </c>
      <c r="V358">
        <v>0</v>
      </c>
      <c r="W358">
        <v>0</v>
      </c>
      <c r="X358">
        <v>0</v>
      </c>
      <c r="Y358" t="s">
        <v>67</v>
      </c>
      <c r="Z358">
        <v>0</v>
      </c>
      <c r="AA358">
        <v>0</v>
      </c>
      <c r="AB358">
        <v>0</v>
      </c>
      <c r="AC358">
        <v>0</v>
      </c>
      <c r="AD358" t="s">
        <v>60</v>
      </c>
      <c r="AE358">
        <v>0</v>
      </c>
      <c r="AF358">
        <v>0</v>
      </c>
      <c r="AG358">
        <v>0</v>
      </c>
      <c r="AH358">
        <v>0</v>
      </c>
      <c r="AI358" t="b">
        <v>0</v>
      </c>
      <c r="AJ358" t="s">
        <v>58</v>
      </c>
      <c r="AK358" t="s">
        <v>58</v>
      </c>
      <c r="AL358" t="s">
        <v>66</v>
      </c>
      <c r="AM358">
        <v>14</v>
      </c>
      <c r="AN358">
        <v>0</v>
      </c>
      <c r="AO358">
        <v>0</v>
      </c>
      <c r="AP358">
        <v>11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1</v>
      </c>
      <c r="AW358" t="b">
        <v>0</v>
      </c>
      <c r="AX358" t="s">
        <v>61</v>
      </c>
      <c r="AY358" t="s">
        <v>57</v>
      </c>
      <c r="AZ358" t="s">
        <v>55</v>
      </c>
      <c r="BA358" t="s">
        <v>58</v>
      </c>
      <c r="BB358" t="s">
        <v>58</v>
      </c>
    </row>
    <row r="359" spans="1:54" x14ac:dyDescent="0.25">
      <c r="A359" t="s">
        <v>54</v>
      </c>
      <c r="B359" t="s">
        <v>54</v>
      </c>
      <c r="C359" t="s">
        <v>54</v>
      </c>
      <c r="D359" t="s">
        <v>173</v>
      </c>
      <c r="E359" t="s">
        <v>54</v>
      </c>
      <c r="F359" t="s">
        <v>54</v>
      </c>
      <c r="G359" t="s">
        <v>54</v>
      </c>
      <c r="H359" t="s">
        <v>54</v>
      </c>
      <c r="I359" t="s">
        <v>54</v>
      </c>
      <c r="J359" t="s">
        <v>54</v>
      </c>
      <c r="K359" t="s">
        <v>167</v>
      </c>
      <c r="L359">
        <v>-1</v>
      </c>
      <c r="M359">
        <v>0</v>
      </c>
      <c r="N359">
        <v>90288</v>
      </c>
      <c r="O359">
        <v>0</v>
      </c>
      <c r="P359" t="s">
        <v>70</v>
      </c>
      <c r="Q359">
        <v>0</v>
      </c>
      <c r="R359">
        <v>0</v>
      </c>
      <c r="S359">
        <v>975</v>
      </c>
      <c r="T359" t="s">
        <v>57</v>
      </c>
      <c r="U359">
        <v>0</v>
      </c>
      <c r="V359">
        <v>0</v>
      </c>
      <c r="W359">
        <v>0</v>
      </c>
      <c r="X359">
        <v>0</v>
      </c>
      <c r="Y359" t="s">
        <v>67</v>
      </c>
      <c r="Z359">
        <v>0</v>
      </c>
      <c r="AA359">
        <v>0</v>
      </c>
      <c r="AB359">
        <v>0</v>
      </c>
      <c r="AC359">
        <v>0</v>
      </c>
      <c r="AD359" t="s">
        <v>60</v>
      </c>
      <c r="AE359">
        <v>0</v>
      </c>
      <c r="AF359">
        <v>0</v>
      </c>
      <c r="AG359">
        <v>0</v>
      </c>
      <c r="AH359">
        <v>0</v>
      </c>
      <c r="AI359" t="b">
        <v>0</v>
      </c>
      <c r="AJ359" t="s">
        <v>58</v>
      </c>
      <c r="AK359" t="s">
        <v>58</v>
      </c>
      <c r="AL359" t="s">
        <v>66</v>
      </c>
      <c r="AM359">
        <v>14</v>
      </c>
      <c r="AN359">
        <v>0</v>
      </c>
      <c r="AO359">
        <v>0</v>
      </c>
      <c r="AP359">
        <v>11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s">
        <v>61</v>
      </c>
      <c r="AY359" t="s">
        <v>57</v>
      </c>
      <c r="AZ359" t="s">
        <v>55</v>
      </c>
      <c r="BA359" t="s">
        <v>58</v>
      </c>
      <c r="BB359" t="s">
        <v>58</v>
      </c>
    </row>
    <row r="360" spans="1:54" x14ac:dyDescent="0.25">
      <c r="A360" t="s">
        <v>54</v>
      </c>
      <c r="B360" t="s">
        <v>54</v>
      </c>
      <c r="C360" t="s">
        <v>54</v>
      </c>
      <c r="D360" t="s">
        <v>173</v>
      </c>
      <c r="E360" t="s">
        <v>54</v>
      </c>
      <c r="F360" t="s">
        <v>54</v>
      </c>
      <c r="G360" t="s">
        <v>54</v>
      </c>
      <c r="H360" t="s">
        <v>54</v>
      </c>
      <c r="I360" t="s">
        <v>54</v>
      </c>
      <c r="J360" t="s">
        <v>54</v>
      </c>
      <c r="K360" t="s">
        <v>152</v>
      </c>
      <c r="L360">
        <v>-1</v>
      </c>
      <c r="M360">
        <v>0</v>
      </c>
      <c r="N360">
        <v>90272</v>
      </c>
      <c r="O360">
        <v>0</v>
      </c>
      <c r="P360" t="s">
        <v>70</v>
      </c>
      <c r="Q360">
        <v>0</v>
      </c>
      <c r="R360">
        <v>0</v>
      </c>
      <c r="S360">
        <v>975</v>
      </c>
      <c r="T360" t="s">
        <v>57</v>
      </c>
      <c r="U360">
        <v>0</v>
      </c>
      <c r="V360">
        <v>0</v>
      </c>
      <c r="W360">
        <v>0</v>
      </c>
      <c r="X360">
        <v>0</v>
      </c>
      <c r="Y360" t="s">
        <v>67</v>
      </c>
      <c r="Z360">
        <v>0</v>
      </c>
      <c r="AA360">
        <v>0</v>
      </c>
      <c r="AB360">
        <v>0</v>
      </c>
      <c r="AC360">
        <v>0</v>
      </c>
      <c r="AD360" t="s">
        <v>60</v>
      </c>
      <c r="AE360">
        <v>0</v>
      </c>
      <c r="AF360">
        <v>0</v>
      </c>
      <c r="AG360">
        <v>0</v>
      </c>
      <c r="AH360">
        <v>0</v>
      </c>
      <c r="AI360" t="b">
        <v>0</v>
      </c>
      <c r="AJ360" t="s">
        <v>58</v>
      </c>
      <c r="AK360" t="s">
        <v>58</v>
      </c>
      <c r="AL360" t="s">
        <v>66</v>
      </c>
      <c r="AM360">
        <v>14</v>
      </c>
      <c r="AN360">
        <v>0</v>
      </c>
      <c r="AO360">
        <v>0</v>
      </c>
      <c r="AP360">
        <v>11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1</v>
      </c>
      <c r="AW360" t="b">
        <v>0</v>
      </c>
      <c r="AX360" t="s">
        <v>61</v>
      </c>
      <c r="AY360" t="s">
        <v>57</v>
      </c>
      <c r="AZ360" t="s">
        <v>55</v>
      </c>
      <c r="BA360" t="s">
        <v>58</v>
      </c>
      <c r="BB360" t="s">
        <v>58</v>
      </c>
    </row>
    <row r="361" spans="1:54" x14ac:dyDescent="0.25">
      <c r="A361" t="s">
        <v>54</v>
      </c>
      <c r="B361" t="s">
        <v>54</v>
      </c>
      <c r="C361" t="s">
        <v>54</v>
      </c>
      <c r="D361" t="s">
        <v>173</v>
      </c>
      <c r="E361" t="s">
        <v>54</v>
      </c>
      <c r="F361" t="s">
        <v>54</v>
      </c>
      <c r="G361" t="s">
        <v>54</v>
      </c>
      <c r="H361" t="s">
        <v>54</v>
      </c>
      <c r="I361" t="s">
        <v>54</v>
      </c>
      <c r="J361" t="s">
        <v>54</v>
      </c>
      <c r="K361" t="s">
        <v>173</v>
      </c>
      <c r="L361">
        <v>-1</v>
      </c>
      <c r="M361">
        <v>0</v>
      </c>
      <c r="N361">
        <v>90280</v>
      </c>
      <c r="O361">
        <v>0</v>
      </c>
      <c r="P361" t="s">
        <v>70</v>
      </c>
      <c r="Q361">
        <v>0</v>
      </c>
      <c r="R361">
        <v>0</v>
      </c>
      <c r="S361">
        <v>975</v>
      </c>
      <c r="T361" t="s">
        <v>57</v>
      </c>
      <c r="U361">
        <v>0</v>
      </c>
      <c r="V361">
        <v>0</v>
      </c>
      <c r="W361">
        <v>0</v>
      </c>
      <c r="X361">
        <v>0</v>
      </c>
      <c r="Y361" t="s">
        <v>67</v>
      </c>
      <c r="Z361">
        <v>0</v>
      </c>
      <c r="AA361">
        <v>0</v>
      </c>
      <c r="AB361">
        <v>0</v>
      </c>
      <c r="AC361">
        <v>0</v>
      </c>
      <c r="AD361" t="s">
        <v>60</v>
      </c>
      <c r="AE361">
        <v>0</v>
      </c>
      <c r="AF361">
        <v>0</v>
      </c>
      <c r="AG361">
        <v>0</v>
      </c>
      <c r="AH361">
        <v>0</v>
      </c>
      <c r="AI361" t="b">
        <v>0</v>
      </c>
      <c r="AJ361" t="s">
        <v>58</v>
      </c>
      <c r="AK361" t="s">
        <v>58</v>
      </c>
      <c r="AL361" t="s">
        <v>66</v>
      </c>
      <c r="AM361">
        <v>14</v>
      </c>
      <c r="AN361">
        <v>0</v>
      </c>
      <c r="AO361">
        <v>0</v>
      </c>
      <c r="AP361">
        <v>11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1</v>
      </c>
      <c r="AW361" t="b">
        <v>0</v>
      </c>
      <c r="AX361" t="s">
        <v>61</v>
      </c>
      <c r="AY361" t="s">
        <v>57</v>
      </c>
      <c r="AZ361" t="s">
        <v>55</v>
      </c>
      <c r="BA361" t="s">
        <v>58</v>
      </c>
      <c r="BB361" t="s">
        <v>58</v>
      </c>
    </row>
    <row r="362" spans="1:54" x14ac:dyDescent="0.25">
      <c r="A362" t="s">
        <v>54</v>
      </c>
      <c r="B362" t="s">
        <v>54</v>
      </c>
      <c r="C362" t="s">
        <v>54</v>
      </c>
      <c r="D362" t="s">
        <v>173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156</v>
      </c>
      <c r="L362">
        <v>-1</v>
      </c>
      <c r="M362">
        <v>0</v>
      </c>
      <c r="N362">
        <v>90297</v>
      </c>
      <c r="O362">
        <v>0</v>
      </c>
      <c r="P362" t="s">
        <v>70</v>
      </c>
      <c r="Q362">
        <v>0</v>
      </c>
      <c r="R362">
        <v>0</v>
      </c>
      <c r="S362">
        <v>975</v>
      </c>
      <c r="T362" t="s">
        <v>57</v>
      </c>
      <c r="U362">
        <v>0</v>
      </c>
      <c r="V362">
        <v>0</v>
      </c>
      <c r="W362">
        <v>0</v>
      </c>
      <c r="X362">
        <v>0</v>
      </c>
      <c r="Y362" t="s">
        <v>67</v>
      </c>
      <c r="Z362">
        <v>0</v>
      </c>
      <c r="AA362">
        <v>0</v>
      </c>
      <c r="AB362">
        <v>0</v>
      </c>
      <c r="AC362">
        <v>0</v>
      </c>
      <c r="AD362" t="s">
        <v>60</v>
      </c>
      <c r="AE362">
        <v>0</v>
      </c>
      <c r="AF362">
        <v>0</v>
      </c>
      <c r="AG362">
        <v>0</v>
      </c>
      <c r="AH362">
        <v>0</v>
      </c>
      <c r="AI362" t="b">
        <v>0</v>
      </c>
      <c r="AJ362" t="s">
        <v>58</v>
      </c>
      <c r="AK362" t="s">
        <v>58</v>
      </c>
      <c r="AL362" t="s">
        <v>66</v>
      </c>
      <c r="AM362">
        <v>14</v>
      </c>
      <c r="AN362">
        <v>0</v>
      </c>
      <c r="AO362">
        <v>0</v>
      </c>
      <c r="AP362">
        <v>11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1</v>
      </c>
      <c r="AW362" t="b">
        <v>0</v>
      </c>
      <c r="AX362" t="s">
        <v>61</v>
      </c>
      <c r="AY362" t="s">
        <v>57</v>
      </c>
      <c r="AZ362" t="s">
        <v>55</v>
      </c>
      <c r="BA362" t="s">
        <v>58</v>
      </c>
      <c r="BB362" t="s">
        <v>58</v>
      </c>
    </row>
    <row r="363" spans="1:54" x14ac:dyDescent="0.25">
      <c r="A363" t="s">
        <v>54</v>
      </c>
      <c r="B363" t="s">
        <v>54</v>
      </c>
      <c r="C363" t="s">
        <v>54</v>
      </c>
      <c r="D363" t="s">
        <v>173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160</v>
      </c>
      <c r="L363">
        <v>-1</v>
      </c>
      <c r="M363">
        <v>0</v>
      </c>
      <c r="N363">
        <v>90285</v>
      </c>
      <c r="O363">
        <v>0</v>
      </c>
      <c r="P363" t="s">
        <v>70</v>
      </c>
      <c r="Q363">
        <v>0</v>
      </c>
      <c r="R363">
        <v>0</v>
      </c>
      <c r="S363">
        <v>975</v>
      </c>
      <c r="T363" t="s">
        <v>57</v>
      </c>
      <c r="U363">
        <v>0</v>
      </c>
      <c r="V363">
        <v>0</v>
      </c>
      <c r="W363">
        <v>0</v>
      </c>
      <c r="X363">
        <v>0</v>
      </c>
      <c r="Y363" t="s">
        <v>67</v>
      </c>
      <c r="Z363">
        <v>0</v>
      </c>
      <c r="AA363">
        <v>0</v>
      </c>
      <c r="AB363">
        <v>0</v>
      </c>
      <c r="AC363">
        <v>0</v>
      </c>
      <c r="AD363" t="s">
        <v>60</v>
      </c>
      <c r="AE363">
        <v>0</v>
      </c>
      <c r="AF363">
        <v>0</v>
      </c>
      <c r="AG363">
        <v>0</v>
      </c>
      <c r="AH363">
        <v>0</v>
      </c>
      <c r="AI363" t="b">
        <v>0</v>
      </c>
      <c r="AJ363" t="s">
        <v>58</v>
      </c>
      <c r="AK363" t="s">
        <v>58</v>
      </c>
      <c r="AL363" t="s">
        <v>66</v>
      </c>
      <c r="AM363">
        <v>14</v>
      </c>
      <c r="AN363">
        <v>0</v>
      </c>
      <c r="AO363">
        <v>0</v>
      </c>
      <c r="AP363">
        <v>11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1</v>
      </c>
      <c r="AW363" t="b">
        <v>0</v>
      </c>
      <c r="AX363" t="s">
        <v>61</v>
      </c>
      <c r="AY363" t="s">
        <v>57</v>
      </c>
      <c r="AZ363" t="s">
        <v>55</v>
      </c>
      <c r="BA363" t="s">
        <v>58</v>
      </c>
      <c r="BB363" t="s">
        <v>58</v>
      </c>
    </row>
    <row r="364" spans="1:54" x14ac:dyDescent="0.25">
      <c r="A364" t="s">
        <v>54</v>
      </c>
      <c r="B364" t="s">
        <v>54</v>
      </c>
      <c r="C364" t="s">
        <v>54</v>
      </c>
      <c r="D364" t="s">
        <v>173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145</v>
      </c>
      <c r="L364">
        <v>-1</v>
      </c>
      <c r="M364">
        <v>0</v>
      </c>
      <c r="N364">
        <v>90287</v>
      </c>
      <c r="O364">
        <v>0</v>
      </c>
      <c r="P364" t="s">
        <v>70</v>
      </c>
      <c r="Q364">
        <v>0</v>
      </c>
      <c r="R364">
        <v>0</v>
      </c>
      <c r="S364">
        <v>975</v>
      </c>
      <c r="T364" t="s">
        <v>57</v>
      </c>
      <c r="U364">
        <v>0</v>
      </c>
      <c r="V364">
        <v>0</v>
      </c>
      <c r="W364">
        <v>0</v>
      </c>
      <c r="X364">
        <v>0</v>
      </c>
      <c r="Y364" t="s">
        <v>67</v>
      </c>
      <c r="Z364">
        <v>0</v>
      </c>
      <c r="AA364">
        <v>0</v>
      </c>
      <c r="AB364">
        <v>0</v>
      </c>
      <c r="AC364">
        <v>0</v>
      </c>
      <c r="AD364" t="s">
        <v>60</v>
      </c>
      <c r="AE364">
        <v>0</v>
      </c>
      <c r="AF364">
        <v>0</v>
      </c>
      <c r="AG364">
        <v>0</v>
      </c>
      <c r="AH364">
        <v>0</v>
      </c>
      <c r="AI364" t="b">
        <v>0</v>
      </c>
      <c r="AJ364" t="s">
        <v>58</v>
      </c>
      <c r="AK364" t="s">
        <v>58</v>
      </c>
      <c r="AL364" t="s">
        <v>66</v>
      </c>
      <c r="AM364">
        <v>14</v>
      </c>
      <c r="AN364">
        <v>0</v>
      </c>
      <c r="AO364">
        <v>0</v>
      </c>
      <c r="AP364">
        <v>11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1</v>
      </c>
      <c r="AW364" t="b">
        <v>0</v>
      </c>
      <c r="AX364" t="s">
        <v>61</v>
      </c>
      <c r="AY364" t="s">
        <v>57</v>
      </c>
      <c r="AZ364" t="s">
        <v>55</v>
      </c>
      <c r="BA364" t="s">
        <v>58</v>
      </c>
      <c r="BB364" t="s">
        <v>58</v>
      </c>
    </row>
    <row r="365" spans="1:54" x14ac:dyDescent="0.25">
      <c r="A365" t="s">
        <v>54</v>
      </c>
      <c r="B365" t="s">
        <v>54</v>
      </c>
      <c r="C365" t="s">
        <v>54</v>
      </c>
      <c r="D365" t="s">
        <v>173</v>
      </c>
      <c r="E365" t="s">
        <v>54</v>
      </c>
      <c r="F365" t="s">
        <v>54</v>
      </c>
      <c r="G365" t="s">
        <v>54</v>
      </c>
      <c r="H365" t="s">
        <v>54</v>
      </c>
      <c r="I365" t="s">
        <v>54</v>
      </c>
      <c r="J365" t="s">
        <v>54</v>
      </c>
      <c r="K365" t="s">
        <v>151</v>
      </c>
      <c r="L365">
        <v>-1</v>
      </c>
      <c r="M365">
        <v>0</v>
      </c>
      <c r="N365">
        <v>90293</v>
      </c>
      <c r="O365">
        <v>0</v>
      </c>
      <c r="P365" t="s">
        <v>70</v>
      </c>
      <c r="Q365">
        <v>0</v>
      </c>
      <c r="R365">
        <v>0</v>
      </c>
      <c r="S365">
        <v>975</v>
      </c>
      <c r="T365" t="s">
        <v>57</v>
      </c>
      <c r="U365">
        <v>0</v>
      </c>
      <c r="V365">
        <v>0</v>
      </c>
      <c r="W365">
        <v>0</v>
      </c>
      <c r="X365">
        <v>0</v>
      </c>
      <c r="Y365" t="s">
        <v>67</v>
      </c>
      <c r="Z365">
        <v>0</v>
      </c>
      <c r="AA365">
        <v>0</v>
      </c>
      <c r="AB365">
        <v>0</v>
      </c>
      <c r="AC365">
        <v>0</v>
      </c>
      <c r="AD365" t="s">
        <v>60</v>
      </c>
      <c r="AE365">
        <v>0</v>
      </c>
      <c r="AF365">
        <v>0</v>
      </c>
      <c r="AG365">
        <v>0</v>
      </c>
      <c r="AH365">
        <v>0</v>
      </c>
      <c r="AI365" t="b">
        <v>0</v>
      </c>
      <c r="AJ365" t="s">
        <v>58</v>
      </c>
      <c r="AK365" t="s">
        <v>58</v>
      </c>
      <c r="AL365" t="s">
        <v>66</v>
      </c>
      <c r="AM365">
        <v>14</v>
      </c>
      <c r="AN365">
        <v>0</v>
      </c>
      <c r="AO365">
        <v>0</v>
      </c>
      <c r="AP365">
        <v>11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1</v>
      </c>
      <c r="AW365" t="b">
        <v>0</v>
      </c>
      <c r="AX365" t="s">
        <v>61</v>
      </c>
      <c r="AY365" t="s">
        <v>57</v>
      </c>
      <c r="AZ365" t="s">
        <v>55</v>
      </c>
      <c r="BA365" t="s">
        <v>58</v>
      </c>
      <c r="BB365" t="s">
        <v>58</v>
      </c>
    </row>
    <row r="366" spans="1:54" x14ac:dyDescent="0.25">
      <c r="A366" t="s">
        <v>54</v>
      </c>
      <c r="B366" t="s">
        <v>54</v>
      </c>
      <c r="C366" t="s">
        <v>54</v>
      </c>
      <c r="D366" t="s">
        <v>173</v>
      </c>
      <c r="E366" t="s">
        <v>54</v>
      </c>
      <c r="F366" t="s">
        <v>54</v>
      </c>
      <c r="G366" t="s">
        <v>54</v>
      </c>
      <c r="H366" t="s">
        <v>54</v>
      </c>
      <c r="I366" t="s">
        <v>54</v>
      </c>
      <c r="J366" t="s">
        <v>54</v>
      </c>
      <c r="K366" t="s">
        <v>163</v>
      </c>
      <c r="L366">
        <v>-1</v>
      </c>
      <c r="M366">
        <v>0</v>
      </c>
      <c r="N366">
        <v>90291</v>
      </c>
      <c r="O366">
        <v>0</v>
      </c>
      <c r="P366" t="s">
        <v>70</v>
      </c>
      <c r="Q366">
        <v>0</v>
      </c>
      <c r="R366">
        <v>0</v>
      </c>
      <c r="S366">
        <v>975</v>
      </c>
      <c r="T366" t="s">
        <v>57</v>
      </c>
      <c r="U366">
        <v>0</v>
      </c>
      <c r="V366">
        <v>0</v>
      </c>
      <c r="W366">
        <v>0</v>
      </c>
      <c r="X366">
        <v>0</v>
      </c>
      <c r="Y366" t="s">
        <v>67</v>
      </c>
      <c r="Z366">
        <v>0</v>
      </c>
      <c r="AA366">
        <v>0</v>
      </c>
      <c r="AB366">
        <v>0</v>
      </c>
      <c r="AC366">
        <v>0</v>
      </c>
      <c r="AD366" t="s">
        <v>60</v>
      </c>
      <c r="AE366">
        <v>0</v>
      </c>
      <c r="AF366">
        <v>0</v>
      </c>
      <c r="AG366">
        <v>0</v>
      </c>
      <c r="AH366">
        <v>0</v>
      </c>
      <c r="AI366" t="b">
        <v>0</v>
      </c>
      <c r="AJ366" t="s">
        <v>58</v>
      </c>
      <c r="AK366" t="s">
        <v>58</v>
      </c>
      <c r="AL366" t="s">
        <v>66</v>
      </c>
      <c r="AM366">
        <v>14</v>
      </c>
      <c r="AN366">
        <v>0</v>
      </c>
      <c r="AO366">
        <v>0</v>
      </c>
      <c r="AP366">
        <v>11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1</v>
      </c>
      <c r="AW366" t="b">
        <v>0</v>
      </c>
      <c r="AX366" t="s">
        <v>61</v>
      </c>
      <c r="AY366" t="s">
        <v>57</v>
      </c>
      <c r="AZ366" t="s">
        <v>55</v>
      </c>
      <c r="BA366" t="s">
        <v>58</v>
      </c>
      <c r="BB366" t="s">
        <v>58</v>
      </c>
    </row>
    <row r="367" spans="1:54" x14ac:dyDescent="0.25">
      <c r="A367" t="s">
        <v>54</v>
      </c>
      <c r="B367" t="s">
        <v>54</v>
      </c>
      <c r="C367" t="s">
        <v>54</v>
      </c>
      <c r="D367" t="s">
        <v>173</v>
      </c>
      <c r="E367" t="s">
        <v>54</v>
      </c>
      <c r="F367" t="s">
        <v>54</v>
      </c>
      <c r="G367" t="s">
        <v>54</v>
      </c>
      <c r="H367" t="s">
        <v>54</v>
      </c>
      <c r="I367" t="s">
        <v>54</v>
      </c>
      <c r="J367" t="s">
        <v>54</v>
      </c>
      <c r="K367" t="s">
        <v>162</v>
      </c>
      <c r="L367">
        <v>-1</v>
      </c>
      <c r="M367">
        <v>0</v>
      </c>
      <c r="N367">
        <v>90295</v>
      </c>
      <c r="O367">
        <v>0</v>
      </c>
      <c r="P367" t="s">
        <v>70</v>
      </c>
      <c r="Q367">
        <v>0</v>
      </c>
      <c r="R367">
        <v>0</v>
      </c>
      <c r="S367">
        <v>975</v>
      </c>
      <c r="T367" t="s">
        <v>57</v>
      </c>
      <c r="U367">
        <v>0</v>
      </c>
      <c r="V367">
        <v>0</v>
      </c>
      <c r="W367">
        <v>0</v>
      </c>
      <c r="X367">
        <v>0</v>
      </c>
      <c r="Y367" t="s">
        <v>67</v>
      </c>
      <c r="Z367">
        <v>0</v>
      </c>
      <c r="AA367">
        <v>0</v>
      </c>
      <c r="AB367">
        <v>0</v>
      </c>
      <c r="AC367">
        <v>0</v>
      </c>
      <c r="AD367" t="s">
        <v>60</v>
      </c>
      <c r="AE367">
        <v>0</v>
      </c>
      <c r="AF367">
        <v>0</v>
      </c>
      <c r="AG367">
        <v>0</v>
      </c>
      <c r="AH367">
        <v>0</v>
      </c>
      <c r="AI367" t="b">
        <v>0</v>
      </c>
      <c r="AJ367" t="s">
        <v>58</v>
      </c>
      <c r="AK367" t="s">
        <v>58</v>
      </c>
      <c r="AL367" t="s">
        <v>66</v>
      </c>
      <c r="AM367">
        <v>14</v>
      </c>
      <c r="AN367">
        <v>0</v>
      </c>
      <c r="AO367">
        <v>0</v>
      </c>
      <c r="AP367">
        <v>11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1</v>
      </c>
      <c r="AW367" t="b">
        <v>0</v>
      </c>
      <c r="AX367" t="s">
        <v>61</v>
      </c>
      <c r="AY367" t="s">
        <v>57</v>
      </c>
      <c r="AZ367" t="s">
        <v>55</v>
      </c>
      <c r="BA367" t="s">
        <v>58</v>
      </c>
      <c r="BB367" t="s">
        <v>58</v>
      </c>
    </row>
    <row r="368" spans="1:54" x14ac:dyDescent="0.25">
      <c r="A368" t="s">
        <v>73</v>
      </c>
      <c r="B368" t="s">
        <v>54</v>
      </c>
      <c r="C368" t="s">
        <v>54</v>
      </c>
      <c r="D368" t="s">
        <v>173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173</v>
      </c>
      <c r="L368">
        <v>-2147483648</v>
      </c>
      <c r="M368">
        <v>-2147483648</v>
      </c>
      <c r="N368">
        <v>-2147483648</v>
      </c>
      <c r="O368">
        <v>0</v>
      </c>
      <c r="P368" t="s">
        <v>59</v>
      </c>
      <c r="Q368">
        <v>0</v>
      </c>
      <c r="R368">
        <v>0</v>
      </c>
      <c r="S368">
        <v>0</v>
      </c>
      <c r="T368" t="s">
        <v>57</v>
      </c>
      <c r="U368">
        <v>0</v>
      </c>
      <c r="V368">
        <v>0</v>
      </c>
      <c r="W368">
        <v>0</v>
      </c>
      <c r="X368">
        <v>-100</v>
      </c>
      <c r="Y368" t="s">
        <v>67</v>
      </c>
      <c r="Z368">
        <v>0</v>
      </c>
      <c r="AA368">
        <v>0</v>
      </c>
      <c r="AB368">
        <v>0</v>
      </c>
      <c r="AC368">
        <v>0</v>
      </c>
      <c r="AD368" t="s">
        <v>60</v>
      </c>
      <c r="AE368">
        <v>0</v>
      </c>
      <c r="AF368">
        <v>0</v>
      </c>
      <c r="AG368">
        <v>0</v>
      </c>
      <c r="AH368">
        <v>0</v>
      </c>
      <c r="AI368" t="b">
        <v>0</v>
      </c>
      <c r="AJ368" t="s">
        <v>55</v>
      </c>
      <c r="AK368" t="s">
        <v>76</v>
      </c>
      <c r="AL368" t="s">
        <v>66</v>
      </c>
      <c r="AM368">
        <v>0</v>
      </c>
      <c r="AN368">
        <v>0</v>
      </c>
      <c r="AO368">
        <v>0</v>
      </c>
      <c r="AP368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s">
        <v>77</v>
      </c>
      <c r="AY368" t="s">
        <v>57</v>
      </c>
      <c r="AZ368" t="s">
        <v>74</v>
      </c>
      <c r="BA368" t="s">
        <v>75</v>
      </c>
      <c r="BB368" t="s">
        <v>55</v>
      </c>
    </row>
    <row r="369" spans="1:54" x14ac:dyDescent="0.25">
      <c r="A369" t="s">
        <v>78</v>
      </c>
      <c r="B369" t="s">
        <v>54</v>
      </c>
      <c r="C369" t="s">
        <v>54</v>
      </c>
      <c r="D369" t="s">
        <v>173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173</v>
      </c>
      <c r="L369">
        <v>-2147483648</v>
      </c>
      <c r="M369">
        <v>-2147483648</v>
      </c>
      <c r="N369">
        <v>-2147483648</v>
      </c>
      <c r="O369">
        <v>0</v>
      </c>
      <c r="P369" t="s">
        <v>59</v>
      </c>
      <c r="Q369">
        <v>0</v>
      </c>
      <c r="R369">
        <v>0</v>
      </c>
      <c r="S369">
        <v>0</v>
      </c>
      <c r="T369" t="s">
        <v>57</v>
      </c>
      <c r="U369">
        <v>0</v>
      </c>
      <c r="V369">
        <v>0</v>
      </c>
      <c r="W369">
        <v>0</v>
      </c>
      <c r="X369">
        <v>-100</v>
      </c>
      <c r="Y369" t="s">
        <v>67</v>
      </c>
      <c r="Z369">
        <v>0</v>
      </c>
      <c r="AA369">
        <v>0</v>
      </c>
      <c r="AB369">
        <v>0</v>
      </c>
      <c r="AC369">
        <v>0</v>
      </c>
      <c r="AD369" t="s">
        <v>60</v>
      </c>
      <c r="AE369">
        <v>0</v>
      </c>
      <c r="AF369">
        <v>0</v>
      </c>
      <c r="AG369">
        <v>0</v>
      </c>
      <c r="AH369">
        <v>0</v>
      </c>
      <c r="AI369" t="b">
        <v>0</v>
      </c>
      <c r="AJ369" t="s">
        <v>55</v>
      </c>
      <c r="AK369" t="s">
        <v>76</v>
      </c>
      <c r="AL369" t="s">
        <v>66</v>
      </c>
      <c r="AM369">
        <v>0</v>
      </c>
      <c r="AN369">
        <v>0</v>
      </c>
      <c r="AO369">
        <v>0</v>
      </c>
      <c r="AP369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s">
        <v>77</v>
      </c>
      <c r="AY369" t="s">
        <v>57</v>
      </c>
      <c r="AZ369" t="s">
        <v>74</v>
      </c>
      <c r="BA369" t="s">
        <v>75</v>
      </c>
      <c r="BB369" t="s">
        <v>55</v>
      </c>
    </row>
    <row r="370" spans="1:54" x14ac:dyDescent="0.25">
      <c r="A370" t="s">
        <v>79</v>
      </c>
      <c r="B370" t="s">
        <v>54</v>
      </c>
      <c r="C370" t="s">
        <v>54</v>
      </c>
      <c r="D370" t="s">
        <v>173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173</v>
      </c>
      <c r="L370">
        <v>-2147483648</v>
      </c>
      <c r="M370">
        <v>-2147483648</v>
      </c>
      <c r="N370">
        <v>-2147483648</v>
      </c>
      <c r="O370">
        <v>0</v>
      </c>
      <c r="P370" t="s">
        <v>59</v>
      </c>
      <c r="Q370">
        <v>0</v>
      </c>
      <c r="R370">
        <v>0</v>
      </c>
      <c r="S370">
        <v>0</v>
      </c>
      <c r="T370" t="s">
        <v>57</v>
      </c>
      <c r="U370">
        <v>0</v>
      </c>
      <c r="V370">
        <v>0</v>
      </c>
      <c r="W370">
        <v>0</v>
      </c>
      <c r="X370">
        <v>-100</v>
      </c>
      <c r="Y370" t="s">
        <v>67</v>
      </c>
      <c r="Z370">
        <v>0</v>
      </c>
      <c r="AA370">
        <v>0</v>
      </c>
      <c r="AB370">
        <v>0</v>
      </c>
      <c r="AC370">
        <v>0</v>
      </c>
      <c r="AD370" t="s">
        <v>60</v>
      </c>
      <c r="AE370">
        <v>0</v>
      </c>
      <c r="AF370">
        <v>0</v>
      </c>
      <c r="AG370">
        <v>0</v>
      </c>
      <c r="AH370">
        <v>0</v>
      </c>
      <c r="AI370" t="b">
        <v>0</v>
      </c>
      <c r="AJ370" t="s">
        <v>55</v>
      </c>
      <c r="AK370" t="s">
        <v>76</v>
      </c>
      <c r="AL370" t="s">
        <v>66</v>
      </c>
      <c r="AM370">
        <v>0</v>
      </c>
      <c r="AN370">
        <v>0</v>
      </c>
      <c r="AO370">
        <v>0</v>
      </c>
      <c r="AP370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s">
        <v>77</v>
      </c>
      <c r="AY370" t="s">
        <v>57</v>
      </c>
      <c r="AZ370" t="s">
        <v>74</v>
      </c>
      <c r="BA370" t="s">
        <v>75</v>
      </c>
      <c r="BB370" t="s">
        <v>55</v>
      </c>
    </row>
    <row r="371" spans="1:54" x14ac:dyDescent="0.25">
      <c r="A371" t="s">
        <v>80</v>
      </c>
      <c r="B371" t="s">
        <v>54</v>
      </c>
      <c r="C371" t="s">
        <v>54</v>
      </c>
      <c r="D371" t="s">
        <v>173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173</v>
      </c>
      <c r="L371">
        <v>-2147483648</v>
      </c>
      <c r="M371">
        <v>-2147483648</v>
      </c>
      <c r="N371">
        <v>-2147483648</v>
      </c>
      <c r="O371">
        <v>0</v>
      </c>
      <c r="P371" t="s">
        <v>59</v>
      </c>
      <c r="Q371">
        <v>0</v>
      </c>
      <c r="R371">
        <v>0</v>
      </c>
      <c r="S371">
        <v>0</v>
      </c>
      <c r="T371" t="s">
        <v>57</v>
      </c>
      <c r="U371">
        <v>0</v>
      </c>
      <c r="V371">
        <v>0</v>
      </c>
      <c r="W371">
        <v>0</v>
      </c>
      <c r="X371">
        <v>-100</v>
      </c>
      <c r="Y371" t="s">
        <v>67</v>
      </c>
      <c r="Z371">
        <v>0</v>
      </c>
      <c r="AA371">
        <v>0</v>
      </c>
      <c r="AB371">
        <v>0</v>
      </c>
      <c r="AC371">
        <v>0</v>
      </c>
      <c r="AD371" t="s">
        <v>60</v>
      </c>
      <c r="AE371">
        <v>0</v>
      </c>
      <c r="AF371">
        <v>0</v>
      </c>
      <c r="AG371">
        <v>0</v>
      </c>
      <c r="AH371">
        <v>0</v>
      </c>
      <c r="AI371" t="b">
        <v>0</v>
      </c>
      <c r="AJ371" t="s">
        <v>55</v>
      </c>
      <c r="AK371" t="s">
        <v>76</v>
      </c>
      <c r="AL371" t="s">
        <v>66</v>
      </c>
      <c r="AM371">
        <v>0</v>
      </c>
      <c r="AN371">
        <v>0</v>
      </c>
      <c r="AO371">
        <v>0</v>
      </c>
      <c r="AP371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s">
        <v>77</v>
      </c>
      <c r="AY371" t="s">
        <v>57</v>
      </c>
      <c r="AZ371" t="s">
        <v>74</v>
      </c>
      <c r="BA371" t="s">
        <v>75</v>
      </c>
      <c r="BB371" t="s">
        <v>55</v>
      </c>
    </row>
    <row r="372" spans="1:54" x14ac:dyDescent="0.25">
      <c r="A372" t="s">
        <v>81</v>
      </c>
      <c r="B372" t="s">
        <v>54</v>
      </c>
      <c r="C372" t="s">
        <v>54</v>
      </c>
      <c r="D372" t="s">
        <v>173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173</v>
      </c>
      <c r="L372">
        <v>-2147483648</v>
      </c>
      <c r="M372">
        <v>-2147483648</v>
      </c>
      <c r="N372">
        <v>-2147483648</v>
      </c>
      <c r="O372">
        <v>0</v>
      </c>
      <c r="P372" t="s">
        <v>59</v>
      </c>
      <c r="Q372">
        <v>0</v>
      </c>
      <c r="R372">
        <v>0</v>
      </c>
      <c r="S372">
        <v>0</v>
      </c>
      <c r="T372" t="s">
        <v>57</v>
      </c>
      <c r="U372">
        <v>0</v>
      </c>
      <c r="V372">
        <v>0</v>
      </c>
      <c r="W372">
        <v>0</v>
      </c>
      <c r="X372">
        <v>-100</v>
      </c>
      <c r="Y372" t="s">
        <v>67</v>
      </c>
      <c r="Z372">
        <v>0</v>
      </c>
      <c r="AA372">
        <v>0</v>
      </c>
      <c r="AB372">
        <v>0</v>
      </c>
      <c r="AC372">
        <v>0</v>
      </c>
      <c r="AD372" t="s">
        <v>60</v>
      </c>
      <c r="AE372">
        <v>0</v>
      </c>
      <c r="AF372">
        <v>0</v>
      </c>
      <c r="AG372">
        <v>0</v>
      </c>
      <c r="AH372">
        <v>0</v>
      </c>
      <c r="AI372" t="b">
        <v>0</v>
      </c>
      <c r="AJ372" t="s">
        <v>55</v>
      </c>
      <c r="AK372" t="s">
        <v>76</v>
      </c>
      <c r="AL372" t="s">
        <v>66</v>
      </c>
      <c r="AM372">
        <v>0</v>
      </c>
      <c r="AN372">
        <v>0</v>
      </c>
      <c r="AO372">
        <v>0</v>
      </c>
      <c r="AP372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s">
        <v>77</v>
      </c>
      <c r="AY372" t="s">
        <v>57</v>
      </c>
      <c r="AZ372" t="s">
        <v>74</v>
      </c>
      <c r="BA372" t="s">
        <v>75</v>
      </c>
      <c r="BB372" t="s">
        <v>55</v>
      </c>
    </row>
    <row r="373" spans="1:54" x14ac:dyDescent="0.25">
      <c r="A373" t="s">
        <v>82</v>
      </c>
      <c r="B373" t="s">
        <v>54</v>
      </c>
      <c r="C373" t="s">
        <v>54</v>
      </c>
      <c r="D373" t="s">
        <v>173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173</v>
      </c>
      <c r="L373">
        <v>-2147483648</v>
      </c>
      <c r="M373">
        <v>-2147483648</v>
      </c>
      <c r="N373">
        <v>-2147483648</v>
      </c>
      <c r="O373">
        <v>0</v>
      </c>
      <c r="P373" t="s">
        <v>59</v>
      </c>
      <c r="Q373">
        <v>0</v>
      </c>
      <c r="R373">
        <v>0</v>
      </c>
      <c r="S373">
        <v>0</v>
      </c>
      <c r="T373" t="s">
        <v>57</v>
      </c>
      <c r="U373">
        <v>0</v>
      </c>
      <c r="V373">
        <v>0</v>
      </c>
      <c r="W373">
        <v>0</v>
      </c>
      <c r="X373">
        <v>-100</v>
      </c>
      <c r="Y373" t="s">
        <v>67</v>
      </c>
      <c r="Z373">
        <v>0</v>
      </c>
      <c r="AA373">
        <v>0</v>
      </c>
      <c r="AB373">
        <v>0</v>
      </c>
      <c r="AC373">
        <v>0</v>
      </c>
      <c r="AD373" t="s">
        <v>60</v>
      </c>
      <c r="AE373">
        <v>0</v>
      </c>
      <c r="AF373">
        <v>0</v>
      </c>
      <c r="AG373">
        <v>0</v>
      </c>
      <c r="AH373">
        <v>0</v>
      </c>
      <c r="AI373" t="b">
        <v>0</v>
      </c>
      <c r="AJ373" t="s">
        <v>55</v>
      </c>
      <c r="AK373" t="s">
        <v>76</v>
      </c>
      <c r="AL373" t="s">
        <v>66</v>
      </c>
      <c r="AM373">
        <v>0</v>
      </c>
      <c r="AN373">
        <v>0</v>
      </c>
      <c r="AO373">
        <v>0</v>
      </c>
      <c r="AP373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s">
        <v>77</v>
      </c>
      <c r="AY373" t="s">
        <v>57</v>
      </c>
      <c r="AZ373" t="s">
        <v>74</v>
      </c>
      <c r="BA373" t="s">
        <v>75</v>
      </c>
      <c r="BB373" t="s">
        <v>55</v>
      </c>
    </row>
    <row r="374" spans="1:54" x14ac:dyDescent="0.25">
      <c r="A374" t="s">
        <v>83</v>
      </c>
      <c r="B374" t="s">
        <v>54</v>
      </c>
      <c r="C374" t="s">
        <v>54</v>
      </c>
      <c r="D374" t="s">
        <v>173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173</v>
      </c>
      <c r="L374">
        <v>-2147483648</v>
      </c>
      <c r="M374">
        <v>-2147483648</v>
      </c>
      <c r="N374">
        <v>-2147483648</v>
      </c>
      <c r="O374">
        <v>0</v>
      </c>
      <c r="P374" t="s">
        <v>59</v>
      </c>
      <c r="Q374">
        <v>0</v>
      </c>
      <c r="R374">
        <v>0</v>
      </c>
      <c r="S374">
        <v>0</v>
      </c>
      <c r="T374" t="s">
        <v>57</v>
      </c>
      <c r="U374">
        <v>0</v>
      </c>
      <c r="V374">
        <v>0</v>
      </c>
      <c r="W374">
        <v>0</v>
      </c>
      <c r="X374">
        <v>-100</v>
      </c>
      <c r="Y374" t="s">
        <v>67</v>
      </c>
      <c r="Z374">
        <v>0</v>
      </c>
      <c r="AA374">
        <v>0</v>
      </c>
      <c r="AB374">
        <v>0</v>
      </c>
      <c r="AC374">
        <v>0</v>
      </c>
      <c r="AD374" t="s">
        <v>60</v>
      </c>
      <c r="AE374">
        <v>0</v>
      </c>
      <c r="AF374">
        <v>0</v>
      </c>
      <c r="AG374">
        <v>0</v>
      </c>
      <c r="AH374">
        <v>0</v>
      </c>
      <c r="AI374" t="b">
        <v>0</v>
      </c>
      <c r="AJ374" t="s">
        <v>55</v>
      </c>
      <c r="AK374" t="s">
        <v>76</v>
      </c>
      <c r="AL374" t="s">
        <v>66</v>
      </c>
      <c r="AM374">
        <v>0</v>
      </c>
      <c r="AN374">
        <v>0</v>
      </c>
      <c r="AO374">
        <v>0</v>
      </c>
      <c r="AP374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s">
        <v>77</v>
      </c>
      <c r="AY374" t="s">
        <v>57</v>
      </c>
      <c r="AZ374" t="s">
        <v>74</v>
      </c>
      <c r="BA374" t="s">
        <v>75</v>
      </c>
      <c r="BB374" t="s">
        <v>55</v>
      </c>
    </row>
    <row r="375" spans="1:54" x14ac:dyDescent="0.25">
      <c r="A375" t="s">
        <v>84</v>
      </c>
      <c r="B375" t="s">
        <v>54</v>
      </c>
      <c r="C375" t="s">
        <v>54</v>
      </c>
      <c r="D375" t="s">
        <v>173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173</v>
      </c>
      <c r="L375">
        <v>-2147483648</v>
      </c>
      <c r="M375">
        <v>-2147483648</v>
      </c>
      <c r="N375">
        <v>-2147483648</v>
      </c>
      <c r="O375">
        <v>0</v>
      </c>
      <c r="P375" t="s">
        <v>59</v>
      </c>
      <c r="Q375">
        <v>0</v>
      </c>
      <c r="R375">
        <v>0</v>
      </c>
      <c r="S375">
        <v>0</v>
      </c>
      <c r="T375" t="s">
        <v>57</v>
      </c>
      <c r="U375">
        <v>0</v>
      </c>
      <c r="V375">
        <v>0</v>
      </c>
      <c r="W375">
        <v>0</v>
      </c>
      <c r="X375">
        <v>-100</v>
      </c>
      <c r="Y375" t="s">
        <v>67</v>
      </c>
      <c r="Z375">
        <v>0</v>
      </c>
      <c r="AA375">
        <v>0</v>
      </c>
      <c r="AB375">
        <v>0</v>
      </c>
      <c r="AC375">
        <v>0</v>
      </c>
      <c r="AD375" t="s">
        <v>60</v>
      </c>
      <c r="AE375">
        <v>0</v>
      </c>
      <c r="AF375">
        <v>0</v>
      </c>
      <c r="AG375">
        <v>0</v>
      </c>
      <c r="AH375">
        <v>0</v>
      </c>
      <c r="AI375" t="b">
        <v>0</v>
      </c>
      <c r="AJ375" t="s">
        <v>55</v>
      </c>
      <c r="AK375" t="s">
        <v>76</v>
      </c>
      <c r="AL375" t="s">
        <v>66</v>
      </c>
      <c r="AM375">
        <v>0</v>
      </c>
      <c r="AN375">
        <v>0</v>
      </c>
      <c r="AO375">
        <v>0</v>
      </c>
      <c r="AP375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s">
        <v>77</v>
      </c>
      <c r="AY375" t="s">
        <v>57</v>
      </c>
      <c r="AZ375" t="s">
        <v>74</v>
      </c>
      <c r="BA375" t="s">
        <v>75</v>
      </c>
      <c r="BB375" t="s">
        <v>55</v>
      </c>
    </row>
    <row r="376" spans="1:54" x14ac:dyDescent="0.25">
      <c r="A376" t="s">
        <v>85</v>
      </c>
      <c r="B376" t="s">
        <v>54</v>
      </c>
      <c r="C376" t="s">
        <v>54</v>
      </c>
      <c r="D376" t="s">
        <v>173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173</v>
      </c>
      <c r="L376">
        <v>-2147483648</v>
      </c>
      <c r="M376">
        <v>-2147483648</v>
      </c>
      <c r="N376">
        <v>-2147483648</v>
      </c>
      <c r="O376">
        <v>0</v>
      </c>
      <c r="P376" t="s">
        <v>59</v>
      </c>
      <c r="Q376">
        <v>0</v>
      </c>
      <c r="R376">
        <v>0</v>
      </c>
      <c r="S376">
        <v>0</v>
      </c>
      <c r="T376" t="s">
        <v>57</v>
      </c>
      <c r="U376">
        <v>0</v>
      </c>
      <c r="V376">
        <v>0</v>
      </c>
      <c r="W376">
        <v>0</v>
      </c>
      <c r="X376">
        <v>-100</v>
      </c>
      <c r="Y376" t="s">
        <v>67</v>
      </c>
      <c r="Z376">
        <v>0</v>
      </c>
      <c r="AA376">
        <v>0</v>
      </c>
      <c r="AB376">
        <v>0</v>
      </c>
      <c r="AC376">
        <v>0</v>
      </c>
      <c r="AD376" t="s">
        <v>60</v>
      </c>
      <c r="AE376">
        <v>0</v>
      </c>
      <c r="AF376">
        <v>0</v>
      </c>
      <c r="AG376">
        <v>0</v>
      </c>
      <c r="AH376">
        <v>0</v>
      </c>
      <c r="AI376" t="b">
        <v>0</v>
      </c>
      <c r="AJ376" t="s">
        <v>55</v>
      </c>
      <c r="AK376" t="s">
        <v>76</v>
      </c>
      <c r="AL376" t="s">
        <v>66</v>
      </c>
      <c r="AM376">
        <v>0</v>
      </c>
      <c r="AN376">
        <v>0</v>
      </c>
      <c r="AO376">
        <v>0</v>
      </c>
      <c r="AP376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s">
        <v>77</v>
      </c>
      <c r="AY376" t="s">
        <v>57</v>
      </c>
      <c r="AZ376" t="s">
        <v>74</v>
      </c>
      <c r="BA376" t="s">
        <v>75</v>
      </c>
      <c r="BB376" t="s">
        <v>55</v>
      </c>
    </row>
    <row r="377" spans="1:54" x14ac:dyDescent="0.25">
      <c r="A377" t="s">
        <v>86</v>
      </c>
      <c r="B377" t="s">
        <v>54</v>
      </c>
      <c r="C377" t="s">
        <v>54</v>
      </c>
      <c r="D377" t="s">
        <v>173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173</v>
      </c>
      <c r="L377">
        <v>-2147483648</v>
      </c>
      <c r="M377">
        <v>-2147483648</v>
      </c>
      <c r="N377">
        <v>-2147483648</v>
      </c>
      <c r="O377">
        <v>0</v>
      </c>
      <c r="P377" t="s">
        <v>59</v>
      </c>
      <c r="Q377">
        <v>0</v>
      </c>
      <c r="R377">
        <v>0</v>
      </c>
      <c r="S377">
        <v>0</v>
      </c>
      <c r="T377" t="s">
        <v>57</v>
      </c>
      <c r="U377">
        <v>0</v>
      </c>
      <c r="V377">
        <v>0</v>
      </c>
      <c r="W377">
        <v>0</v>
      </c>
      <c r="X377">
        <v>-100</v>
      </c>
      <c r="Y377" t="s">
        <v>67</v>
      </c>
      <c r="Z377">
        <v>0</v>
      </c>
      <c r="AA377">
        <v>0</v>
      </c>
      <c r="AB377">
        <v>0</v>
      </c>
      <c r="AC377">
        <v>0</v>
      </c>
      <c r="AD377" t="s">
        <v>60</v>
      </c>
      <c r="AE377">
        <v>0</v>
      </c>
      <c r="AF377">
        <v>0</v>
      </c>
      <c r="AG377">
        <v>0</v>
      </c>
      <c r="AH377">
        <v>0</v>
      </c>
      <c r="AI377" t="b">
        <v>0</v>
      </c>
      <c r="AJ377" t="s">
        <v>55</v>
      </c>
      <c r="AK377" t="s">
        <v>76</v>
      </c>
      <c r="AL377" t="s">
        <v>66</v>
      </c>
      <c r="AM377">
        <v>0</v>
      </c>
      <c r="AN377">
        <v>0</v>
      </c>
      <c r="AO377">
        <v>0</v>
      </c>
      <c r="AP377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s">
        <v>77</v>
      </c>
      <c r="AY377" t="s">
        <v>57</v>
      </c>
      <c r="AZ377" t="s">
        <v>74</v>
      </c>
      <c r="BA377" t="s">
        <v>75</v>
      </c>
      <c r="BB377" t="s">
        <v>55</v>
      </c>
    </row>
    <row r="378" spans="1:54" x14ac:dyDescent="0.25">
      <c r="A378" t="s">
        <v>87</v>
      </c>
      <c r="B378" t="s">
        <v>54</v>
      </c>
      <c r="C378" t="s">
        <v>54</v>
      </c>
      <c r="D378" t="s">
        <v>173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173</v>
      </c>
      <c r="L378">
        <v>-2147483648</v>
      </c>
      <c r="M378">
        <v>-2147483648</v>
      </c>
      <c r="N378">
        <v>-2147483648</v>
      </c>
      <c r="O378">
        <v>0</v>
      </c>
      <c r="P378" t="s">
        <v>59</v>
      </c>
      <c r="Q378">
        <v>0</v>
      </c>
      <c r="R378">
        <v>0</v>
      </c>
      <c r="S378">
        <v>0</v>
      </c>
      <c r="T378" t="s">
        <v>57</v>
      </c>
      <c r="U378">
        <v>0</v>
      </c>
      <c r="V378">
        <v>0</v>
      </c>
      <c r="W378">
        <v>0</v>
      </c>
      <c r="X378">
        <v>-100</v>
      </c>
      <c r="Y378" t="s">
        <v>67</v>
      </c>
      <c r="Z378">
        <v>0</v>
      </c>
      <c r="AA378">
        <v>0</v>
      </c>
      <c r="AB378">
        <v>0</v>
      </c>
      <c r="AC378">
        <v>0</v>
      </c>
      <c r="AD378" t="s">
        <v>60</v>
      </c>
      <c r="AE378">
        <v>0</v>
      </c>
      <c r="AF378">
        <v>0</v>
      </c>
      <c r="AG378">
        <v>0</v>
      </c>
      <c r="AH378">
        <v>0</v>
      </c>
      <c r="AI378" t="b">
        <v>0</v>
      </c>
      <c r="AJ378" t="s">
        <v>55</v>
      </c>
      <c r="AK378" t="s">
        <v>76</v>
      </c>
      <c r="AL378" t="s">
        <v>66</v>
      </c>
      <c r="AM378">
        <v>0</v>
      </c>
      <c r="AN378">
        <v>0</v>
      </c>
      <c r="AO378">
        <v>0</v>
      </c>
      <c r="AP378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s">
        <v>77</v>
      </c>
      <c r="AY378" t="s">
        <v>57</v>
      </c>
      <c r="AZ378" t="s">
        <v>74</v>
      </c>
      <c r="BA378" t="s">
        <v>75</v>
      </c>
      <c r="BB378" t="s">
        <v>55</v>
      </c>
    </row>
    <row r="379" spans="1:54" x14ac:dyDescent="0.25">
      <c r="A379" t="s">
        <v>88</v>
      </c>
      <c r="B379" t="s">
        <v>54</v>
      </c>
      <c r="C379" t="s">
        <v>54</v>
      </c>
      <c r="D379" t="s">
        <v>173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173</v>
      </c>
      <c r="L379">
        <v>-2147483648</v>
      </c>
      <c r="M379">
        <v>-2147483648</v>
      </c>
      <c r="N379">
        <v>-2147483648</v>
      </c>
      <c r="O379">
        <v>0</v>
      </c>
      <c r="P379" t="s">
        <v>59</v>
      </c>
      <c r="Q379">
        <v>0</v>
      </c>
      <c r="R379">
        <v>0</v>
      </c>
      <c r="S379">
        <v>0</v>
      </c>
      <c r="T379" t="s">
        <v>57</v>
      </c>
      <c r="U379">
        <v>0</v>
      </c>
      <c r="V379">
        <v>0</v>
      </c>
      <c r="W379">
        <v>0</v>
      </c>
      <c r="X379">
        <v>-100</v>
      </c>
      <c r="Y379" t="s">
        <v>67</v>
      </c>
      <c r="Z379">
        <v>0</v>
      </c>
      <c r="AA379">
        <v>0</v>
      </c>
      <c r="AB379">
        <v>0</v>
      </c>
      <c r="AC379">
        <v>0</v>
      </c>
      <c r="AD379" t="s">
        <v>60</v>
      </c>
      <c r="AE379">
        <v>0</v>
      </c>
      <c r="AF379">
        <v>0</v>
      </c>
      <c r="AG379">
        <v>0</v>
      </c>
      <c r="AH379">
        <v>0</v>
      </c>
      <c r="AI379" t="b">
        <v>0</v>
      </c>
      <c r="AJ379" t="s">
        <v>55</v>
      </c>
      <c r="AK379" t="s">
        <v>76</v>
      </c>
      <c r="AL379" t="s">
        <v>66</v>
      </c>
      <c r="AM379">
        <v>0</v>
      </c>
      <c r="AN379">
        <v>0</v>
      </c>
      <c r="AO379">
        <v>0</v>
      </c>
      <c r="AP379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s">
        <v>77</v>
      </c>
      <c r="AY379" t="s">
        <v>57</v>
      </c>
      <c r="AZ379" t="s">
        <v>74</v>
      </c>
      <c r="BA379" t="s">
        <v>75</v>
      </c>
      <c r="BB379" t="s">
        <v>55</v>
      </c>
    </row>
    <row r="380" spans="1:54" x14ac:dyDescent="0.25">
      <c r="A380" t="s">
        <v>89</v>
      </c>
      <c r="B380" t="s">
        <v>54</v>
      </c>
      <c r="C380" t="s">
        <v>54</v>
      </c>
      <c r="D380" t="s">
        <v>173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173</v>
      </c>
      <c r="L380">
        <v>-2147483648</v>
      </c>
      <c r="M380">
        <v>-2147483648</v>
      </c>
      <c r="N380">
        <v>-2147483648</v>
      </c>
      <c r="O380">
        <v>0</v>
      </c>
      <c r="P380" t="s">
        <v>59</v>
      </c>
      <c r="Q380">
        <v>0</v>
      </c>
      <c r="R380">
        <v>0</v>
      </c>
      <c r="S380">
        <v>0</v>
      </c>
      <c r="T380" t="s">
        <v>57</v>
      </c>
      <c r="U380">
        <v>0</v>
      </c>
      <c r="V380">
        <v>0</v>
      </c>
      <c r="W380">
        <v>0</v>
      </c>
      <c r="X380">
        <v>-100</v>
      </c>
      <c r="Y380" t="s">
        <v>67</v>
      </c>
      <c r="Z380">
        <v>0</v>
      </c>
      <c r="AA380">
        <v>0</v>
      </c>
      <c r="AB380">
        <v>0</v>
      </c>
      <c r="AC380">
        <v>0</v>
      </c>
      <c r="AD380" t="s">
        <v>60</v>
      </c>
      <c r="AE380">
        <v>0</v>
      </c>
      <c r="AF380">
        <v>0</v>
      </c>
      <c r="AG380">
        <v>0</v>
      </c>
      <c r="AH380">
        <v>0</v>
      </c>
      <c r="AI380" t="b">
        <v>0</v>
      </c>
      <c r="AJ380" t="s">
        <v>55</v>
      </c>
      <c r="AK380" t="s">
        <v>76</v>
      </c>
      <c r="AL380" t="s">
        <v>66</v>
      </c>
      <c r="AM380">
        <v>0</v>
      </c>
      <c r="AN380">
        <v>0</v>
      </c>
      <c r="AO380">
        <v>0</v>
      </c>
      <c r="AP380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s">
        <v>77</v>
      </c>
      <c r="AY380" t="s">
        <v>57</v>
      </c>
      <c r="AZ380" t="s">
        <v>74</v>
      </c>
      <c r="BA380" t="s">
        <v>75</v>
      </c>
      <c r="BB380" t="s">
        <v>55</v>
      </c>
    </row>
    <row r="381" spans="1:54" x14ac:dyDescent="0.25">
      <c r="A381" t="s">
        <v>90</v>
      </c>
      <c r="B381" t="s">
        <v>54</v>
      </c>
      <c r="C381" t="s">
        <v>54</v>
      </c>
      <c r="D381" t="s">
        <v>173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173</v>
      </c>
      <c r="L381">
        <v>-2147483648</v>
      </c>
      <c r="M381">
        <v>-2147483648</v>
      </c>
      <c r="N381">
        <v>-2147483648</v>
      </c>
      <c r="O381">
        <v>0</v>
      </c>
      <c r="P381" t="s">
        <v>59</v>
      </c>
      <c r="Q381">
        <v>0</v>
      </c>
      <c r="R381">
        <v>0</v>
      </c>
      <c r="S381">
        <v>0</v>
      </c>
      <c r="T381" t="s">
        <v>57</v>
      </c>
      <c r="U381">
        <v>0</v>
      </c>
      <c r="V381">
        <v>0</v>
      </c>
      <c r="W381">
        <v>0</v>
      </c>
      <c r="X381">
        <v>-100</v>
      </c>
      <c r="Y381" t="s">
        <v>67</v>
      </c>
      <c r="Z381">
        <v>0</v>
      </c>
      <c r="AA381">
        <v>0</v>
      </c>
      <c r="AB381">
        <v>0</v>
      </c>
      <c r="AC381">
        <v>0</v>
      </c>
      <c r="AD381" t="s">
        <v>60</v>
      </c>
      <c r="AE381">
        <v>0</v>
      </c>
      <c r="AF381">
        <v>0</v>
      </c>
      <c r="AG381">
        <v>0</v>
      </c>
      <c r="AH381">
        <v>0</v>
      </c>
      <c r="AI381" t="b">
        <v>0</v>
      </c>
      <c r="AJ381" t="s">
        <v>55</v>
      </c>
      <c r="AK381" t="s">
        <v>76</v>
      </c>
      <c r="AL381" t="s">
        <v>66</v>
      </c>
      <c r="AM381">
        <v>0</v>
      </c>
      <c r="AN381">
        <v>0</v>
      </c>
      <c r="AO381">
        <v>0</v>
      </c>
      <c r="AP381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s">
        <v>77</v>
      </c>
      <c r="AY381" t="s">
        <v>57</v>
      </c>
      <c r="AZ381" t="s">
        <v>74</v>
      </c>
      <c r="BA381" t="s">
        <v>75</v>
      </c>
      <c r="BB381" t="s">
        <v>55</v>
      </c>
    </row>
    <row r="382" spans="1:54" x14ac:dyDescent="0.25">
      <c r="A382" t="s">
        <v>91</v>
      </c>
      <c r="B382" t="s">
        <v>54</v>
      </c>
      <c r="C382" t="s">
        <v>54</v>
      </c>
      <c r="D382" t="s">
        <v>173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173</v>
      </c>
      <c r="L382">
        <v>-2147483648</v>
      </c>
      <c r="M382">
        <v>-2147483648</v>
      </c>
      <c r="N382">
        <v>-2147483648</v>
      </c>
      <c r="O382">
        <v>0</v>
      </c>
      <c r="P382" t="s">
        <v>59</v>
      </c>
      <c r="Q382">
        <v>0</v>
      </c>
      <c r="R382">
        <v>0</v>
      </c>
      <c r="S382">
        <v>0</v>
      </c>
      <c r="T382" t="s">
        <v>57</v>
      </c>
      <c r="U382">
        <v>0</v>
      </c>
      <c r="V382">
        <v>0</v>
      </c>
      <c r="W382">
        <v>0</v>
      </c>
      <c r="X382">
        <v>-100</v>
      </c>
      <c r="Y382" t="s">
        <v>67</v>
      </c>
      <c r="Z382">
        <v>0</v>
      </c>
      <c r="AA382">
        <v>0</v>
      </c>
      <c r="AB382">
        <v>0</v>
      </c>
      <c r="AC382">
        <v>0</v>
      </c>
      <c r="AD382" t="s">
        <v>60</v>
      </c>
      <c r="AE382">
        <v>0</v>
      </c>
      <c r="AF382">
        <v>0</v>
      </c>
      <c r="AG382">
        <v>0</v>
      </c>
      <c r="AH382">
        <v>0</v>
      </c>
      <c r="AI382" t="b">
        <v>0</v>
      </c>
      <c r="AJ382" t="s">
        <v>55</v>
      </c>
      <c r="AK382" t="s">
        <v>76</v>
      </c>
      <c r="AL382" t="s">
        <v>66</v>
      </c>
      <c r="AM382">
        <v>0</v>
      </c>
      <c r="AN382">
        <v>0</v>
      </c>
      <c r="AO382">
        <v>0</v>
      </c>
      <c r="AP382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s">
        <v>77</v>
      </c>
      <c r="AY382" t="s">
        <v>57</v>
      </c>
      <c r="AZ382" t="s">
        <v>74</v>
      </c>
      <c r="BA382" t="s">
        <v>75</v>
      </c>
      <c r="BB382" t="s">
        <v>55</v>
      </c>
    </row>
    <row r="383" spans="1:54" x14ac:dyDescent="0.25">
      <c r="A383" t="s">
        <v>92</v>
      </c>
      <c r="B383" t="s">
        <v>54</v>
      </c>
      <c r="C383" t="s">
        <v>54</v>
      </c>
      <c r="D383" t="s">
        <v>173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173</v>
      </c>
      <c r="L383">
        <v>-2147483648</v>
      </c>
      <c r="M383">
        <v>-2147483648</v>
      </c>
      <c r="N383">
        <v>-2147483648</v>
      </c>
      <c r="O383">
        <v>0</v>
      </c>
      <c r="P383" t="s">
        <v>59</v>
      </c>
      <c r="Q383">
        <v>0</v>
      </c>
      <c r="R383">
        <v>0</v>
      </c>
      <c r="S383">
        <v>0</v>
      </c>
      <c r="T383" t="s">
        <v>57</v>
      </c>
      <c r="U383">
        <v>0</v>
      </c>
      <c r="V383">
        <v>0</v>
      </c>
      <c r="W383">
        <v>0</v>
      </c>
      <c r="X383">
        <v>-100</v>
      </c>
      <c r="Y383" t="s">
        <v>67</v>
      </c>
      <c r="Z383">
        <v>0</v>
      </c>
      <c r="AA383">
        <v>0</v>
      </c>
      <c r="AB383">
        <v>0</v>
      </c>
      <c r="AC383">
        <v>0</v>
      </c>
      <c r="AD383" t="s">
        <v>60</v>
      </c>
      <c r="AE383">
        <v>0</v>
      </c>
      <c r="AF383">
        <v>0</v>
      </c>
      <c r="AG383">
        <v>0</v>
      </c>
      <c r="AH383">
        <v>0</v>
      </c>
      <c r="AI383" t="b">
        <v>0</v>
      </c>
      <c r="AJ383" t="s">
        <v>55</v>
      </c>
      <c r="AK383" t="s">
        <v>76</v>
      </c>
      <c r="AL383" t="s">
        <v>66</v>
      </c>
      <c r="AM383">
        <v>0</v>
      </c>
      <c r="AN383">
        <v>0</v>
      </c>
      <c r="AO383">
        <v>0</v>
      </c>
      <c r="AP383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s">
        <v>77</v>
      </c>
      <c r="AY383" t="s">
        <v>57</v>
      </c>
      <c r="AZ383" t="s">
        <v>74</v>
      </c>
      <c r="BA383" t="s">
        <v>75</v>
      </c>
      <c r="BB383" t="s">
        <v>55</v>
      </c>
    </row>
    <row r="384" spans="1:54" x14ac:dyDescent="0.25">
      <c r="A384" t="s">
        <v>93</v>
      </c>
      <c r="B384" t="s">
        <v>54</v>
      </c>
      <c r="C384" t="s">
        <v>54</v>
      </c>
      <c r="D384" t="s">
        <v>173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173</v>
      </c>
      <c r="L384">
        <v>-2147483648</v>
      </c>
      <c r="M384">
        <v>-2147483648</v>
      </c>
      <c r="N384">
        <v>-2147483648</v>
      </c>
      <c r="O384">
        <v>0</v>
      </c>
      <c r="P384" t="s">
        <v>59</v>
      </c>
      <c r="Q384">
        <v>0</v>
      </c>
      <c r="R384">
        <v>0</v>
      </c>
      <c r="S384">
        <v>0</v>
      </c>
      <c r="T384" t="s">
        <v>57</v>
      </c>
      <c r="U384">
        <v>0</v>
      </c>
      <c r="V384">
        <v>0</v>
      </c>
      <c r="W384">
        <v>0</v>
      </c>
      <c r="X384">
        <v>-100</v>
      </c>
      <c r="Y384" t="s">
        <v>67</v>
      </c>
      <c r="Z384">
        <v>0</v>
      </c>
      <c r="AA384">
        <v>0</v>
      </c>
      <c r="AB384">
        <v>0</v>
      </c>
      <c r="AC384">
        <v>0</v>
      </c>
      <c r="AD384" t="s">
        <v>60</v>
      </c>
      <c r="AE384">
        <v>0</v>
      </c>
      <c r="AF384">
        <v>0</v>
      </c>
      <c r="AG384">
        <v>0</v>
      </c>
      <c r="AH384">
        <v>0</v>
      </c>
      <c r="AI384" t="b">
        <v>0</v>
      </c>
      <c r="AJ384" t="s">
        <v>55</v>
      </c>
      <c r="AK384" t="s">
        <v>76</v>
      </c>
      <c r="AL384" t="s">
        <v>66</v>
      </c>
      <c r="AM384">
        <v>0</v>
      </c>
      <c r="AN384">
        <v>0</v>
      </c>
      <c r="AO384">
        <v>0</v>
      </c>
      <c r="AP384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s">
        <v>77</v>
      </c>
      <c r="AY384" t="s">
        <v>57</v>
      </c>
      <c r="AZ384" t="s">
        <v>74</v>
      </c>
      <c r="BA384" t="s">
        <v>75</v>
      </c>
      <c r="BB384" t="s">
        <v>55</v>
      </c>
    </row>
    <row r="385" spans="1:54" x14ac:dyDescent="0.25">
      <c r="A385" t="s">
        <v>94</v>
      </c>
      <c r="B385" t="s">
        <v>54</v>
      </c>
      <c r="C385" t="s">
        <v>54</v>
      </c>
      <c r="D385" t="s">
        <v>173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173</v>
      </c>
      <c r="L385">
        <v>-2147483648</v>
      </c>
      <c r="M385">
        <v>-2147483648</v>
      </c>
      <c r="N385">
        <v>-2147483648</v>
      </c>
      <c r="O385">
        <v>0</v>
      </c>
      <c r="P385" t="s">
        <v>59</v>
      </c>
      <c r="Q385">
        <v>0</v>
      </c>
      <c r="R385">
        <v>0</v>
      </c>
      <c r="S385">
        <v>0</v>
      </c>
      <c r="T385" t="s">
        <v>57</v>
      </c>
      <c r="U385">
        <v>0</v>
      </c>
      <c r="V385">
        <v>0</v>
      </c>
      <c r="W385">
        <v>0</v>
      </c>
      <c r="X385">
        <v>-100</v>
      </c>
      <c r="Y385" t="s">
        <v>67</v>
      </c>
      <c r="Z385">
        <v>0</v>
      </c>
      <c r="AA385">
        <v>0</v>
      </c>
      <c r="AB385">
        <v>0</v>
      </c>
      <c r="AC385">
        <v>0</v>
      </c>
      <c r="AD385" t="s">
        <v>60</v>
      </c>
      <c r="AE385">
        <v>0</v>
      </c>
      <c r="AF385">
        <v>0</v>
      </c>
      <c r="AG385">
        <v>0</v>
      </c>
      <c r="AH385">
        <v>0</v>
      </c>
      <c r="AI385" t="b">
        <v>0</v>
      </c>
      <c r="AJ385" t="s">
        <v>55</v>
      </c>
      <c r="AK385" t="s">
        <v>76</v>
      </c>
      <c r="AL385" t="s">
        <v>66</v>
      </c>
      <c r="AM385">
        <v>0</v>
      </c>
      <c r="AN385">
        <v>0</v>
      </c>
      <c r="AO385">
        <v>0</v>
      </c>
      <c r="AP385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s">
        <v>77</v>
      </c>
      <c r="AY385" t="s">
        <v>57</v>
      </c>
      <c r="AZ385" t="s">
        <v>74</v>
      </c>
      <c r="BA385" t="s">
        <v>75</v>
      </c>
      <c r="BB385" t="s">
        <v>55</v>
      </c>
    </row>
    <row r="386" spans="1:54" x14ac:dyDescent="0.25">
      <c r="A386" t="s">
        <v>95</v>
      </c>
      <c r="B386" t="s">
        <v>54</v>
      </c>
      <c r="C386" t="s">
        <v>54</v>
      </c>
      <c r="D386" t="s">
        <v>173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173</v>
      </c>
      <c r="L386">
        <v>-2147483648</v>
      </c>
      <c r="M386">
        <v>-2147483648</v>
      </c>
      <c r="N386">
        <v>-2147483648</v>
      </c>
      <c r="O386">
        <v>0</v>
      </c>
      <c r="P386" t="s">
        <v>59</v>
      </c>
      <c r="Q386">
        <v>0</v>
      </c>
      <c r="R386">
        <v>0</v>
      </c>
      <c r="S386">
        <v>0</v>
      </c>
      <c r="T386" t="s">
        <v>57</v>
      </c>
      <c r="U386">
        <v>0</v>
      </c>
      <c r="V386">
        <v>0</v>
      </c>
      <c r="W386">
        <v>0</v>
      </c>
      <c r="X386">
        <v>-100</v>
      </c>
      <c r="Y386" t="s">
        <v>67</v>
      </c>
      <c r="Z386">
        <v>0</v>
      </c>
      <c r="AA386">
        <v>0</v>
      </c>
      <c r="AB386">
        <v>0</v>
      </c>
      <c r="AC386">
        <v>0</v>
      </c>
      <c r="AD386" t="s">
        <v>60</v>
      </c>
      <c r="AE386">
        <v>0</v>
      </c>
      <c r="AF386">
        <v>0</v>
      </c>
      <c r="AG386">
        <v>0</v>
      </c>
      <c r="AH386">
        <v>0</v>
      </c>
      <c r="AI386" t="b">
        <v>0</v>
      </c>
      <c r="AJ386" t="s">
        <v>55</v>
      </c>
      <c r="AK386" t="s">
        <v>76</v>
      </c>
      <c r="AL386" t="s">
        <v>66</v>
      </c>
      <c r="AM386">
        <v>0</v>
      </c>
      <c r="AN386">
        <v>0</v>
      </c>
      <c r="AO386">
        <v>0</v>
      </c>
      <c r="AP386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s">
        <v>77</v>
      </c>
      <c r="AY386" t="s">
        <v>57</v>
      </c>
      <c r="AZ386" t="s">
        <v>74</v>
      </c>
      <c r="BA386" t="s">
        <v>75</v>
      </c>
      <c r="BB386" t="s">
        <v>55</v>
      </c>
    </row>
    <row r="387" spans="1:54" x14ac:dyDescent="0.25">
      <c r="A387" t="s">
        <v>96</v>
      </c>
      <c r="B387" t="s">
        <v>54</v>
      </c>
      <c r="C387" t="s">
        <v>54</v>
      </c>
      <c r="D387" t="s">
        <v>173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173</v>
      </c>
      <c r="L387">
        <v>-2147483648</v>
      </c>
      <c r="M387">
        <v>-2147483648</v>
      </c>
      <c r="N387">
        <v>-2147483648</v>
      </c>
      <c r="O387">
        <v>0</v>
      </c>
      <c r="P387" t="s">
        <v>59</v>
      </c>
      <c r="Q387">
        <v>0</v>
      </c>
      <c r="R387">
        <v>0</v>
      </c>
      <c r="S387">
        <v>0</v>
      </c>
      <c r="T387" t="s">
        <v>57</v>
      </c>
      <c r="U387">
        <v>0</v>
      </c>
      <c r="V387">
        <v>0</v>
      </c>
      <c r="W387">
        <v>0</v>
      </c>
      <c r="X387">
        <v>-100</v>
      </c>
      <c r="Y387" t="s">
        <v>67</v>
      </c>
      <c r="Z387">
        <v>0</v>
      </c>
      <c r="AA387">
        <v>0</v>
      </c>
      <c r="AB387">
        <v>0</v>
      </c>
      <c r="AC387">
        <v>0</v>
      </c>
      <c r="AD387" t="s">
        <v>60</v>
      </c>
      <c r="AE387">
        <v>0</v>
      </c>
      <c r="AF387">
        <v>0</v>
      </c>
      <c r="AG387">
        <v>0</v>
      </c>
      <c r="AH387">
        <v>0</v>
      </c>
      <c r="AI387" t="b">
        <v>0</v>
      </c>
      <c r="AJ387" t="s">
        <v>55</v>
      </c>
      <c r="AK387" t="s">
        <v>76</v>
      </c>
      <c r="AL387" t="s">
        <v>66</v>
      </c>
      <c r="AM387">
        <v>0</v>
      </c>
      <c r="AN387">
        <v>0</v>
      </c>
      <c r="AO387">
        <v>0</v>
      </c>
      <c r="AP387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s">
        <v>77</v>
      </c>
      <c r="AY387" t="s">
        <v>57</v>
      </c>
      <c r="AZ387" t="s">
        <v>74</v>
      </c>
      <c r="BA387" t="s">
        <v>75</v>
      </c>
      <c r="BB387" t="s">
        <v>55</v>
      </c>
    </row>
    <row r="388" spans="1:54" x14ac:dyDescent="0.25">
      <c r="A388" t="s">
        <v>97</v>
      </c>
      <c r="B388" t="s">
        <v>54</v>
      </c>
      <c r="C388" t="s">
        <v>54</v>
      </c>
      <c r="D388" t="s">
        <v>173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173</v>
      </c>
      <c r="L388">
        <v>-2147483648</v>
      </c>
      <c r="M388">
        <v>-2147483648</v>
      </c>
      <c r="N388">
        <v>-2147483648</v>
      </c>
      <c r="O388">
        <v>0</v>
      </c>
      <c r="P388" t="s">
        <v>59</v>
      </c>
      <c r="Q388">
        <v>0</v>
      </c>
      <c r="R388">
        <v>0</v>
      </c>
      <c r="S388">
        <v>0</v>
      </c>
      <c r="T388" t="s">
        <v>57</v>
      </c>
      <c r="U388">
        <v>0</v>
      </c>
      <c r="V388">
        <v>0</v>
      </c>
      <c r="W388">
        <v>0</v>
      </c>
      <c r="X388">
        <v>-100</v>
      </c>
      <c r="Y388" t="s">
        <v>67</v>
      </c>
      <c r="Z388">
        <v>0</v>
      </c>
      <c r="AA388">
        <v>0</v>
      </c>
      <c r="AB388">
        <v>0</v>
      </c>
      <c r="AC388">
        <v>0</v>
      </c>
      <c r="AD388" t="s">
        <v>60</v>
      </c>
      <c r="AE388">
        <v>0</v>
      </c>
      <c r="AF388">
        <v>0</v>
      </c>
      <c r="AG388">
        <v>0</v>
      </c>
      <c r="AH388">
        <v>0</v>
      </c>
      <c r="AI388" t="b">
        <v>0</v>
      </c>
      <c r="AJ388" t="s">
        <v>55</v>
      </c>
      <c r="AK388" t="s">
        <v>76</v>
      </c>
      <c r="AL388" t="s">
        <v>66</v>
      </c>
      <c r="AM388">
        <v>0</v>
      </c>
      <c r="AN388">
        <v>0</v>
      </c>
      <c r="AO388">
        <v>0</v>
      </c>
      <c r="AP388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s">
        <v>77</v>
      </c>
      <c r="AY388" t="s">
        <v>57</v>
      </c>
      <c r="AZ388" t="s">
        <v>74</v>
      </c>
      <c r="BA388" t="s">
        <v>75</v>
      </c>
      <c r="BB388" t="s">
        <v>55</v>
      </c>
    </row>
    <row r="389" spans="1:54" x14ac:dyDescent="0.25">
      <c r="A389" t="s">
        <v>98</v>
      </c>
      <c r="B389" t="s">
        <v>54</v>
      </c>
      <c r="C389" t="s">
        <v>54</v>
      </c>
      <c r="D389" t="s">
        <v>173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173</v>
      </c>
      <c r="L389">
        <v>-2147483648</v>
      </c>
      <c r="M389">
        <v>-2147483648</v>
      </c>
      <c r="N389">
        <v>-2147483648</v>
      </c>
      <c r="O389">
        <v>0</v>
      </c>
      <c r="P389" t="s">
        <v>59</v>
      </c>
      <c r="Q389">
        <v>0</v>
      </c>
      <c r="R389">
        <v>0</v>
      </c>
      <c r="S389">
        <v>0</v>
      </c>
      <c r="T389" t="s">
        <v>57</v>
      </c>
      <c r="U389">
        <v>0</v>
      </c>
      <c r="V389">
        <v>0</v>
      </c>
      <c r="W389">
        <v>0</v>
      </c>
      <c r="X389">
        <v>-100</v>
      </c>
      <c r="Y389" t="s">
        <v>67</v>
      </c>
      <c r="Z389">
        <v>0</v>
      </c>
      <c r="AA389">
        <v>0</v>
      </c>
      <c r="AB389">
        <v>0</v>
      </c>
      <c r="AC389">
        <v>0</v>
      </c>
      <c r="AD389" t="s">
        <v>60</v>
      </c>
      <c r="AE389">
        <v>0</v>
      </c>
      <c r="AF389">
        <v>0</v>
      </c>
      <c r="AG389">
        <v>0</v>
      </c>
      <c r="AH389">
        <v>0</v>
      </c>
      <c r="AI389" t="b">
        <v>0</v>
      </c>
      <c r="AJ389" t="s">
        <v>55</v>
      </c>
      <c r="AK389" t="s">
        <v>76</v>
      </c>
      <c r="AL389" t="s">
        <v>66</v>
      </c>
      <c r="AM389">
        <v>0</v>
      </c>
      <c r="AN389">
        <v>0</v>
      </c>
      <c r="AO389">
        <v>0</v>
      </c>
      <c r="AP389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s">
        <v>77</v>
      </c>
      <c r="AY389" t="s">
        <v>57</v>
      </c>
      <c r="AZ389" t="s">
        <v>74</v>
      </c>
      <c r="BA389" t="s">
        <v>75</v>
      </c>
      <c r="BB389" t="s">
        <v>55</v>
      </c>
    </row>
    <row r="390" spans="1:54" x14ac:dyDescent="0.25">
      <c r="A390" t="s">
        <v>99</v>
      </c>
      <c r="B390" t="s">
        <v>54</v>
      </c>
      <c r="C390" t="s">
        <v>54</v>
      </c>
      <c r="D390" t="s">
        <v>173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173</v>
      </c>
      <c r="L390">
        <v>-2147483648</v>
      </c>
      <c r="M390">
        <v>-2147483648</v>
      </c>
      <c r="N390">
        <v>-2147483648</v>
      </c>
      <c r="O390">
        <v>0</v>
      </c>
      <c r="P390" t="s">
        <v>59</v>
      </c>
      <c r="Q390">
        <v>0</v>
      </c>
      <c r="R390">
        <v>0</v>
      </c>
      <c r="S390">
        <v>0</v>
      </c>
      <c r="T390" t="s">
        <v>57</v>
      </c>
      <c r="U390">
        <v>0</v>
      </c>
      <c r="V390">
        <v>0</v>
      </c>
      <c r="W390">
        <v>0</v>
      </c>
      <c r="X390">
        <v>-100</v>
      </c>
      <c r="Y390" t="s">
        <v>67</v>
      </c>
      <c r="Z390">
        <v>0</v>
      </c>
      <c r="AA390">
        <v>0</v>
      </c>
      <c r="AB390">
        <v>0</v>
      </c>
      <c r="AC390">
        <v>0</v>
      </c>
      <c r="AD390" t="s">
        <v>60</v>
      </c>
      <c r="AE390">
        <v>0</v>
      </c>
      <c r="AF390">
        <v>0</v>
      </c>
      <c r="AG390">
        <v>0</v>
      </c>
      <c r="AH390">
        <v>0</v>
      </c>
      <c r="AI390" t="b">
        <v>0</v>
      </c>
      <c r="AJ390" t="s">
        <v>55</v>
      </c>
      <c r="AK390" t="s">
        <v>76</v>
      </c>
      <c r="AL390" t="s">
        <v>66</v>
      </c>
      <c r="AM390">
        <v>0</v>
      </c>
      <c r="AN390">
        <v>0</v>
      </c>
      <c r="AO390">
        <v>0</v>
      </c>
      <c r="AP390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s">
        <v>77</v>
      </c>
      <c r="AY390" t="s">
        <v>57</v>
      </c>
      <c r="AZ390" t="s">
        <v>74</v>
      </c>
      <c r="BA390" t="s">
        <v>75</v>
      </c>
      <c r="BB390" t="s">
        <v>55</v>
      </c>
    </row>
    <row r="391" spans="1:54" x14ac:dyDescent="0.25">
      <c r="A391" t="s">
        <v>100</v>
      </c>
      <c r="B391" t="s">
        <v>54</v>
      </c>
      <c r="C391" t="s">
        <v>54</v>
      </c>
      <c r="D391" t="s">
        <v>173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173</v>
      </c>
      <c r="L391">
        <v>-2147483648</v>
      </c>
      <c r="M391">
        <v>-2147483648</v>
      </c>
      <c r="N391">
        <v>-2147483648</v>
      </c>
      <c r="O391">
        <v>0</v>
      </c>
      <c r="P391" t="s">
        <v>59</v>
      </c>
      <c r="Q391">
        <v>0</v>
      </c>
      <c r="R391">
        <v>0</v>
      </c>
      <c r="S391">
        <v>0</v>
      </c>
      <c r="T391" t="s">
        <v>57</v>
      </c>
      <c r="U391">
        <v>0</v>
      </c>
      <c r="V391">
        <v>0</v>
      </c>
      <c r="W391">
        <v>0</v>
      </c>
      <c r="X391">
        <v>-100</v>
      </c>
      <c r="Y391" t="s">
        <v>67</v>
      </c>
      <c r="Z391">
        <v>0</v>
      </c>
      <c r="AA391">
        <v>0</v>
      </c>
      <c r="AB391">
        <v>0</v>
      </c>
      <c r="AC391">
        <v>0</v>
      </c>
      <c r="AD391" t="s">
        <v>60</v>
      </c>
      <c r="AE391">
        <v>0</v>
      </c>
      <c r="AF391">
        <v>0</v>
      </c>
      <c r="AG391">
        <v>0</v>
      </c>
      <c r="AH391">
        <v>0</v>
      </c>
      <c r="AI391" t="b">
        <v>0</v>
      </c>
      <c r="AJ391" t="s">
        <v>55</v>
      </c>
      <c r="AK391" t="s">
        <v>76</v>
      </c>
      <c r="AL391" t="s">
        <v>66</v>
      </c>
      <c r="AM391">
        <v>0</v>
      </c>
      <c r="AN391">
        <v>0</v>
      </c>
      <c r="AO391">
        <v>0</v>
      </c>
      <c r="AP391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s">
        <v>77</v>
      </c>
      <c r="AY391" t="s">
        <v>57</v>
      </c>
      <c r="AZ391" t="s">
        <v>74</v>
      </c>
      <c r="BA391" t="s">
        <v>75</v>
      </c>
      <c r="BB391" t="s">
        <v>55</v>
      </c>
    </row>
    <row r="392" spans="1:54" x14ac:dyDescent="0.25">
      <c r="A392" t="s">
        <v>101</v>
      </c>
      <c r="B392" t="s">
        <v>54</v>
      </c>
      <c r="C392" t="s">
        <v>54</v>
      </c>
      <c r="D392" t="s">
        <v>173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173</v>
      </c>
      <c r="L392">
        <v>-2147483648</v>
      </c>
      <c r="M392">
        <v>-2147483648</v>
      </c>
      <c r="N392">
        <v>-2147483648</v>
      </c>
      <c r="O392">
        <v>0</v>
      </c>
      <c r="P392" t="s">
        <v>59</v>
      </c>
      <c r="Q392">
        <v>0</v>
      </c>
      <c r="R392">
        <v>0</v>
      </c>
      <c r="S392">
        <v>0</v>
      </c>
      <c r="T392" t="s">
        <v>57</v>
      </c>
      <c r="U392">
        <v>0</v>
      </c>
      <c r="V392">
        <v>0</v>
      </c>
      <c r="W392">
        <v>0</v>
      </c>
      <c r="X392">
        <v>-100</v>
      </c>
      <c r="Y392" t="s">
        <v>67</v>
      </c>
      <c r="Z392">
        <v>0</v>
      </c>
      <c r="AA392">
        <v>0</v>
      </c>
      <c r="AB392">
        <v>0</v>
      </c>
      <c r="AC392">
        <v>0</v>
      </c>
      <c r="AD392" t="s">
        <v>60</v>
      </c>
      <c r="AE392">
        <v>0</v>
      </c>
      <c r="AF392">
        <v>0</v>
      </c>
      <c r="AG392">
        <v>0</v>
      </c>
      <c r="AH392">
        <v>0</v>
      </c>
      <c r="AI392" t="b">
        <v>0</v>
      </c>
      <c r="AJ392" t="s">
        <v>55</v>
      </c>
      <c r="AK392" t="s">
        <v>76</v>
      </c>
      <c r="AL392" t="s">
        <v>66</v>
      </c>
      <c r="AM392">
        <v>0</v>
      </c>
      <c r="AN392">
        <v>0</v>
      </c>
      <c r="AO392">
        <v>0</v>
      </c>
      <c r="AP392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s">
        <v>77</v>
      </c>
      <c r="AY392" t="s">
        <v>57</v>
      </c>
      <c r="AZ392" t="s">
        <v>74</v>
      </c>
      <c r="BA392" t="s">
        <v>75</v>
      </c>
      <c r="BB392" t="s">
        <v>55</v>
      </c>
    </row>
    <row r="393" spans="1:54" x14ac:dyDescent="0.25">
      <c r="A393" t="s">
        <v>102</v>
      </c>
      <c r="B393" t="s">
        <v>54</v>
      </c>
      <c r="C393" t="s">
        <v>54</v>
      </c>
      <c r="D393" t="s">
        <v>173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173</v>
      </c>
      <c r="L393">
        <v>-2147483648</v>
      </c>
      <c r="M393">
        <v>-2147483648</v>
      </c>
      <c r="N393">
        <v>-2147483648</v>
      </c>
      <c r="O393">
        <v>0</v>
      </c>
      <c r="P393" t="s">
        <v>59</v>
      </c>
      <c r="Q393">
        <v>0</v>
      </c>
      <c r="R393">
        <v>0</v>
      </c>
      <c r="S393">
        <v>0</v>
      </c>
      <c r="T393" t="s">
        <v>57</v>
      </c>
      <c r="U393">
        <v>0</v>
      </c>
      <c r="V393">
        <v>0</v>
      </c>
      <c r="W393">
        <v>0</v>
      </c>
      <c r="X393">
        <v>-100</v>
      </c>
      <c r="Y393" t="s">
        <v>67</v>
      </c>
      <c r="Z393">
        <v>0</v>
      </c>
      <c r="AA393">
        <v>0</v>
      </c>
      <c r="AB393">
        <v>0</v>
      </c>
      <c r="AC393">
        <v>0</v>
      </c>
      <c r="AD393" t="s">
        <v>60</v>
      </c>
      <c r="AE393">
        <v>0</v>
      </c>
      <c r="AF393">
        <v>0</v>
      </c>
      <c r="AG393">
        <v>0</v>
      </c>
      <c r="AH393">
        <v>0</v>
      </c>
      <c r="AI393" t="b">
        <v>0</v>
      </c>
      <c r="AJ393" t="s">
        <v>55</v>
      </c>
      <c r="AK393" t="s">
        <v>76</v>
      </c>
      <c r="AL393" t="s">
        <v>66</v>
      </c>
      <c r="AM393">
        <v>0</v>
      </c>
      <c r="AN393">
        <v>0</v>
      </c>
      <c r="AO393">
        <v>0</v>
      </c>
      <c r="AP393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s">
        <v>77</v>
      </c>
      <c r="AY393" t="s">
        <v>57</v>
      </c>
      <c r="AZ393" t="s">
        <v>74</v>
      </c>
      <c r="BA393" t="s">
        <v>75</v>
      </c>
      <c r="BB393" t="s">
        <v>55</v>
      </c>
    </row>
    <row r="394" spans="1:54" x14ac:dyDescent="0.25">
      <c r="A394" t="s">
        <v>103</v>
      </c>
      <c r="B394" t="s">
        <v>54</v>
      </c>
      <c r="C394" t="s">
        <v>54</v>
      </c>
      <c r="D394" t="s">
        <v>173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173</v>
      </c>
      <c r="L394">
        <v>-2147483648</v>
      </c>
      <c r="M394">
        <v>-2147483648</v>
      </c>
      <c r="N394">
        <v>-2147483648</v>
      </c>
      <c r="O394">
        <v>0</v>
      </c>
      <c r="P394" t="s">
        <v>59</v>
      </c>
      <c r="Q394">
        <v>0</v>
      </c>
      <c r="R394">
        <v>0</v>
      </c>
      <c r="S394">
        <v>0</v>
      </c>
      <c r="T394" t="s">
        <v>57</v>
      </c>
      <c r="U394">
        <v>0</v>
      </c>
      <c r="V394">
        <v>0</v>
      </c>
      <c r="W394">
        <v>0</v>
      </c>
      <c r="X394">
        <v>-100</v>
      </c>
      <c r="Y394" t="s">
        <v>67</v>
      </c>
      <c r="Z394">
        <v>0</v>
      </c>
      <c r="AA394">
        <v>0</v>
      </c>
      <c r="AB394">
        <v>0</v>
      </c>
      <c r="AC394">
        <v>0</v>
      </c>
      <c r="AD394" t="s">
        <v>60</v>
      </c>
      <c r="AE394">
        <v>0</v>
      </c>
      <c r="AF394">
        <v>0</v>
      </c>
      <c r="AG394">
        <v>0</v>
      </c>
      <c r="AH394">
        <v>0</v>
      </c>
      <c r="AI394" t="b">
        <v>0</v>
      </c>
      <c r="AJ394" t="s">
        <v>55</v>
      </c>
      <c r="AK394" t="s">
        <v>76</v>
      </c>
      <c r="AL394" t="s">
        <v>66</v>
      </c>
      <c r="AM394">
        <v>0</v>
      </c>
      <c r="AN394">
        <v>0</v>
      </c>
      <c r="AO394">
        <v>0</v>
      </c>
      <c r="AP394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s">
        <v>77</v>
      </c>
      <c r="AY394" t="s">
        <v>57</v>
      </c>
      <c r="AZ394" t="s">
        <v>74</v>
      </c>
      <c r="BA394" t="s">
        <v>75</v>
      </c>
      <c r="BB394" t="s">
        <v>55</v>
      </c>
    </row>
    <row r="395" spans="1:54" x14ac:dyDescent="0.25">
      <c r="A395" t="s">
        <v>104</v>
      </c>
      <c r="B395" t="s">
        <v>54</v>
      </c>
      <c r="C395" t="s">
        <v>54</v>
      </c>
      <c r="D395" t="s">
        <v>173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173</v>
      </c>
      <c r="L395">
        <v>-2147483648</v>
      </c>
      <c r="M395">
        <v>-2147483648</v>
      </c>
      <c r="N395">
        <v>-2147483648</v>
      </c>
      <c r="O395">
        <v>0</v>
      </c>
      <c r="P395" t="s">
        <v>59</v>
      </c>
      <c r="Q395">
        <v>0</v>
      </c>
      <c r="R395">
        <v>0</v>
      </c>
      <c r="S395">
        <v>0</v>
      </c>
      <c r="T395" t="s">
        <v>57</v>
      </c>
      <c r="U395">
        <v>0</v>
      </c>
      <c r="V395">
        <v>0</v>
      </c>
      <c r="W395">
        <v>0</v>
      </c>
      <c r="X395">
        <v>-100</v>
      </c>
      <c r="Y395" t="s">
        <v>67</v>
      </c>
      <c r="Z395">
        <v>0</v>
      </c>
      <c r="AA395">
        <v>0</v>
      </c>
      <c r="AB395">
        <v>0</v>
      </c>
      <c r="AC395">
        <v>0</v>
      </c>
      <c r="AD395" t="s">
        <v>60</v>
      </c>
      <c r="AE395">
        <v>0</v>
      </c>
      <c r="AF395">
        <v>0</v>
      </c>
      <c r="AG395">
        <v>0</v>
      </c>
      <c r="AH395">
        <v>0</v>
      </c>
      <c r="AI395" t="b">
        <v>0</v>
      </c>
      <c r="AJ395" t="s">
        <v>55</v>
      </c>
      <c r="AK395" t="s">
        <v>76</v>
      </c>
      <c r="AL395" t="s">
        <v>66</v>
      </c>
      <c r="AM395">
        <v>0</v>
      </c>
      <c r="AN395">
        <v>0</v>
      </c>
      <c r="AO395">
        <v>0</v>
      </c>
      <c r="AP395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s">
        <v>77</v>
      </c>
      <c r="AY395" t="s">
        <v>57</v>
      </c>
      <c r="AZ395" t="s">
        <v>74</v>
      </c>
      <c r="BA395" t="s">
        <v>75</v>
      </c>
      <c r="BB395" t="s">
        <v>55</v>
      </c>
    </row>
    <row r="396" spans="1:54" x14ac:dyDescent="0.25">
      <c r="A396" t="s">
        <v>105</v>
      </c>
      <c r="B396" t="s">
        <v>54</v>
      </c>
      <c r="C396" t="s">
        <v>54</v>
      </c>
      <c r="D396" t="s">
        <v>173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173</v>
      </c>
      <c r="L396">
        <v>-2147483648</v>
      </c>
      <c r="M396">
        <v>-2147483648</v>
      </c>
      <c r="N396">
        <v>-2147483648</v>
      </c>
      <c r="O396">
        <v>0</v>
      </c>
      <c r="P396" t="s">
        <v>59</v>
      </c>
      <c r="Q396">
        <v>0</v>
      </c>
      <c r="R396">
        <v>0</v>
      </c>
      <c r="S396">
        <v>0</v>
      </c>
      <c r="T396" t="s">
        <v>57</v>
      </c>
      <c r="U396">
        <v>0</v>
      </c>
      <c r="V396">
        <v>0</v>
      </c>
      <c r="W396">
        <v>0</v>
      </c>
      <c r="X396">
        <v>-100</v>
      </c>
      <c r="Y396" t="s">
        <v>67</v>
      </c>
      <c r="Z396">
        <v>0</v>
      </c>
      <c r="AA396">
        <v>0</v>
      </c>
      <c r="AB396">
        <v>0</v>
      </c>
      <c r="AC396">
        <v>0</v>
      </c>
      <c r="AD396" t="s">
        <v>60</v>
      </c>
      <c r="AE396">
        <v>0</v>
      </c>
      <c r="AF396">
        <v>0</v>
      </c>
      <c r="AG396">
        <v>0</v>
      </c>
      <c r="AH396">
        <v>0</v>
      </c>
      <c r="AI396" t="b">
        <v>0</v>
      </c>
      <c r="AJ396" t="s">
        <v>55</v>
      </c>
      <c r="AK396" t="s">
        <v>76</v>
      </c>
      <c r="AL396" t="s">
        <v>66</v>
      </c>
      <c r="AM396">
        <v>0</v>
      </c>
      <c r="AN396">
        <v>0</v>
      </c>
      <c r="AO396">
        <v>0</v>
      </c>
      <c r="AP396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s">
        <v>77</v>
      </c>
      <c r="AY396" t="s">
        <v>57</v>
      </c>
      <c r="AZ396" t="s">
        <v>74</v>
      </c>
      <c r="BA396" t="s">
        <v>75</v>
      </c>
      <c r="BB396" t="s">
        <v>55</v>
      </c>
    </row>
    <row r="397" spans="1:54" x14ac:dyDescent="0.25">
      <c r="A397" t="s">
        <v>106</v>
      </c>
      <c r="B397" t="s">
        <v>54</v>
      </c>
      <c r="C397" t="s">
        <v>54</v>
      </c>
      <c r="D397" t="s">
        <v>173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173</v>
      </c>
      <c r="L397">
        <v>-2147483648</v>
      </c>
      <c r="M397">
        <v>-2147483648</v>
      </c>
      <c r="N397">
        <v>-2147483648</v>
      </c>
      <c r="O397">
        <v>0</v>
      </c>
      <c r="P397" t="s">
        <v>59</v>
      </c>
      <c r="Q397">
        <v>0</v>
      </c>
      <c r="R397">
        <v>0</v>
      </c>
      <c r="S397">
        <v>0</v>
      </c>
      <c r="T397" t="s">
        <v>57</v>
      </c>
      <c r="U397">
        <v>0</v>
      </c>
      <c r="V397">
        <v>0</v>
      </c>
      <c r="W397">
        <v>0</v>
      </c>
      <c r="X397">
        <v>-100</v>
      </c>
      <c r="Y397" t="s">
        <v>67</v>
      </c>
      <c r="Z397">
        <v>0</v>
      </c>
      <c r="AA397">
        <v>0</v>
      </c>
      <c r="AB397">
        <v>0</v>
      </c>
      <c r="AC397">
        <v>0</v>
      </c>
      <c r="AD397" t="s">
        <v>60</v>
      </c>
      <c r="AE397">
        <v>0</v>
      </c>
      <c r="AF397">
        <v>0</v>
      </c>
      <c r="AG397">
        <v>0</v>
      </c>
      <c r="AH397">
        <v>0</v>
      </c>
      <c r="AI397" t="b">
        <v>0</v>
      </c>
      <c r="AJ397" t="s">
        <v>55</v>
      </c>
      <c r="AK397" t="s">
        <v>76</v>
      </c>
      <c r="AL397" t="s">
        <v>66</v>
      </c>
      <c r="AM397">
        <v>0</v>
      </c>
      <c r="AN397">
        <v>0</v>
      </c>
      <c r="AO397">
        <v>0</v>
      </c>
      <c r="AP397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s">
        <v>77</v>
      </c>
      <c r="AY397" t="s">
        <v>57</v>
      </c>
      <c r="AZ397" t="s">
        <v>74</v>
      </c>
      <c r="BA397" t="s">
        <v>75</v>
      </c>
      <c r="BB397" t="s">
        <v>55</v>
      </c>
    </row>
    <row r="398" spans="1:54" x14ac:dyDescent="0.25">
      <c r="A398" t="s">
        <v>107</v>
      </c>
      <c r="B398" t="s">
        <v>54</v>
      </c>
      <c r="C398" t="s">
        <v>54</v>
      </c>
      <c r="D398" t="s">
        <v>173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173</v>
      </c>
      <c r="L398">
        <v>-2147483648</v>
      </c>
      <c r="M398">
        <v>-2147483648</v>
      </c>
      <c r="N398">
        <v>-2147483648</v>
      </c>
      <c r="O398">
        <v>0</v>
      </c>
      <c r="P398" t="s">
        <v>59</v>
      </c>
      <c r="Q398">
        <v>0</v>
      </c>
      <c r="R398">
        <v>0</v>
      </c>
      <c r="S398">
        <v>0</v>
      </c>
      <c r="T398" t="s">
        <v>57</v>
      </c>
      <c r="U398">
        <v>0</v>
      </c>
      <c r="V398">
        <v>0</v>
      </c>
      <c r="W398">
        <v>0</v>
      </c>
      <c r="X398">
        <v>-100</v>
      </c>
      <c r="Y398" t="s">
        <v>67</v>
      </c>
      <c r="Z398">
        <v>0</v>
      </c>
      <c r="AA398">
        <v>0</v>
      </c>
      <c r="AB398">
        <v>0</v>
      </c>
      <c r="AC398">
        <v>0</v>
      </c>
      <c r="AD398" t="s">
        <v>60</v>
      </c>
      <c r="AE398">
        <v>0</v>
      </c>
      <c r="AF398">
        <v>0</v>
      </c>
      <c r="AG398">
        <v>0</v>
      </c>
      <c r="AH398">
        <v>0</v>
      </c>
      <c r="AI398" t="b">
        <v>0</v>
      </c>
      <c r="AJ398" t="s">
        <v>55</v>
      </c>
      <c r="AK398" t="s">
        <v>76</v>
      </c>
      <c r="AL398" t="s">
        <v>66</v>
      </c>
      <c r="AM398">
        <v>0</v>
      </c>
      <c r="AN398">
        <v>0</v>
      </c>
      <c r="AO398">
        <v>0</v>
      </c>
      <c r="AP398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s">
        <v>77</v>
      </c>
      <c r="AY398" t="s">
        <v>57</v>
      </c>
      <c r="AZ398" t="s">
        <v>74</v>
      </c>
      <c r="BA398" t="s">
        <v>75</v>
      </c>
      <c r="BB398" t="s">
        <v>55</v>
      </c>
    </row>
    <row r="399" spans="1:54" x14ac:dyDescent="0.25">
      <c r="A399" t="s">
        <v>108</v>
      </c>
      <c r="B399" t="s">
        <v>54</v>
      </c>
      <c r="C399" t="s">
        <v>54</v>
      </c>
      <c r="D399" t="s">
        <v>173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173</v>
      </c>
      <c r="L399">
        <v>-2147483648</v>
      </c>
      <c r="M399">
        <v>-2147483648</v>
      </c>
      <c r="N399">
        <v>-2147483648</v>
      </c>
      <c r="O399">
        <v>0</v>
      </c>
      <c r="P399" t="s">
        <v>59</v>
      </c>
      <c r="Q399">
        <v>0</v>
      </c>
      <c r="R399">
        <v>0</v>
      </c>
      <c r="S399">
        <v>0</v>
      </c>
      <c r="T399" t="s">
        <v>57</v>
      </c>
      <c r="U399">
        <v>0</v>
      </c>
      <c r="V399">
        <v>0</v>
      </c>
      <c r="W399">
        <v>0</v>
      </c>
      <c r="X399">
        <v>-100</v>
      </c>
      <c r="Y399" t="s">
        <v>67</v>
      </c>
      <c r="Z399">
        <v>0</v>
      </c>
      <c r="AA399">
        <v>0</v>
      </c>
      <c r="AB399">
        <v>0</v>
      </c>
      <c r="AC399">
        <v>0</v>
      </c>
      <c r="AD399" t="s">
        <v>60</v>
      </c>
      <c r="AE399">
        <v>0</v>
      </c>
      <c r="AF399">
        <v>0</v>
      </c>
      <c r="AG399">
        <v>0</v>
      </c>
      <c r="AH399">
        <v>0</v>
      </c>
      <c r="AI399" t="b">
        <v>0</v>
      </c>
      <c r="AJ399" t="s">
        <v>55</v>
      </c>
      <c r="AK399" t="s">
        <v>76</v>
      </c>
      <c r="AL399" t="s">
        <v>66</v>
      </c>
      <c r="AM399">
        <v>0</v>
      </c>
      <c r="AN399">
        <v>0</v>
      </c>
      <c r="AO399">
        <v>0</v>
      </c>
      <c r="AP399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s">
        <v>77</v>
      </c>
      <c r="AY399" t="s">
        <v>57</v>
      </c>
      <c r="AZ399" t="s">
        <v>74</v>
      </c>
      <c r="BA399" t="s">
        <v>75</v>
      </c>
      <c r="BB399" t="s">
        <v>55</v>
      </c>
    </row>
    <row r="400" spans="1:54" x14ac:dyDescent="0.25">
      <c r="A400" t="s">
        <v>109</v>
      </c>
      <c r="B400" t="s">
        <v>54</v>
      </c>
      <c r="C400" t="s">
        <v>54</v>
      </c>
      <c r="D400" t="s">
        <v>173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173</v>
      </c>
      <c r="L400">
        <v>-2147483648</v>
      </c>
      <c r="M400">
        <v>-2147483648</v>
      </c>
      <c r="N400">
        <v>-2147483648</v>
      </c>
      <c r="O400">
        <v>0</v>
      </c>
      <c r="P400" t="s">
        <v>59</v>
      </c>
      <c r="Q400">
        <v>0</v>
      </c>
      <c r="R400">
        <v>0</v>
      </c>
      <c r="S400">
        <v>0</v>
      </c>
      <c r="T400" t="s">
        <v>57</v>
      </c>
      <c r="U400">
        <v>0</v>
      </c>
      <c r="V400">
        <v>0</v>
      </c>
      <c r="W400">
        <v>0</v>
      </c>
      <c r="X400">
        <v>-100</v>
      </c>
      <c r="Y400" t="s">
        <v>67</v>
      </c>
      <c r="Z400">
        <v>0</v>
      </c>
      <c r="AA400">
        <v>0</v>
      </c>
      <c r="AB400">
        <v>0</v>
      </c>
      <c r="AC400">
        <v>0</v>
      </c>
      <c r="AD400" t="s">
        <v>60</v>
      </c>
      <c r="AE400">
        <v>0</v>
      </c>
      <c r="AF400">
        <v>0</v>
      </c>
      <c r="AG400">
        <v>0</v>
      </c>
      <c r="AH400">
        <v>0</v>
      </c>
      <c r="AI400" t="b">
        <v>0</v>
      </c>
      <c r="AJ400" t="s">
        <v>55</v>
      </c>
      <c r="AK400" t="s">
        <v>76</v>
      </c>
      <c r="AL400" t="s">
        <v>66</v>
      </c>
      <c r="AM400">
        <v>0</v>
      </c>
      <c r="AN400">
        <v>0</v>
      </c>
      <c r="AO400">
        <v>0</v>
      </c>
      <c r="AP400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s">
        <v>77</v>
      </c>
      <c r="AY400" t="s">
        <v>57</v>
      </c>
      <c r="AZ400" t="s">
        <v>74</v>
      </c>
      <c r="BA400" t="s">
        <v>75</v>
      </c>
      <c r="BB400" t="s">
        <v>55</v>
      </c>
    </row>
    <row r="401" spans="1:54" x14ac:dyDescent="0.25">
      <c r="A401" t="s">
        <v>110</v>
      </c>
      <c r="B401" t="s">
        <v>54</v>
      </c>
      <c r="C401" t="s">
        <v>54</v>
      </c>
      <c r="D401" t="s">
        <v>173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173</v>
      </c>
      <c r="L401">
        <v>-2147483648</v>
      </c>
      <c r="M401">
        <v>-2147483648</v>
      </c>
      <c r="N401">
        <v>-2147483648</v>
      </c>
      <c r="O401">
        <v>0</v>
      </c>
      <c r="P401" t="s">
        <v>59</v>
      </c>
      <c r="Q401">
        <v>0</v>
      </c>
      <c r="R401">
        <v>0</v>
      </c>
      <c r="S401">
        <v>0</v>
      </c>
      <c r="T401" t="s">
        <v>57</v>
      </c>
      <c r="U401">
        <v>0</v>
      </c>
      <c r="V401">
        <v>0</v>
      </c>
      <c r="W401">
        <v>0</v>
      </c>
      <c r="X401">
        <v>-100</v>
      </c>
      <c r="Y401" t="s">
        <v>67</v>
      </c>
      <c r="Z401">
        <v>0</v>
      </c>
      <c r="AA401">
        <v>0</v>
      </c>
      <c r="AB401">
        <v>0</v>
      </c>
      <c r="AC401">
        <v>0</v>
      </c>
      <c r="AD401" t="s">
        <v>60</v>
      </c>
      <c r="AE401">
        <v>0</v>
      </c>
      <c r="AF401">
        <v>0</v>
      </c>
      <c r="AG401">
        <v>0</v>
      </c>
      <c r="AH401">
        <v>0</v>
      </c>
      <c r="AI401" t="b">
        <v>0</v>
      </c>
      <c r="AJ401" t="s">
        <v>55</v>
      </c>
      <c r="AK401" t="s">
        <v>76</v>
      </c>
      <c r="AL401" t="s">
        <v>66</v>
      </c>
      <c r="AM401">
        <v>0</v>
      </c>
      <c r="AN401">
        <v>0</v>
      </c>
      <c r="AO401">
        <v>0</v>
      </c>
      <c r="AP401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s">
        <v>77</v>
      </c>
      <c r="AY401" t="s">
        <v>57</v>
      </c>
      <c r="AZ401" t="s">
        <v>74</v>
      </c>
      <c r="BA401" t="s">
        <v>75</v>
      </c>
      <c r="BB401" t="s">
        <v>55</v>
      </c>
    </row>
    <row r="402" spans="1:54" x14ac:dyDescent="0.25">
      <c r="A402" t="s">
        <v>111</v>
      </c>
      <c r="B402" t="s">
        <v>54</v>
      </c>
      <c r="C402" t="s">
        <v>54</v>
      </c>
      <c r="D402" t="s">
        <v>173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173</v>
      </c>
      <c r="L402">
        <v>-2147483648</v>
      </c>
      <c r="M402">
        <v>-2147483648</v>
      </c>
      <c r="N402">
        <v>-2147483648</v>
      </c>
      <c r="O402">
        <v>0</v>
      </c>
      <c r="P402" t="s">
        <v>59</v>
      </c>
      <c r="Q402">
        <v>0</v>
      </c>
      <c r="R402">
        <v>0</v>
      </c>
      <c r="S402">
        <v>0</v>
      </c>
      <c r="T402" t="s">
        <v>57</v>
      </c>
      <c r="U402">
        <v>0</v>
      </c>
      <c r="V402">
        <v>0</v>
      </c>
      <c r="W402">
        <v>0</v>
      </c>
      <c r="X402">
        <v>-100</v>
      </c>
      <c r="Y402" t="s">
        <v>67</v>
      </c>
      <c r="Z402">
        <v>0</v>
      </c>
      <c r="AA402">
        <v>0</v>
      </c>
      <c r="AB402">
        <v>0</v>
      </c>
      <c r="AC402">
        <v>0</v>
      </c>
      <c r="AD402" t="s">
        <v>60</v>
      </c>
      <c r="AE402">
        <v>0</v>
      </c>
      <c r="AF402">
        <v>0</v>
      </c>
      <c r="AG402">
        <v>0</v>
      </c>
      <c r="AH402">
        <v>0</v>
      </c>
      <c r="AI402" t="b">
        <v>0</v>
      </c>
      <c r="AJ402" t="s">
        <v>55</v>
      </c>
      <c r="AK402" t="s">
        <v>76</v>
      </c>
      <c r="AL402" t="s">
        <v>66</v>
      </c>
      <c r="AM402">
        <v>0</v>
      </c>
      <c r="AN402">
        <v>0</v>
      </c>
      <c r="AO402">
        <v>0</v>
      </c>
      <c r="AP402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s">
        <v>77</v>
      </c>
      <c r="AY402" t="s">
        <v>57</v>
      </c>
      <c r="AZ402" t="s">
        <v>74</v>
      </c>
      <c r="BA402" t="s">
        <v>75</v>
      </c>
      <c r="BB402" t="s">
        <v>55</v>
      </c>
    </row>
    <row r="403" spans="1:54" x14ac:dyDescent="0.25">
      <c r="A403" t="s">
        <v>112</v>
      </c>
      <c r="B403" t="s">
        <v>54</v>
      </c>
      <c r="C403" t="s">
        <v>54</v>
      </c>
      <c r="D403" t="s">
        <v>173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173</v>
      </c>
      <c r="L403">
        <v>-2147483648</v>
      </c>
      <c r="M403">
        <v>-2147483648</v>
      </c>
      <c r="N403">
        <v>-2147483648</v>
      </c>
      <c r="O403">
        <v>0</v>
      </c>
      <c r="P403" t="s">
        <v>59</v>
      </c>
      <c r="Q403">
        <v>0</v>
      </c>
      <c r="R403">
        <v>0</v>
      </c>
      <c r="S403">
        <v>0</v>
      </c>
      <c r="T403" t="s">
        <v>57</v>
      </c>
      <c r="U403">
        <v>0</v>
      </c>
      <c r="V403">
        <v>0</v>
      </c>
      <c r="W403">
        <v>0</v>
      </c>
      <c r="X403">
        <v>-100</v>
      </c>
      <c r="Y403" t="s">
        <v>67</v>
      </c>
      <c r="Z403">
        <v>0</v>
      </c>
      <c r="AA403">
        <v>0</v>
      </c>
      <c r="AB403">
        <v>0</v>
      </c>
      <c r="AC403">
        <v>0</v>
      </c>
      <c r="AD403" t="s">
        <v>60</v>
      </c>
      <c r="AE403">
        <v>0</v>
      </c>
      <c r="AF403">
        <v>0</v>
      </c>
      <c r="AG403">
        <v>0</v>
      </c>
      <c r="AH403">
        <v>0</v>
      </c>
      <c r="AI403" t="b">
        <v>0</v>
      </c>
      <c r="AJ403" t="s">
        <v>55</v>
      </c>
      <c r="AK403" t="s">
        <v>76</v>
      </c>
      <c r="AL403" t="s">
        <v>66</v>
      </c>
      <c r="AM403">
        <v>0</v>
      </c>
      <c r="AN403">
        <v>0</v>
      </c>
      <c r="AO403">
        <v>0</v>
      </c>
      <c r="AP403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s">
        <v>77</v>
      </c>
      <c r="AY403" t="s">
        <v>57</v>
      </c>
      <c r="AZ403" t="s">
        <v>74</v>
      </c>
      <c r="BA403" t="s">
        <v>75</v>
      </c>
      <c r="BB403" t="s">
        <v>55</v>
      </c>
    </row>
    <row r="404" spans="1:54" x14ac:dyDescent="0.25">
      <c r="A404" t="s">
        <v>113</v>
      </c>
      <c r="B404" t="s">
        <v>54</v>
      </c>
      <c r="C404" t="s">
        <v>54</v>
      </c>
      <c r="D404" t="s">
        <v>173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173</v>
      </c>
      <c r="L404">
        <v>-2147483648</v>
      </c>
      <c r="M404">
        <v>-2147483648</v>
      </c>
      <c r="N404">
        <v>-2147483648</v>
      </c>
      <c r="O404">
        <v>0</v>
      </c>
      <c r="P404" t="s">
        <v>59</v>
      </c>
      <c r="Q404">
        <v>0</v>
      </c>
      <c r="R404">
        <v>0</v>
      </c>
      <c r="S404">
        <v>0</v>
      </c>
      <c r="T404" t="s">
        <v>57</v>
      </c>
      <c r="U404">
        <v>0</v>
      </c>
      <c r="V404">
        <v>0</v>
      </c>
      <c r="W404">
        <v>0</v>
      </c>
      <c r="X404">
        <v>-100</v>
      </c>
      <c r="Y404" t="s">
        <v>67</v>
      </c>
      <c r="Z404">
        <v>0</v>
      </c>
      <c r="AA404">
        <v>0</v>
      </c>
      <c r="AB404">
        <v>0</v>
      </c>
      <c r="AC404">
        <v>0</v>
      </c>
      <c r="AD404" t="s">
        <v>60</v>
      </c>
      <c r="AE404">
        <v>0</v>
      </c>
      <c r="AF404">
        <v>0</v>
      </c>
      <c r="AG404">
        <v>0</v>
      </c>
      <c r="AH404">
        <v>0</v>
      </c>
      <c r="AI404" t="b">
        <v>0</v>
      </c>
      <c r="AJ404" t="s">
        <v>55</v>
      </c>
      <c r="AK404" t="s">
        <v>76</v>
      </c>
      <c r="AL404" t="s">
        <v>66</v>
      </c>
      <c r="AM404">
        <v>0</v>
      </c>
      <c r="AN404">
        <v>0</v>
      </c>
      <c r="AO404">
        <v>0</v>
      </c>
      <c r="AP404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s">
        <v>77</v>
      </c>
      <c r="AY404" t="s">
        <v>57</v>
      </c>
      <c r="AZ404" t="s">
        <v>74</v>
      </c>
      <c r="BA404" t="s">
        <v>75</v>
      </c>
      <c r="BB404" t="s">
        <v>55</v>
      </c>
    </row>
    <row r="405" spans="1:54" x14ac:dyDescent="0.25">
      <c r="A405" t="s">
        <v>114</v>
      </c>
      <c r="B405" t="s">
        <v>54</v>
      </c>
      <c r="C405" t="s">
        <v>54</v>
      </c>
      <c r="D405" t="s">
        <v>173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173</v>
      </c>
      <c r="L405">
        <v>-2147483648</v>
      </c>
      <c r="M405">
        <v>-2147483648</v>
      </c>
      <c r="N405">
        <v>-2147483648</v>
      </c>
      <c r="O405">
        <v>0</v>
      </c>
      <c r="P405" t="s">
        <v>59</v>
      </c>
      <c r="Q405">
        <v>0</v>
      </c>
      <c r="R405">
        <v>0</v>
      </c>
      <c r="S405">
        <v>0</v>
      </c>
      <c r="T405" t="s">
        <v>57</v>
      </c>
      <c r="U405">
        <v>0</v>
      </c>
      <c r="V405">
        <v>0</v>
      </c>
      <c r="W405">
        <v>0</v>
      </c>
      <c r="X405">
        <v>-100</v>
      </c>
      <c r="Y405" t="s">
        <v>67</v>
      </c>
      <c r="Z405">
        <v>0</v>
      </c>
      <c r="AA405">
        <v>0</v>
      </c>
      <c r="AB405">
        <v>0</v>
      </c>
      <c r="AC405">
        <v>0</v>
      </c>
      <c r="AD405" t="s">
        <v>60</v>
      </c>
      <c r="AE405">
        <v>0</v>
      </c>
      <c r="AF405">
        <v>0</v>
      </c>
      <c r="AG405">
        <v>0</v>
      </c>
      <c r="AH405">
        <v>0</v>
      </c>
      <c r="AI405" t="b">
        <v>0</v>
      </c>
      <c r="AJ405" t="s">
        <v>55</v>
      </c>
      <c r="AK405" t="s">
        <v>76</v>
      </c>
      <c r="AL405" t="s">
        <v>66</v>
      </c>
      <c r="AM405">
        <v>0</v>
      </c>
      <c r="AN405">
        <v>0</v>
      </c>
      <c r="AO405">
        <v>0</v>
      </c>
      <c r="AP405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s">
        <v>77</v>
      </c>
      <c r="AY405" t="s">
        <v>57</v>
      </c>
      <c r="AZ405" t="s">
        <v>74</v>
      </c>
      <c r="BA405" t="s">
        <v>75</v>
      </c>
      <c r="BB405" t="s">
        <v>55</v>
      </c>
    </row>
    <row r="406" spans="1:54" x14ac:dyDescent="0.25">
      <c r="A406" t="s">
        <v>115</v>
      </c>
      <c r="B406" t="s">
        <v>54</v>
      </c>
      <c r="C406" t="s">
        <v>54</v>
      </c>
      <c r="D406" t="s">
        <v>173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173</v>
      </c>
      <c r="L406">
        <v>-2147483648</v>
      </c>
      <c r="M406">
        <v>-2147483648</v>
      </c>
      <c r="N406">
        <v>-2147483648</v>
      </c>
      <c r="O406">
        <v>0</v>
      </c>
      <c r="P406" t="s">
        <v>59</v>
      </c>
      <c r="Q406">
        <v>0</v>
      </c>
      <c r="R406">
        <v>0</v>
      </c>
      <c r="S406">
        <v>0</v>
      </c>
      <c r="T406" t="s">
        <v>57</v>
      </c>
      <c r="U406">
        <v>0</v>
      </c>
      <c r="V406">
        <v>0</v>
      </c>
      <c r="W406">
        <v>0</v>
      </c>
      <c r="X406">
        <v>-100</v>
      </c>
      <c r="Y406" t="s">
        <v>67</v>
      </c>
      <c r="Z406">
        <v>0</v>
      </c>
      <c r="AA406">
        <v>0</v>
      </c>
      <c r="AB406">
        <v>0</v>
      </c>
      <c r="AC406">
        <v>0</v>
      </c>
      <c r="AD406" t="s">
        <v>60</v>
      </c>
      <c r="AE406">
        <v>0</v>
      </c>
      <c r="AF406">
        <v>0</v>
      </c>
      <c r="AG406">
        <v>0</v>
      </c>
      <c r="AH406">
        <v>0</v>
      </c>
      <c r="AI406" t="b">
        <v>0</v>
      </c>
      <c r="AJ406" t="s">
        <v>55</v>
      </c>
      <c r="AK406" t="s">
        <v>76</v>
      </c>
      <c r="AL406" t="s">
        <v>66</v>
      </c>
      <c r="AM406">
        <v>0</v>
      </c>
      <c r="AN406">
        <v>0</v>
      </c>
      <c r="AO406">
        <v>0</v>
      </c>
      <c r="AP406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s">
        <v>77</v>
      </c>
      <c r="AY406" t="s">
        <v>57</v>
      </c>
      <c r="AZ406" t="s">
        <v>74</v>
      </c>
      <c r="BA406" t="s">
        <v>75</v>
      </c>
      <c r="BB406" t="s">
        <v>55</v>
      </c>
    </row>
    <row r="407" spans="1:54" x14ac:dyDescent="0.25">
      <c r="A407" t="s">
        <v>116</v>
      </c>
      <c r="B407" t="s">
        <v>54</v>
      </c>
      <c r="C407" t="s">
        <v>54</v>
      </c>
      <c r="D407" t="s">
        <v>173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173</v>
      </c>
      <c r="L407">
        <v>-2147483648</v>
      </c>
      <c r="M407">
        <v>-2147483648</v>
      </c>
      <c r="N407">
        <v>-2147483648</v>
      </c>
      <c r="O407">
        <v>0</v>
      </c>
      <c r="P407" t="s">
        <v>59</v>
      </c>
      <c r="Q407">
        <v>0</v>
      </c>
      <c r="R407">
        <v>0</v>
      </c>
      <c r="S407">
        <v>0</v>
      </c>
      <c r="T407" t="s">
        <v>57</v>
      </c>
      <c r="U407">
        <v>0</v>
      </c>
      <c r="V407">
        <v>0</v>
      </c>
      <c r="W407">
        <v>0</v>
      </c>
      <c r="X407">
        <v>-100</v>
      </c>
      <c r="Y407" t="s">
        <v>67</v>
      </c>
      <c r="Z407">
        <v>0</v>
      </c>
      <c r="AA407">
        <v>0</v>
      </c>
      <c r="AB407">
        <v>0</v>
      </c>
      <c r="AC407">
        <v>0</v>
      </c>
      <c r="AD407" t="s">
        <v>60</v>
      </c>
      <c r="AE407">
        <v>0</v>
      </c>
      <c r="AF407">
        <v>0</v>
      </c>
      <c r="AG407">
        <v>0</v>
      </c>
      <c r="AH407">
        <v>0</v>
      </c>
      <c r="AI407" t="b">
        <v>0</v>
      </c>
      <c r="AJ407" t="s">
        <v>55</v>
      </c>
      <c r="AK407" t="s">
        <v>76</v>
      </c>
      <c r="AL407" t="s">
        <v>66</v>
      </c>
      <c r="AM407">
        <v>0</v>
      </c>
      <c r="AN407">
        <v>0</v>
      </c>
      <c r="AO407">
        <v>0</v>
      </c>
      <c r="AP407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s">
        <v>77</v>
      </c>
      <c r="AY407" t="s">
        <v>57</v>
      </c>
      <c r="AZ407" t="s">
        <v>74</v>
      </c>
      <c r="BA407" t="s">
        <v>75</v>
      </c>
      <c r="BB407" t="s">
        <v>55</v>
      </c>
    </row>
    <row r="408" spans="1:54" x14ac:dyDescent="0.25">
      <c r="A408" t="s">
        <v>117</v>
      </c>
      <c r="B408" t="s">
        <v>54</v>
      </c>
      <c r="C408" t="s">
        <v>54</v>
      </c>
      <c r="D408" t="s">
        <v>173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173</v>
      </c>
      <c r="L408">
        <v>-2147483648</v>
      </c>
      <c r="M408">
        <v>-2147483648</v>
      </c>
      <c r="N408">
        <v>-2147483648</v>
      </c>
      <c r="O408">
        <v>0</v>
      </c>
      <c r="P408" t="s">
        <v>59</v>
      </c>
      <c r="Q408">
        <v>0</v>
      </c>
      <c r="R408">
        <v>0</v>
      </c>
      <c r="S408">
        <v>0</v>
      </c>
      <c r="T408" t="s">
        <v>57</v>
      </c>
      <c r="U408">
        <v>0</v>
      </c>
      <c r="V408">
        <v>0</v>
      </c>
      <c r="W408">
        <v>0</v>
      </c>
      <c r="X408">
        <v>-100</v>
      </c>
      <c r="Y408" t="s">
        <v>67</v>
      </c>
      <c r="Z408">
        <v>0</v>
      </c>
      <c r="AA408">
        <v>0</v>
      </c>
      <c r="AB408">
        <v>0</v>
      </c>
      <c r="AC408">
        <v>0</v>
      </c>
      <c r="AD408" t="s">
        <v>60</v>
      </c>
      <c r="AE408">
        <v>0</v>
      </c>
      <c r="AF408">
        <v>0</v>
      </c>
      <c r="AG408">
        <v>0</v>
      </c>
      <c r="AH408">
        <v>0</v>
      </c>
      <c r="AI408" t="b">
        <v>0</v>
      </c>
      <c r="AJ408" t="s">
        <v>55</v>
      </c>
      <c r="AK408" t="s">
        <v>76</v>
      </c>
      <c r="AL408" t="s">
        <v>66</v>
      </c>
      <c r="AM408">
        <v>0</v>
      </c>
      <c r="AN408">
        <v>0</v>
      </c>
      <c r="AO408">
        <v>0</v>
      </c>
      <c r="AP408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s">
        <v>77</v>
      </c>
      <c r="AY408" t="s">
        <v>57</v>
      </c>
      <c r="AZ408" t="s">
        <v>74</v>
      </c>
      <c r="BA408" t="s">
        <v>75</v>
      </c>
      <c r="BB408" t="s">
        <v>55</v>
      </c>
    </row>
    <row r="409" spans="1:54" x14ac:dyDescent="0.25">
      <c r="A409" t="s">
        <v>118</v>
      </c>
      <c r="B409" t="s">
        <v>54</v>
      </c>
      <c r="C409" t="s">
        <v>54</v>
      </c>
      <c r="D409" t="s">
        <v>173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173</v>
      </c>
      <c r="L409">
        <v>-2147483648</v>
      </c>
      <c r="M409">
        <v>-2147483648</v>
      </c>
      <c r="N409">
        <v>-2147483648</v>
      </c>
      <c r="O409">
        <v>0</v>
      </c>
      <c r="P409" t="s">
        <v>59</v>
      </c>
      <c r="Q409">
        <v>0</v>
      </c>
      <c r="R409">
        <v>0</v>
      </c>
      <c r="S409">
        <v>0</v>
      </c>
      <c r="T409" t="s">
        <v>57</v>
      </c>
      <c r="U409">
        <v>0</v>
      </c>
      <c r="V409">
        <v>0</v>
      </c>
      <c r="W409">
        <v>0</v>
      </c>
      <c r="X409">
        <v>-100</v>
      </c>
      <c r="Y409" t="s">
        <v>67</v>
      </c>
      <c r="Z409">
        <v>0</v>
      </c>
      <c r="AA409">
        <v>0</v>
      </c>
      <c r="AB409">
        <v>0</v>
      </c>
      <c r="AC409">
        <v>0</v>
      </c>
      <c r="AD409" t="s">
        <v>60</v>
      </c>
      <c r="AE409">
        <v>0</v>
      </c>
      <c r="AF409">
        <v>0</v>
      </c>
      <c r="AG409">
        <v>0</v>
      </c>
      <c r="AH409">
        <v>0</v>
      </c>
      <c r="AI409" t="b">
        <v>0</v>
      </c>
      <c r="AJ409" t="s">
        <v>55</v>
      </c>
      <c r="AK409" t="s">
        <v>76</v>
      </c>
      <c r="AL409" t="s">
        <v>66</v>
      </c>
      <c r="AM409">
        <v>0</v>
      </c>
      <c r="AN409">
        <v>0</v>
      </c>
      <c r="AO409">
        <v>0</v>
      </c>
      <c r="AP409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s">
        <v>77</v>
      </c>
      <c r="AY409" t="s">
        <v>57</v>
      </c>
      <c r="AZ409" t="s">
        <v>74</v>
      </c>
      <c r="BA409" t="s">
        <v>75</v>
      </c>
      <c r="BB409" t="s">
        <v>55</v>
      </c>
    </row>
    <row r="410" spans="1:54" x14ac:dyDescent="0.25">
      <c r="A410" t="s">
        <v>119</v>
      </c>
      <c r="B410" t="s">
        <v>54</v>
      </c>
      <c r="C410" t="s">
        <v>54</v>
      </c>
      <c r="D410" t="s">
        <v>173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173</v>
      </c>
      <c r="L410">
        <v>-2147483648</v>
      </c>
      <c r="M410">
        <v>-2147483648</v>
      </c>
      <c r="N410">
        <v>-2147483648</v>
      </c>
      <c r="O410">
        <v>0</v>
      </c>
      <c r="P410" t="s">
        <v>59</v>
      </c>
      <c r="Q410">
        <v>0</v>
      </c>
      <c r="R410">
        <v>0</v>
      </c>
      <c r="S410">
        <v>0</v>
      </c>
      <c r="T410" t="s">
        <v>57</v>
      </c>
      <c r="U410">
        <v>0</v>
      </c>
      <c r="V410">
        <v>0</v>
      </c>
      <c r="W410">
        <v>0</v>
      </c>
      <c r="X410">
        <v>-100</v>
      </c>
      <c r="Y410" t="s">
        <v>67</v>
      </c>
      <c r="Z410">
        <v>0</v>
      </c>
      <c r="AA410">
        <v>0</v>
      </c>
      <c r="AB410">
        <v>0</v>
      </c>
      <c r="AC410">
        <v>0</v>
      </c>
      <c r="AD410" t="s">
        <v>60</v>
      </c>
      <c r="AE410">
        <v>0</v>
      </c>
      <c r="AF410">
        <v>0</v>
      </c>
      <c r="AG410">
        <v>0</v>
      </c>
      <c r="AH410">
        <v>0</v>
      </c>
      <c r="AI410" t="b">
        <v>0</v>
      </c>
      <c r="AJ410" t="s">
        <v>55</v>
      </c>
      <c r="AK410" t="s">
        <v>76</v>
      </c>
      <c r="AL410" t="s">
        <v>66</v>
      </c>
      <c r="AM410">
        <v>0</v>
      </c>
      <c r="AN410">
        <v>0</v>
      </c>
      <c r="AO410">
        <v>0</v>
      </c>
      <c r="AP410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s">
        <v>77</v>
      </c>
      <c r="AY410" t="s">
        <v>57</v>
      </c>
      <c r="AZ410" t="s">
        <v>74</v>
      </c>
      <c r="BA410" t="s">
        <v>75</v>
      </c>
      <c r="BB410" t="s">
        <v>55</v>
      </c>
    </row>
    <row r="411" spans="1:54" x14ac:dyDescent="0.25">
      <c r="A411" t="s">
        <v>120</v>
      </c>
      <c r="B411" t="s">
        <v>54</v>
      </c>
      <c r="C411" t="s">
        <v>54</v>
      </c>
      <c r="D411" t="s">
        <v>173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173</v>
      </c>
      <c r="L411">
        <v>-2147483648</v>
      </c>
      <c r="M411">
        <v>-2147483648</v>
      </c>
      <c r="N411">
        <v>-2147483648</v>
      </c>
      <c r="O411">
        <v>0</v>
      </c>
      <c r="P411" t="s">
        <v>59</v>
      </c>
      <c r="Q411">
        <v>0</v>
      </c>
      <c r="R411">
        <v>0</v>
      </c>
      <c r="S411">
        <v>0</v>
      </c>
      <c r="T411" t="s">
        <v>57</v>
      </c>
      <c r="U411">
        <v>0</v>
      </c>
      <c r="V411">
        <v>0</v>
      </c>
      <c r="W411">
        <v>0</v>
      </c>
      <c r="X411">
        <v>-100</v>
      </c>
      <c r="Y411" t="s">
        <v>67</v>
      </c>
      <c r="Z411">
        <v>0</v>
      </c>
      <c r="AA411">
        <v>0</v>
      </c>
      <c r="AB411">
        <v>0</v>
      </c>
      <c r="AC411">
        <v>0</v>
      </c>
      <c r="AD411" t="s">
        <v>60</v>
      </c>
      <c r="AE411">
        <v>0</v>
      </c>
      <c r="AF411">
        <v>0</v>
      </c>
      <c r="AG411">
        <v>0</v>
      </c>
      <c r="AH411">
        <v>0</v>
      </c>
      <c r="AI411" t="b">
        <v>0</v>
      </c>
      <c r="AJ411" t="s">
        <v>55</v>
      </c>
      <c r="AK411" t="s">
        <v>76</v>
      </c>
      <c r="AL411" t="s">
        <v>66</v>
      </c>
      <c r="AM411">
        <v>0</v>
      </c>
      <c r="AN411">
        <v>0</v>
      </c>
      <c r="AO411">
        <v>0</v>
      </c>
      <c r="AP411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s">
        <v>77</v>
      </c>
      <c r="AY411" t="s">
        <v>57</v>
      </c>
      <c r="AZ411" t="s">
        <v>74</v>
      </c>
      <c r="BA411" t="s">
        <v>75</v>
      </c>
      <c r="BB411" t="s">
        <v>55</v>
      </c>
    </row>
    <row r="412" spans="1:54" x14ac:dyDescent="0.25">
      <c r="A412" t="s">
        <v>121</v>
      </c>
      <c r="B412" t="s">
        <v>54</v>
      </c>
      <c r="C412" t="s">
        <v>54</v>
      </c>
      <c r="D412" t="s">
        <v>173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173</v>
      </c>
      <c r="L412">
        <v>-2147483648</v>
      </c>
      <c r="M412">
        <v>-2147483648</v>
      </c>
      <c r="N412">
        <v>-2147483648</v>
      </c>
      <c r="O412">
        <v>0</v>
      </c>
      <c r="P412" t="s">
        <v>59</v>
      </c>
      <c r="Q412">
        <v>0</v>
      </c>
      <c r="R412">
        <v>0</v>
      </c>
      <c r="S412">
        <v>0</v>
      </c>
      <c r="T412" t="s">
        <v>57</v>
      </c>
      <c r="U412">
        <v>0</v>
      </c>
      <c r="V412">
        <v>0</v>
      </c>
      <c r="W412">
        <v>0</v>
      </c>
      <c r="X412">
        <v>-100</v>
      </c>
      <c r="Y412" t="s">
        <v>67</v>
      </c>
      <c r="Z412">
        <v>0</v>
      </c>
      <c r="AA412">
        <v>0</v>
      </c>
      <c r="AB412">
        <v>0</v>
      </c>
      <c r="AC412">
        <v>0</v>
      </c>
      <c r="AD412" t="s">
        <v>60</v>
      </c>
      <c r="AE412">
        <v>0</v>
      </c>
      <c r="AF412">
        <v>0</v>
      </c>
      <c r="AG412">
        <v>0</v>
      </c>
      <c r="AH412">
        <v>0</v>
      </c>
      <c r="AI412" t="b">
        <v>0</v>
      </c>
      <c r="AJ412" t="s">
        <v>55</v>
      </c>
      <c r="AK412" t="s">
        <v>76</v>
      </c>
      <c r="AL412" t="s">
        <v>66</v>
      </c>
      <c r="AM412">
        <v>0</v>
      </c>
      <c r="AN412">
        <v>0</v>
      </c>
      <c r="AO412">
        <v>0</v>
      </c>
      <c r="AP412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s">
        <v>77</v>
      </c>
      <c r="AY412" t="s">
        <v>57</v>
      </c>
      <c r="AZ412" t="s">
        <v>74</v>
      </c>
      <c r="BA412" t="s">
        <v>75</v>
      </c>
      <c r="BB412" t="s">
        <v>55</v>
      </c>
    </row>
    <row r="413" spans="1:54" x14ac:dyDescent="0.25">
      <c r="A413" t="s">
        <v>122</v>
      </c>
      <c r="B413" t="s">
        <v>54</v>
      </c>
      <c r="C413" t="s">
        <v>54</v>
      </c>
      <c r="D413" t="s">
        <v>173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173</v>
      </c>
      <c r="L413">
        <v>-2147483648</v>
      </c>
      <c r="M413">
        <v>-2147483648</v>
      </c>
      <c r="N413">
        <v>-2147483648</v>
      </c>
      <c r="O413">
        <v>0</v>
      </c>
      <c r="P413" t="s">
        <v>59</v>
      </c>
      <c r="Q413">
        <v>0</v>
      </c>
      <c r="R413">
        <v>0</v>
      </c>
      <c r="S413">
        <v>0</v>
      </c>
      <c r="T413" t="s">
        <v>57</v>
      </c>
      <c r="U413">
        <v>0</v>
      </c>
      <c r="V413">
        <v>0</v>
      </c>
      <c r="W413">
        <v>0</v>
      </c>
      <c r="X413">
        <v>-100</v>
      </c>
      <c r="Y413" t="s">
        <v>67</v>
      </c>
      <c r="Z413">
        <v>0</v>
      </c>
      <c r="AA413">
        <v>0</v>
      </c>
      <c r="AB413">
        <v>0</v>
      </c>
      <c r="AC413">
        <v>0</v>
      </c>
      <c r="AD413" t="s">
        <v>60</v>
      </c>
      <c r="AE413">
        <v>0</v>
      </c>
      <c r="AF413">
        <v>0</v>
      </c>
      <c r="AG413">
        <v>0</v>
      </c>
      <c r="AH413">
        <v>0</v>
      </c>
      <c r="AI413" t="b">
        <v>0</v>
      </c>
      <c r="AJ413" t="s">
        <v>55</v>
      </c>
      <c r="AK413" t="s">
        <v>76</v>
      </c>
      <c r="AL413" t="s">
        <v>66</v>
      </c>
      <c r="AM413">
        <v>0</v>
      </c>
      <c r="AN413">
        <v>0</v>
      </c>
      <c r="AO413">
        <v>0</v>
      </c>
      <c r="AP413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s">
        <v>77</v>
      </c>
      <c r="AY413" t="s">
        <v>57</v>
      </c>
      <c r="AZ413" t="s">
        <v>74</v>
      </c>
      <c r="BA413" t="s">
        <v>75</v>
      </c>
      <c r="BB413" t="s">
        <v>55</v>
      </c>
    </row>
    <row r="414" spans="1:54" x14ac:dyDescent="0.25">
      <c r="A414" t="s">
        <v>123</v>
      </c>
      <c r="B414" t="s">
        <v>54</v>
      </c>
      <c r="C414" t="s">
        <v>54</v>
      </c>
      <c r="D414" t="s">
        <v>173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173</v>
      </c>
      <c r="L414">
        <v>-2147483648</v>
      </c>
      <c r="M414">
        <v>-2147483648</v>
      </c>
      <c r="N414">
        <v>-2147483648</v>
      </c>
      <c r="O414">
        <v>0</v>
      </c>
      <c r="P414" t="s">
        <v>59</v>
      </c>
      <c r="Q414">
        <v>0</v>
      </c>
      <c r="R414">
        <v>0</v>
      </c>
      <c r="S414">
        <v>0</v>
      </c>
      <c r="T414" t="s">
        <v>57</v>
      </c>
      <c r="U414">
        <v>0</v>
      </c>
      <c r="V414">
        <v>0</v>
      </c>
      <c r="W414">
        <v>0</v>
      </c>
      <c r="X414">
        <v>-100</v>
      </c>
      <c r="Y414" t="s">
        <v>67</v>
      </c>
      <c r="Z414">
        <v>0</v>
      </c>
      <c r="AA414">
        <v>0</v>
      </c>
      <c r="AB414">
        <v>0</v>
      </c>
      <c r="AC414">
        <v>0</v>
      </c>
      <c r="AD414" t="s">
        <v>60</v>
      </c>
      <c r="AE414">
        <v>0</v>
      </c>
      <c r="AF414">
        <v>0</v>
      </c>
      <c r="AG414">
        <v>0</v>
      </c>
      <c r="AH414">
        <v>0</v>
      </c>
      <c r="AI414" t="b">
        <v>0</v>
      </c>
      <c r="AJ414" t="s">
        <v>55</v>
      </c>
      <c r="AK414" t="s">
        <v>76</v>
      </c>
      <c r="AL414" t="s">
        <v>66</v>
      </c>
      <c r="AM414">
        <v>0</v>
      </c>
      <c r="AN414">
        <v>0</v>
      </c>
      <c r="AO414">
        <v>0</v>
      </c>
      <c r="AP414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s">
        <v>77</v>
      </c>
      <c r="AY414" t="s">
        <v>57</v>
      </c>
      <c r="AZ414" t="s">
        <v>74</v>
      </c>
      <c r="BA414" t="s">
        <v>75</v>
      </c>
      <c r="BB414" t="s">
        <v>55</v>
      </c>
    </row>
    <row r="415" spans="1:54" x14ac:dyDescent="0.25">
      <c r="A415" t="s">
        <v>124</v>
      </c>
      <c r="B415" t="s">
        <v>54</v>
      </c>
      <c r="C415" t="s">
        <v>54</v>
      </c>
      <c r="D415" t="s">
        <v>173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173</v>
      </c>
      <c r="L415">
        <v>-2147483648</v>
      </c>
      <c r="M415">
        <v>-2147483648</v>
      </c>
      <c r="N415">
        <v>-2147483648</v>
      </c>
      <c r="O415">
        <v>0</v>
      </c>
      <c r="P415" t="s">
        <v>59</v>
      </c>
      <c r="Q415">
        <v>0</v>
      </c>
      <c r="R415">
        <v>0</v>
      </c>
      <c r="S415">
        <v>0</v>
      </c>
      <c r="T415" t="s">
        <v>57</v>
      </c>
      <c r="U415">
        <v>0</v>
      </c>
      <c r="V415">
        <v>0</v>
      </c>
      <c r="W415">
        <v>0</v>
      </c>
      <c r="X415">
        <v>-100</v>
      </c>
      <c r="Y415" t="s">
        <v>67</v>
      </c>
      <c r="Z415">
        <v>0</v>
      </c>
      <c r="AA415">
        <v>0</v>
      </c>
      <c r="AB415">
        <v>0</v>
      </c>
      <c r="AC415">
        <v>0</v>
      </c>
      <c r="AD415" t="s">
        <v>60</v>
      </c>
      <c r="AE415">
        <v>0</v>
      </c>
      <c r="AF415">
        <v>0</v>
      </c>
      <c r="AG415">
        <v>0</v>
      </c>
      <c r="AH415">
        <v>0</v>
      </c>
      <c r="AI415" t="b">
        <v>0</v>
      </c>
      <c r="AJ415" t="s">
        <v>55</v>
      </c>
      <c r="AK415" t="s">
        <v>76</v>
      </c>
      <c r="AL415" t="s">
        <v>66</v>
      </c>
      <c r="AM415">
        <v>0</v>
      </c>
      <c r="AN415">
        <v>0</v>
      </c>
      <c r="AO415">
        <v>0</v>
      </c>
      <c r="AP415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s">
        <v>77</v>
      </c>
      <c r="AY415" t="s">
        <v>57</v>
      </c>
      <c r="AZ415" t="s">
        <v>74</v>
      </c>
      <c r="BA415" t="s">
        <v>75</v>
      </c>
      <c r="BB415" t="s">
        <v>55</v>
      </c>
    </row>
    <row r="416" spans="1:54" x14ac:dyDescent="0.25">
      <c r="A416" t="s">
        <v>125</v>
      </c>
      <c r="B416" t="s">
        <v>54</v>
      </c>
      <c r="C416" t="s">
        <v>54</v>
      </c>
      <c r="D416" t="s">
        <v>173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173</v>
      </c>
      <c r="L416">
        <v>-2147483648</v>
      </c>
      <c r="M416">
        <v>-2147483648</v>
      </c>
      <c r="N416">
        <v>-2147483648</v>
      </c>
      <c r="O416">
        <v>0</v>
      </c>
      <c r="P416" t="s">
        <v>59</v>
      </c>
      <c r="Q416">
        <v>0</v>
      </c>
      <c r="R416">
        <v>0</v>
      </c>
      <c r="S416">
        <v>0</v>
      </c>
      <c r="T416" t="s">
        <v>57</v>
      </c>
      <c r="U416">
        <v>0</v>
      </c>
      <c r="V416">
        <v>0</v>
      </c>
      <c r="W416">
        <v>0</v>
      </c>
      <c r="X416">
        <v>-100</v>
      </c>
      <c r="Y416" t="s">
        <v>67</v>
      </c>
      <c r="Z416">
        <v>0</v>
      </c>
      <c r="AA416">
        <v>0</v>
      </c>
      <c r="AB416">
        <v>0</v>
      </c>
      <c r="AC416">
        <v>0</v>
      </c>
      <c r="AD416" t="s">
        <v>60</v>
      </c>
      <c r="AE416">
        <v>0</v>
      </c>
      <c r="AF416">
        <v>0</v>
      </c>
      <c r="AG416">
        <v>0</v>
      </c>
      <c r="AH416">
        <v>0</v>
      </c>
      <c r="AI416" t="b">
        <v>0</v>
      </c>
      <c r="AJ416" t="s">
        <v>55</v>
      </c>
      <c r="AK416" t="s">
        <v>76</v>
      </c>
      <c r="AL416" t="s">
        <v>66</v>
      </c>
      <c r="AM416">
        <v>0</v>
      </c>
      <c r="AN416">
        <v>0</v>
      </c>
      <c r="AO416">
        <v>0</v>
      </c>
      <c r="AP416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s">
        <v>77</v>
      </c>
      <c r="AY416" t="s">
        <v>57</v>
      </c>
      <c r="AZ416" t="s">
        <v>74</v>
      </c>
      <c r="BA416" t="s">
        <v>75</v>
      </c>
      <c r="BB416" t="s">
        <v>55</v>
      </c>
    </row>
    <row r="417" spans="1:54" x14ac:dyDescent="0.25">
      <c r="A417" t="s">
        <v>126</v>
      </c>
      <c r="B417" t="s">
        <v>54</v>
      </c>
      <c r="C417" t="s">
        <v>54</v>
      </c>
      <c r="D417" t="s">
        <v>173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173</v>
      </c>
      <c r="L417">
        <v>-2147483648</v>
      </c>
      <c r="M417">
        <v>-2147483648</v>
      </c>
      <c r="N417">
        <v>-2147483648</v>
      </c>
      <c r="O417">
        <v>0</v>
      </c>
      <c r="P417" t="s">
        <v>59</v>
      </c>
      <c r="Q417">
        <v>0</v>
      </c>
      <c r="R417">
        <v>0</v>
      </c>
      <c r="S417">
        <v>0</v>
      </c>
      <c r="T417" t="s">
        <v>57</v>
      </c>
      <c r="U417">
        <v>0</v>
      </c>
      <c r="V417">
        <v>0</v>
      </c>
      <c r="W417">
        <v>0</v>
      </c>
      <c r="X417">
        <v>-100</v>
      </c>
      <c r="Y417" t="s">
        <v>67</v>
      </c>
      <c r="Z417">
        <v>0</v>
      </c>
      <c r="AA417">
        <v>0</v>
      </c>
      <c r="AB417">
        <v>0</v>
      </c>
      <c r="AC417">
        <v>0</v>
      </c>
      <c r="AD417" t="s">
        <v>60</v>
      </c>
      <c r="AE417">
        <v>0</v>
      </c>
      <c r="AF417">
        <v>0</v>
      </c>
      <c r="AG417">
        <v>0</v>
      </c>
      <c r="AH417">
        <v>0</v>
      </c>
      <c r="AI417" t="b">
        <v>0</v>
      </c>
      <c r="AJ417" t="s">
        <v>55</v>
      </c>
      <c r="AK417" t="s">
        <v>76</v>
      </c>
      <c r="AL417" t="s">
        <v>66</v>
      </c>
      <c r="AM417">
        <v>0</v>
      </c>
      <c r="AN417">
        <v>0</v>
      </c>
      <c r="AO417">
        <v>0</v>
      </c>
      <c r="AP417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s">
        <v>77</v>
      </c>
      <c r="AY417" t="s">
        <v>57</v>
      </c>
      <c r="AZ417" t="s">
        <v>74</v>
      </c>
      <c r="BA417" t="s">
        <v>75</v>
      </c>
      <c r="BB417" t="s">
        <v>55</v>
      </c>
    </row>
    <row r="418" spans="1:54" x14ac:dyDescent="0.25">
      <c r="A418" t="s">
        <v>127</v>
      </c>
      <c r="B418" t="s">
        <v>54</v>
      </c>
      <c r="C418" t="s">
        <v>54</v>
      </c>
      <c r="D418" t="s">
        <v>173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173</v>
      </c>
      <c r="L418">
        <v>-2147483648</v>
      </c>
      <c r="M418">
        <v>-2147483648</v>
      </c>
      <c r="N418">
        <v>-2147483648</v>
      </c>
      <c r="O418">
        <v>0</v>
      </c>
      <c r="P418" t="s">
        <v>59</v>
      </c>
      <c r="Q418">
        <v>0</v>
      </c>
      <c r="R418">
        <v>0</v>
      </c>
      <c r="S418">
        <v>0</v>
      </c>
      <c r="T418" t="s">
        <v>57</v>
      </c>
      <c r="U418">
        <v>0</v>
      </c>
      <c r="V418">
        <v>0</v>
      </c>
      <c r="W418">
        <v>0</v>
      </c>
      <c r="X418">
        <v>-100</v>
      </c>
      <c r="Y418" t="s">
        <v>67</v>
      </c>
      <c r="Z418">
        <v>0</v>
      </c>
      <c r="AA418">
        <v>0</v>
      </c>
      <c r="AB418">
        <v>0</v>
      </c>
      <c r="AC418">
        <v>0</v>
      </c>
      <c r="AD418" t="s">
        <v>60</v>
      </c>
      <c r="AE418">
        <v>0</v>
      </c>
      <c r="AF418">
        <v>0</v>
      </c>
      <c r="AG418">
        <v>0</v>
      </c>
      <c r="AH418">
        <v>0</v>
      </c>
      <c r="AI418" t="b">
        <v>0</v>
      </c>
      <c r="AJ418" t="s">
        <v>55</v>
      </c>
      <c r="AK418" t="s">
        <v>76</v>
      </c>
      <c r="AL418" t="s">
        <v>66</v>
      </c>
      <c r="AM418">
        <v>0</v>
      </c>
      <c r="AN418">
        <v>0</v>
      </c>
      <c r="AO418">
        <v>0</v>
      </c>
      <c r="AP418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s">
        <v>77</v>
      </c>
      <c r="AY418" t="s">
        <v>57</v>
      </c>
      <c r="AZ418" t="s">
        <v>74</v>
      </c>
      <c r="BA418" t="s">
        <v>75</v>
      </c>
      <c r="BB418" t="s">
        <v>55</v>
      </c>
    </row>
    <row r="419" spans="1:54" x14ac:dyDescent="0.25">
      <c r="A419" t="s">
        <v>128</v>
      </c>
      <c r="B419" t="s">
        <v>54</v>
      </c>
      <c r="C419" t="s">
        <v>54</v>
      </c>
      <c r="D419" t="s">
        <v>173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173</v>
      </c>
      <c r="L419">
        <v>-2147483648</v>
      </c>
      <c r="M419">
        <v>-2147483648</v>
      </c>
      <c r="N419">
        <v>-2147483648</v>
      </c>
      <c r="O419">
        <v>0</v>
      </c>
      <c r="P419" t="s">
        <v>59</v>
      </c>
      <c r="Q419">
        <v>0</v>
      </c>
      <c r="R419">
        <v>0</v>
      </c>
      <c r="S419">
        <v>0</v>
      </c>
      <c r="T419" t="s">
        <v>57</v>
      </c>
      <c r="U419">
        <v>0</v>
      </c>
      <c r="V419">
        <v>0</v>
      </c>
      <c r="W419">
        <v>0</v>
      </c>
      <c r="X419">
        <v>-100</v>
      </c>
      <c r="Y419" t="s">
        <v>67</v>
      </c>
      <c r="Z419">
        <v>0</v>
      </c>
      <c r="AA419">
        <v>0</v>
      </c>
      <c r="AB419">
        <v>0</v>
      </c>
      <c r="AC419">
        <v>0</v>
      </c>
      <c r="AD419" t="s">
        <v>60</v>
      </c>
      <c r="AE419">
        <v>0</v>
      </c>
      <c r="AF419">
        <v>0</v>
      </c>
      <c r="AG419">
        <v>0</v>
      </c>
      <c r="AH419">
        <v>0</v>
      </c>
      <c r="AI419" t="b">
        <v>0</v>
      </c>
      <c r="AJ419" t="s">
        <v>55</v>
      </c>
      <c r="AK419" t="s">
        <v>76</v>
      </c>
      <c r="AL419" t="s">
        <v>66</v>
      </c>
      <c r="AM419">
        <v>0</v>
      </c>
      <c r="AN419">
        <v>0</v>
      </c>
      <c r="AO419">
        <v>0</v>
      </c>
      <c r="AP419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s">
        <v>77</v>
      </c>
      <c r="AY419" t="s">
        <v>57</v>
      </c>
      <c r="AZ419" t="s">
        <v>74</v>
      </c>
      <c r="BA419" t="s">
        <v>75</v>
      </c>
      <c r="BB419" t="s">
        <v>55</v>
      </c>
    </row>
    <row r="420" spans="1:54" x14ac:dyDescent="0.25">
      <c r="A420" t="s">
        <v>129</v>
      </c>
      <c r="B420" t="s">
        <v>54</v>
      </c>
      <c r="C420" t="s">
        <v>54</v>
      </c>
      <c r="D420" t="s">
        <v>173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173</v>
      </c>
      <c r="L420">
        <v>-2147483648</v>
      </c>
      <c r="M420">
        <v>-2147483648</v>
      </c>
      <c r="N420">
        <v>-2147483648</v>
      </c>
      <c r="O420">
        <v>0</v>
      </c>
      <c r="P420" t="s">
        <v>59</v>
      </c>
      <c r="Q420">
        <v>0</v>
      </c>
      <c r="R420">
        <v>0</v>
      </c>
      <c r="S420">
        <v>0</v>
      </c>
      <c r="T420" t="s">
        <v>57</v>
      </c>
      <c r="U420">
        <v>0</v>
      </c>
      <c r="V420">
        <v>0</v>
      </c>
      <c r="W420">
        <v>0</v>
      </c>
      <c r="X420">
        <v>-100</v>
      </c>
      <c r="Y420" t="s">
        <v>67</v>
      </c>
      <c r="Z420">
        <v>0</v>
      </c>
      <c r="AA420">
        <v>0</v>
      </c>
      <c r="AB420">
        <v>0</v>
      </c>
      <c r="AC420">
        <v>0</v>
      </c>
      <c r="AD420" t="s">
        <v>60</v>
      </c>
      <c r="AE420">
        <v>0</v>
      </c>
      <c r="AF420">
        <v>0</v>
      </c>
      <c r="AG420">
        <v>0</v>
      </c>
      <c r="AH420">
        <v>0</v>
      </c>
      <c r="AI420" t="b">
        <v>0</v>
      </c>
      <c r="AJ420" t="s">
        <v>55</v>
      </c>
      <c r="AK420" t="s">
        <v>76</v>
      </c>
      <c r="AL420" t="s">
        <v>66</v>
      </c>
      <c r="AM420">
        <v>0</v>
      </c>
      <c r="AN420">
        <v>0</v>
      </c>
      <c r="AO420">
        <v>0</v>
      </c>
      <c r="AP420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s">
        <v>77</v>
      </c>
      <c r="AY420" t="s">
        <v>57</v>
      </c>
      <c r="AZ420" t="s">
        <v>74</v>
      </c>
      <c r="BA420" t="s">
        <v>75</v>
      </c>
      <c r="BB420" t="s">
        <v>55</v>
      </c>
    </row>
    <row r="421" spans="1:54" x14ac:dyDescent="0.25">
      <c r="A421" t="s">
        <v>130</v>
      </c>
      <c r="B421" t="s">
        <v>54</v>
      </c>
      <c r="C421" t="s">
        <v>54</v>
      </c>
      <c r="D421" t="s">
        <v>173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173</v>
      </c>
      <c r="L421">
        <v>-2147483648</v>
      </c>
      <c r="M421">
        <v>-2147483648</v>
      </c>
      <c r="N421">
        <v>-2147483648</v>
      </c>
      <c r="O421">
        <v>0</v>
      </c>
      <c r="P421" t="s">
        <v>59</v>
      </c>
      <c r="Q421">
        <v>0</v>
      </c>
      <c r="R421">
        <v>0</v>
      </c>
      <c r="S421">
        <v>0</v>
      </c>
      <c r="T421" t="s">
        <v>57</v>
      </c>
      <c r="U421">
        <v>0</v>
      </c>
      <c r="V421">
        <v>0</v>
      </c>
      <c r="W421">
        <v>0</v>
      </c>
      <c r="X421">
        <v>-100</v>
      </c>
      <c r="Y421" t="s">
        <v>67</v>
      </c>
      <c r="Z421">
        <v>0</v>
      </c>
      <c r="AA421">
        <v>0</v>
      </c>
      <c r="AB421">
        <v>0</v>
      </c>
      <c r="AC421">
        <v>0</v>
      </c>
      <c r="AD421" t="s">
        <v>60</v>
      </c>
      <c r="AE421">
        <v>0</v>
      </c>
      <c r="AF421">
        <v>0</v>
      </c>
      <c r="AG421">
        <v>0</v>
      </c>
      <c r="AH421">
        <v>0</v>
      </c>
      <c r="AI421" t="b">
        <v>0</v>
      </c>
      <c r="AJ421" t="s">
        <v>55</v>
      </c>
      <c r="AK421" t="s">
        <v>76</v>
      </c>
      <c r="AL421" t="s">
        <v>66</v>
      </c>
      <c r="AM421">
        <v>0</v>
      </c>
      <c r="AN421">
        <v>0</v>
      </c>
      <c r="AO421">
        <v>0</v>
      </c>
      <c r="AP421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s">
        <v>77</v>
      </c>
      <c r="AY421" t="s">
        <v>57</v>
      </c>
      <c r="AZ421" t="s">
        <v>74</v>
      </c>
      <c r="BA421" t="s">
        <v>75</v>
      </c>
      <c r="BB421" t="s">
        <v>55</v>
      </c>
    </row>
    <row r="422" spans="1:54" x14ac:dyDescent="0.25">
      <c r="A422" t="s">
        <v>131</v>
      </c>
      <c r="B422" t="s">
        <v>54</v>
      </c>
      <c r="C422" t="s">
        <v>54</v>
      </c>
      <c r="D422" t="s">
        <v>173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173</v>
      </c>
      <c r="L422">
        <v>-2147483648</v>
      </c>
      <c r="M422">
        <v>-2147483648</v>
      </c>
      <c r="N422">
        <v>-2147483648</v>
      </c>
      <c r="O422">
        <v>0</v>
      </c>
      <c r="P422" t="s">
        <v>59</v>
      </c>
      <c r="Q422">
        <v>0</v>
      </c>
      <c r="R422">
        <v>0</v>
      </c>
      <c r="S422">
        <v>0</v>
      </c>
      <c r="T422" t="s">
        <v>57</v>
      </c>
      <c r="U422">
        <v>0</v>
      </c>
      <c r="V422">
        <v>0</v>
      </c>
      <c r="W422">
        <v>0</v>
      </c>
      <c r="X422">
        <v>-100</v>
      </c>
      <c r="Y422" t="s">
        <v>67</v>
      </c>
      <c r="Z422">
        <v>0</v>
      </c>
      <c r="AA422">
        <v>0</v>
      </c>
      <c r="AB422">
        <v>0</v>
      </c>
      <c r="AC422">
        <v>0</v>
      </c>
      <c r="AD422" t="s">
        <v>60</v>
      </c>
      <c r="AE422">
        <v>0</v>
      </c>
      <c r="AF422">
        <v>0</v>
      </c>
      <c r="AG422">
        <v>0</v>
      </c>
      <c r="AH422">
        <v>0</v>
      </c>
      <c r="AI422" t="b">
        <v>0</v>
      </c>
      <c r="AJ422" t="s">
        <v>55</v>
      </c>
      <c r="AK422" t="s">
        <v>76</v>
      </c>
      <c r="AL422" t="s">
        <v>66</v>
      </c>
      <c r="AM422">
        <v>0</v>
      </c>
      <c r="AN422">
        <v>0</v>
      </c>
      <c r="AO422">
        <v>0</v>
      </c>
      <c r="AP422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s">
        <v>77</v>
      </c>
      <c r="AY422" t="s">
        <v>57</v>
      </c>
      <c r="AZ422" t="s">
        <v>74</v>
      </c>
      <c r="BA422" t="s">
        <v>75</v>
      </c>
      <c r="BB422" t="s">
        <v>55</v>
      </c>
    </row>
    <row r="423" spans="1:54" x14ac:dyDescent="0.25">
      <c r="A423" t="s">
        <v>132</v>
      </c>
      <c r="B423" t="s">
        <v>54</v>
      </c>
      <c r="C423" t="s">
        <v>54</v>
      </c>
      <c r="D423" t="s">
        <v>173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173</v>
      </c>
      <c r="L423">
        <v>-2147483648</v>
      </c>
      <c r="M423">
        <v>-2147483648</v>
      </c>
      <c r="N423">
        <v>-2147483648</v>
      </c>
      <c r="O423">
        <v>0</v>
      </c>
      <c r="P423" t="s">
        <v>59</v>
      </c>
      <c r="Q423">
        <v>0</v>
      </c>
      <c r="R423">
        <v>0</v>
      </c>
      <c r="S423">
        <v>0</v>
      </c>
      <c r="T423" t="s">
        <v>57</v>
      </c>
      <c r="U423">
        <v>0</v>
      </c>
      <c r="V423">
        <v>0</v>
      </c>
      <c r="W423">
        <v>0</v>
      </c>
      <c r="X423">
        <v>-100</v>
      </c>
      <c r="Y423" t="s">
        <v>67</v>
      </c>
      <c r="Z423">
        <v>0</v>
      </c>
      <c r="AA423">
        <v>0</v>
      </c>
      <c r="AB423">
        <v>0</v>
      </c>
      <c r="AC423">
        <v>0</v>
      </c>
      <c r="AD423" t="s">
        <v>60</v>
      </c>
      <c r="AE423">
        <v>0</v>
      </c>
      <c r="AF423">
        <v>0</v>
      </c>
      <c r="AG423">
        <v>0</v>
      </c>
      <c r="AH423">
        <v>0</v>
      </c>
      <c r="AI423" t="b">
        <v>0</v>
      </c>
      <c r="AJ423" t="s">
        <v>55</v>
      </c>
      <c r="AK423" t="s">
        <v>76</v>
      </c>
      <c r="AL423" t="s">
        <v>66</v>
      </c>
      <c r="AM423">
        <v>0</v>
      </c>
      <c r="AN423">
        <v>0</v>
      </c>
      <c r="AO423">
        <v>0</v>
      </c>
      <c r="AP423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s">
        <v>77</v>
      </c>
      <c r="AY423" t="s">
        <v>57</v>
      </c>
      <c r="AZ423" t="s">
        <v>74</v>
      </c>
      <c r="BA423" t="s">
        <v>75</v>
      </c>
      <c r="BB423" t="s">
        <v>55</v>
      </c>
    </row>
    <row r="424" spans="1:54" x14ac:dyDescent="0.25">
      <c r="A424" t="s">
        <v>133</v>
      </c>
      <c r="B424" t="s">
        <v>54</v>
      </c>
      <c r="C424" t="s">
        <v>54</v>
      </c>
      <c r="D424" t="s">
        <v>173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173</v>
      </c>
      <c r="L424">
        <v>-2147483648</v>
      </c>
      <c r="M424">
        <v>-2147483648</v>
      </c>
      <c r="N424">
        <v>-2147483648</v>
      </c>
      <c r="O424">
        <v>0</v>
      </c>
      <c r="P424" t="s">
        <v>59</v>
      </c>
      <c r="Q424">
        <v>0</v>
      </c>
      <c r="R424">
        <v>0</v>
      </c>
      <c r="S424">
        <v>0</v>
      </c>
      <c r="T424" t="s">
        <v>57</v>
      </c>
      <c r="U424">
        <v>0</v>
      </c>
      <c r="V424">
        <v>0</v>
      </c>
      <c r="W424">
        <v>0</v>
      </c>
      <c r="X424">
        <v>-100</v>
      </c>
      <c r="Y424" t="s">
        <v>67</v>
      </c>
      <c r="Z424">
        <v>0</v>
      </c>
      <c r="AA424">
        <v>0</v>
      </c>
      <c r="AB424">
        <v>0</v>
      </c>
      <c r="AC424">
        <v>0</v>
      </c>
      <c r="AD424" t="s">
        <v>60</v>
      </c>
      <c r="AE424">
        <v>0</v>
      </c>
      <c r="AF424">
        <v>0</v>
      </c>
      <c r="AG424">
        <v>0</v>
      </c>
      <c r="AH424">
        <v>0</v>
      </c>
      <c r="AI424" t="b">
        <v>0</v>
      </c>
      <c r="AJ424" t="s">
        <v>55</v>
      </c>
      <c r="AK424" t="s">
        <v>76</v>
      </c>
      <c r="AL424" t="s">
        <v>66</v>
      </c>
      <c r="AM424">
        <v>0</v>
      </c>
      <c r="AN424">
        <v>0</v>
      </c>
      <c r="AO424">
        <v>0</v>
      </c>
      <c r="AP424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s">
        <v>77</v>
      </c>
      <c r="AY424" t="s">
        <v>57</v>
      </c>
      <c r="AZ424" t="s">
        <v>74</v>
      </c>
      <c r="BA424" t="s">
        <v>75</v>
      </c>
      <c r="BB424" t="s">
        <v>55</v>
      </c>
    </row>
    <row r="425" spans="1:54" x14ac:dyDescent="0.25">
      <c r="A425" t="s">
        <v>134</v>
      </c>
      <c r="B425" t="s">
        <v>54</v>
      </c>
      <c r="C425" t="s">
        <v>54</v>
      </c>
      <c r="D425" t="s">
        <v>173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173</v>
      </c>
      <c r="L425">
        <v>-2147483648</v>
      </c>
      <c r="M425">
        <v>-2147483648</v>
      </c>
      <c r="N425">
        <v>-2147483648</v>
      </c>
      <c r="O425">
        <v>0</v>
      </c>
      <c r="P425" t="s">
        <v>59</v>
      </c>
      <c r="Q425">
        <v>0</v>
      </c>
      <c r="R425">
        <v>0</v>
      </c>
      <c r="S425">
        <v>0</v>
      </c>
      <c r="T425" t="s">
        <v>57</v>
      </c>
      <c r="U425">
        <v>0</v>
      </c>
      <c r="V425">
        <v>0</v>
      </c>
      <c r="W425">
        <v>0</v>
      </c>
      <c r="X425">
        <v>-100</v>
      </c>
      <c r="Y425" t="s">
        <v>67</v>
      </c>
      <c r="Z425">
        <v>0</v>
      </c>
      <c r="AA425">
        <v>0</v>
      </c>
      <c r="AB425">
        <v>0</v>
      </c>
      <c r="AC425">
        <v>0</v>
      </c>
      <c r="AD425" t="s">
        <v>60</v>
      </c>
      <c r="AE425">
        <v>0</v>
      </c>
      <c r="AF425">
        <v>0</v>
      </c>
      <c r="AG425">
        <v>0</v>
      </c>
      <c r="AH425">
        <v>0</v>
      </c>
      <c r="AI425" t="b">
        <v>0</v>
      </c>
      <c r="AJ425" t="s">
        <v>55</v>
      </c>
      <c r="AK425" t="s">
        <v>76</v>
      </c>
      <c r="AL425" t="s">
        <v>66</v>
      </c>
      <c r="AM425">
        <v>0</v>
      </c>
      <c r="AN425">
        <v>0</v>
      </c>
      <c r="AO425">
        <v>0</v>
      </c>
      <c r="AP425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s">
        <v>77</v>
      </c>
      <c r="AY425" t="s">
        <v>57</v>
      </c>
      <c r="AZ425" t="s">
        <v>74</v>
      </c>
      <c r="BA425" t="s">
        <v>75</v>
      </c>
      <c r="BB425" t="s">
        <v>55</v>
      </c>
    </row>
    <row r="426" spans="1:54" x14ac:dyDescent="0.25">
      <c r="A426" t="s">
        <v>135</v>
      </c>
      <c r="B426" t="s">
        <v>54</v>
      </c>
      <c r="C426" t="s">
        <v>54</v>
      </c>
      <c r="D426" t="s">
        <v>173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173</v>
      </c>
      <c r="L426">
        <v>-2147483648</v>
      </c>
      <c r="M426">
        <v>-2147483648</v>
      </c>
      <c r="N426">
        <v>-2147483648</v>
      </c>
      <c r="O426">
        <v>0</v>
      </c>
      <c r="P426" t="s">
        <v>59</v>
      </c>
      <c r="Q426">
        <v>0</v>
      </c>
      <c r="R426">
        <v>0</v>
      </c>
      <c r="S426">
        <v>0</v>
      </c>
      <c r="T426" t="s">
        <v>57</v>
      </c>
      <c r="U426">
        <v>0</v>
      </c>
      <c r="V426">
        <v>0</v>
      </c>
      <c r="W426">
        <v>0</v>
      </c>
      <c r="X426">
        <v>-100</v>
      </c>
      <c r="Y426" t="s">
        <v>67</v>
      </c>
      <c r="Z426">
        <v>0</v>
      </c>
      <c r="AA426">
        <v>0</v>
      </c>
      <c r="AB426">
        <v>0</v>
      </c>
      <c r="AC426">
        <v>0</v>
      </c>
      <c r="AD426" t="s">
        <v>60</v>
      </c>
      <c r="AE426">
        <v>0</v>
      </c>
      <c r="AF426">
        <v>0</v>
      </c>
      <c r="AG426">
        <v>0</v>
      </c>
      <c r="AH426">
        <v>0</v>
      </c>
      <c r="AI426" t="b">
        <v>0</v>
      </c>
      <c r="AJ426" t="s">
        <v>55</v>
      </c>
      <c r="AK426" t="s">
        <v>76</v>
      </c>
      <c r="AL426" t="s">
        <v>66</v>
      </c>
      <c r="AM426">
        <v>0</v>
      </c>
      <c r="AN426">
        <v>0</v>
      </c>
      <c r="AO426">
        <v>0</v>
      </c>
      <c r="AP426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s">
        <v>77</v>
      </c>
      <c r="AY426" t="s">
        <v>57</v>
      </c>
      <c r="AZ426" t="s">
        <v>74</v>
      </c>
      <c r="BA426" t="s">
        <v>75</v>
      </c>
      <c r="BB426" t="s">
        <v>55</v>
      </c>
    </row>
    <row r="427" spans="1:54" x14ac:dyDescent="0.25">
      <c r="A427" t="s">
        <v>136</v>
      </c>
      <c r="B427" t="s">
        <v>54</v>
      </c>
      <c r="C427" t="s">
        <v>54</v>
      </c>
      <c r="D427" t="s">
        <v>173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173</v>
      </c>
      <c r="L427">
        <v>-2147483648</v>
      </c>
      <c r="M427">
        <v>-2147483648</v>
      </c>
      <c r="N427">
        <v>-2147483648</v>
      </c>
      <c r="O427">
        <v>0</v>
      </c>
      <c r="P427" t="s">
        <v>59</v>
      </c>
      <c r="Q427">
        <v>0</v>
      </c>
      <c r="R427">
        <v>0</v>
      </c>
      <c r="S427">
        <v>0</v>
      </c>
      <c r="T427" t="s">
        <v>57</v>
      </c>
      <c r="U427">
        <v>0</v>
      </c>
      <c r="V427">
        <v>0</v>
      </c>
      <c r="W427">
        <v>0</v>
      </c>
      <c r="X427">
        <v>-100</v>
      </c>
      <c r="Y427" t="s">
        <v>67</v>
      </c>
      <c r="Z427">
        <v>0</v>
      </c>
      <c r="AA427">
        <v>0</v>
      </c>
      <c r="AB427">
        <v>0</v>
      </c>
      <c r="AC427">
        <v>0</v>
      </c>
      <c r="AD427" t="s">
        <v>60</v>
      </c>
      <c r="AE427">
        <v>0</v>
      </c>
      <c r="AF427">
        <v>0</v>
      </c>
      <c r="AG427">
        <v>0</v>
      </c>
      <c r="AH427">
        <v>0</v>
      </c>
      <c r="AI427" t="b">
        <v>0</v>
      </c>
      <c r="AJ427" t="s">
        <v>55</v>
      </c>
      <c r="AK427" t="s">
        <v>76</v>
      </c>
      <c r="AL427" t="s">
        <v>66</v>
      </c>
      <c r="AM427">
        <v>0</v>
      </c>
      <c r="AN427">
        <v>0</v>
      </c>
      <c r="AO427">
        <v>0</v>
      </c>
      <c r="AP427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s">
        <v>77</v>
      </c>
      <c r="AY427" t="s">
        <v>57</v>
      </c>
      <c r="AZ427" t="s">
        <v>74</v>
      </c>
      <c r="BA427" t="s">
        <v>75</v>
      </c>
      <c r="BB427" t="s">
        <v>55</v>
      </c>
    </row>
    <row r="428" spans="1:54" x14ac:dyDescent="0.25">
      <c r="A428" t="s">
        <v>137</v>
      </c>
      <c r="B428" t="s">
        <v>54</v>
      </c>
      <c r="C428" t="s">
        <v>54</v>
      </c>
      <c r="D428" t="s">
        <v>173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173</v>
      </c>
      <c r="L428">
        <v>-2147483648</v>
      </c>
      <c r="M428">
        <v>-2147483648</v>
      </c>
      <c r="N428">
        <v>-2147483648</v>
      </c>
      <c r="O428">
        <v>0</v>
      </c>
      <c r="P428" t="s">
        <v>59</v>
      </c>
      <c r="Q428">
        <v>0</v>
      </c>
      <c r="R428">
        <v>0</v>
      </c>
      <c r="S428">
        <v>0</v>
      </c>
      <c r="T428" t="s">
        <v>57</v>
      </c>
      <c r="U428">
        <v>0</v>
      </c>
      <c r="V428">
        <v>0</v>
      </c>
      <c r="W428">
        <v>0</v>
      </c>
      <c r="X428">
        <v>-100</v>
      </c>
      <c r="Y428" t="s">
        <v>67</v>
      </c>
      <c r="Z428">
        <v>0</v>
      </c>
      <c r="AA428">
        <v>0</v>
      </c>
      <c r="AB428">
        <v>0</v>
      </c>
      <c r="AC428">
        <v>0</v>
      </c>
      <c r="AD428" t="s">
        <v>60</v>
      </c>
      <c r="AE428">
        <v>0</v>
      </c>
      <c r="AF428">
        <v>0</v>
      </c>
      <c r="AG428">
        <v>0</v>
      </c>
      <c r="AH428">
        <v>0</v>
      </c>
      <c r="AI428" t="b">
        <v>0</v>
      </c>
      <c r="AJ428" t="s">
        <v>55</v>
      </c>
      <c r="AK428" t="s">
        <v>76</v>
      </c>
      <c r="AL428" t="s">
        <v>66</v>
      </c>
      <c r="AM428">
        <v>0</v>
      </c>
      <c r="AN428">
        <v>0</v>
      </c>
      <c r="AO428">
        <v>0</v>
      </c>
      <c r="AP428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s">
        <v>77</v>
      </c>
      <c r="AY428" t="s">
        <v>57</v>
      </c>
      <c r="AZ428" t="s">
        <v>74</v>
      </c>
      <c r="BA428" t="s">
        <v>75</v>
      </c>
      <c r="BB428" t="s">
        <v>55</v>
      </c>
    </row>
    <row r="429" spans="1:54" x14ac:dyDescent="0.25">
      <c r="A429" t="s">
        <v>138</v>
      </c>
      <c r="B429" t="s">
        <v>54</v>
      </c>
      <c r="C429" t="s">
        <v>54</v>
      </c>
      <c r="D429" t="s">
        <v>173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173</v>
      </c>
      <c r="L429">
        <v>-2147483648</v>
      </c>
      <c r="M429">
        <v>-2147483648</v>
      </c>
      <c r="N429">
        <v>-2147483648</v>
      </c>
      <c r="O429">
        <v>0</v>
      </c>
      <c r="P429" t="s">
        <v>59</v>
      </c>
      <c r="Q429">
        <v>0</v>
      </c>
      <c r="R429">
        <v>0</v>
      </c>
      <c r="S429">
        <v>0</v>
      </c>
      <c r="T429" t="s">
        <v>57</v>
      </c>
      <c r="U429">
        <v>0</v>
      </c>
      <c r="V429">
        <v>0</v>
      </c>
      <c r="W429">
        <v>0</v>
      </c>
      <c r="X429">
        <v>-100</v>
      </c>
      <c r="Y429" t="s">
        <v>67</v>
      </c>
      <c r="Z429">
        <v>0</v>
      </c>
      <c r="AA429">
        <v>0</v>
      </c>
      <c r="AB429">
        <v>0</v>
      </c>
      <c r="AC429">
        <v>0</v>
      </c>
      <c r="AD429" t="s">
        <v>60</v>
      </c>
      <c r="AE429">
        <v>0</v>
      </c>
      <c r="AF429">
        <v>0</v>
      </c>
      <c r="AG429">
        <v>0</v>
      </c>
      <c r="AH429">
        <v>0</v>
      </c>
      <c r="AI429" t="b">
        <v>0</v>
      </c>
      <c r="AJ429" t="s">
        <v>55</v>
      </c>
      <c r="AK429" t="s">
        <v>76</v>
      </c>
      <c r="AL429" t="s">
        <v>66</v>
      </c>
      <c r="AM429">
        <v>0</v>
      </c>
      <c r="AN429">
        <v>0</v>
      </c>
      <c r="AO429">
        <v>0</v>
      </c>
      <c r="AP429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s">
        <v>77</v>
      </c>
      <c r="AY429" t="s">
        <v>57</v>
      </c>
      <c r="AZ429" t="s">
        <v>74</v>
      </c>
      <c r="BA429" t="s">
        <v>75</v>
      </c>
      <c r="BB429" t="s">
        <v>55</v>
      </c>
    </row>
    <row r="430" spans="1:54" x14ac:dyDescent="0.25">
      <c r="A430" t="s">
        <v>139</v>
      </c>
      <c r="B430" t="s">
        <v>54</v>
      </c>
      <c r="C430" t="s">
        <v>54</v>
      </c>
      <c r="D430" t="s">
        <v>173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173</v>
      </c>
      <c r="L430">
        <v>-2147483648</v>
      </c>
      <c r="M430">
        <v>-2147483648</v>
      </c>
      <c r="N430">
        <v>-2147483648</v>
      </c>
      <c r="O430">
        <v>0</v>
      </c>
      <c r="P430" t="s">
        <v>59</v>
      </c>
      <c r="Q430">
        <v>0</v>
      </c>
      <c r="R430">
        <v>0</v>
      </c>
      <c r="S430">
        <v>0</v>
      </c>
      <c r="T430" t="s">
        <v>57</v>
      </c>
      <c r="U430">
        <v>0</v>
      </c>
      <c r="V430">
        <v>0</v>
      </c>
      <c r="W430">
        <v>0</v>
      </c>
      <c r="X430">
        <v>-100</v>
      </c>
      <c r="Y430" t="s">
        <v>67</v>
      </c>
      <c r="Z430">
        <v>0</v>
      </c>
      <c r="AA430">
        <v>0</v>
      </c>
      <c r="AB430">
        <v>0</v>
      </c>
      <c r="AC430">
        <v>0</v>
      </c>
      <c r="AD430" t="s">
        <v>60</v>
      </c>
      <c r="AE430">
        <v>0</v>
      </c>
      <c r="AF430">
        <v>0</v>
      </c>
      <c r="AG430">
        <v>0</v>
      </c>
      <c r="AH430">
        <v>0</v>
      </c>
      <c r="AI430" t="b">
        <v>0</v>
      </c>
      <c r="AJ430" t="s">
        <v>55</v>
      </c>
      <c r="AK430" t="s">
        <v>76</v>
      </c>
      <c r="AL430" t="s">
        <v>66</v>
      </c>
      <c r="AM430">
        <v>0</v>
      </c>
      <c r="AN430">
        <v>0</v>
      </c>
      <c r="AO430">
        <v>0</v>
      </c>
      <c r="AP430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s">
        <v>77</v>
      </c>
      <c r="AY430" t="s">
        <v>57</v>
      </c>
      <c r="AZ430" t="s">
        <v>74</v>
      </c>
      <c r="BA430" t="s">
        <v>75</v>
      </c>
      <c r="BB430" t="s">
        <v>55</v>
      </c>
    </row>
  </sheetData>
  <autoFilter ref="A1:BB430" xr:uid="{D98702F2-EF0D-47D9-9CCD-26C3C09888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30"/>
  <sheetViews>
    <sheetView topLeftCell="A398" workbookViewId="0">
      <selection sqref="A1:B430"/>
    </sheetView>
  </sheetViews>
  <sheetFormatPr defaultRowHeight="15.75" x14ac:dyDescent="0.25"/>
  <cols>
    <col min="1" max="4" width="33.75" customWidth="1"/>
    <col min="11" max="11" width="33.625" bestFit="1" customWidth="1"/>
    <col min="15" max="15" width="9.75" customWidth="1"/>
    <col min="18" max="18" width="33.625" bestFit="1" customWidth="1"/>
  </cols>
  <sheetData>
    <row r="1" spans="1:61" x14ac:dyDescent="0.25">
      <c r="A1" t="s">
        <v>3</v>
      </c>
      <c r="B1" t="s">
        <v>7</v>
      </c>
      <c r="C1" t="s">
        <v>506</v>
      </c>
      <c r="D1" t="s">
        <v>507</v>
      </c>
      <c r="E1" t="s">
        <v>504</v>
      </c>
      <c r="F1" t="s">
        <v>505</v>
      </c>
      <c r="G1" t="s">
        <v>140</v>
      </c>
      <c r="H1" t="s">
        <v>9</v>
      </c>
      <c r="I1" t="s">
        <v>10</v>
      </c>
      <c r="J1" t="s">
        <v>8</v>
      </c>
      <c r="K1" t="s">
        <v>7</v>
      </c>
      <c r="L1" t="s">
        <v>6</v>
      </c>
      <c r="M1" t="s">
        <v>0</v>
      </c>
      <c r="N1" t="s">
        <v>1</v>
      </c>
      <c r="O1" t="s">
        <v>2</v>
      </c>
      <c r="P1" t="s">
        <v>5</v>
      </c>
      <c r="Q1" t="s">
        <v>4</v>
      </c>
      <c r="R1" t="s">
        <v>3</v>
      </c>
      <c r="S1" t="s">
        <v>14</v>
      </c>
      <c r="T1" t="s">
        <v>11</v>
      </c>
      <c r="U1" t="s">
        <v>12</v>
      </c>
      <c r="V1" t="s">
        <v>13</v>
      </c>
      <c r="W1" t="s">
        <v>41</v>
      </c>
      <c r="X1" t="s">
        <v>22</v>
      </c>
      <c r="Y1" t="s">
        <v>16</v>
      </c>
      <c r="Z1" t="s">
        <v>17</v>
      </c>
      <c r="AA1" t="s">
        <v>36</v>
      </c>
      <c r="AB1" t="s">
        <v>25</v>
      </c>
      <c r="AC1" t="s">
        <v>19</v>
      </c>
      <c r="AD1" t="s">
        <v>21</v>
      </c>
      <c r="AE1" t="s">
        <v>20</v>
      </c>
      <c r="AF1" t="s">
        <v>26</v>
      </c>
      <c r="AG1" t="s">
        <v>28</v>
      </c>
      <c r="AH1" t="s">
        <v>29</v>
      </c>
      <c r="AI1" t="s">
        <v>30</v>
      </c>
      <c r="AJ1" t="s">
        <v>24</v>
      </c>
      <c r="AK1" t="s">
        <v>42</v>
      </c>
      <c r="AL1" t="s">
        <v>35</v>
      </c>
      <c r="AM1" t="s">
        <v>34</v>
      </c>
      <c r="AN1" t="s">
        <v>33</v>
      </c>
      <c r="AO1" t="s">
        <v>27</v>
      </c>
      <c r="AP1" t="s">
        <v>50</v>
      </c>
      <c r="AQ1" t="s">
        <v>39</v>
      </c>
      <c r="AR1" t="s">
        <v>40</v>
      </c>
      <c r="AS1" t="s">
        <v>23</v>
      </c>
      <c r="AT1" t="s">
        <v>43</v>
      </c>
      <c r="AU1" t="s">
        <v>31</v>
      </c>
      <c r="AV1" t="s">
        <v>44</v>
      </c>
      <c r="AW1" t="s">
        <v>32</v>
      </c>
      <c r="AX1" t="s">
        <v>45</v>
      </c>
      <c r="AY1" t="s">
        <v>51</v>
      </c>
      <c r="AZ1" t="s">
        <v>46</v>
      </c>
      <c r="BA1" t="s">
        <v>47</v>
      </c>
      <c r="BB1" t="s">
        <v>18</v>
      </c>
      <c r="BC1" t="s">
        <v>48</v>
      </c>
      <c r="BD1" t="s">
        <v>49</v>
      </c>
      <c r="BE1" t="s">
        <v>52</v>
      </c>
      <c r="BF1" t="s">
        <v>53</v>
      </c>
      <c r="BG1" t="s">
        <v>15</v>
      </c>
      <c r="BH1" t="s">
        <v>37</v>
      </c>
      <c r="BI1" t="s">
        <v>38</v>
      </c>
    </row>
    <row r="2" spans="1:61" x14ac:dyDescent="0.25">
      <c r="A2" t="str" cm="1">
        <f t="array" ref="A2">_xlfn.IFS(AS2="RegularSeason",C2,AS2&lt;&gt;"RegularSeason",R2)</f>
        <v>00101101010010100000000000000001</v>
      </c>
      <c r="B2" t="str" cm="1">
        <f t="array" ref="B2">_xlfn.IFS(AS2="RegularSeason",D2,AS2&lt;&gt;"RegularSeason",K2)</f>
        <v>00101101010010100000000000011100</v>
      </c>
      <c r="C2" t="str">
        <f>_xlfn.CONCAT(LEFT(R2,24),E2)</f>
        <v>00101101010010100000000000000111</v>
      </c>
      <c r="D2" t="str">
        <f>_xlfn.CONCAT(LEFT(K2,24),F2)</f>
        <v>00101101010010100000000000001101</v>
      </c>
      <c r="E2" t="str" cm="1">
        <f t="array" ref="E2">_xlfn.XLOOKUP(_xlfn.XLOOKUP(G2,New!A:A,New!M:M,NONE),TeamIdentity!A:A,TeamIdentity!C:C,NONE)</f>
        <v>00000111</v>
      </c>
      <c r="F2" t="str" cm="1">
        <f t="array" ref="F2">_xlfn.XLOOKUP(_xlfn.XLOOKUP(G2,New!A:A,New!F:F,NONE),TeamIdentity!A:A,TeamIdentity!C:C,NONE)</f>
        <v>00001101</v>
      </c>
      <c r="G2" t="str">
        <f>_xlfn.CONCAT(AU2,"-",AV2)</f>
        <v>0-1</v>
      </c>
      <c r="H2" t="s">
        <v>54</v>
      </c>
      <c r="I2" t="s">
        <v>54</v>
      </c>
      <c r="J2" t="s">
        <v>54</v>
      </c>
      <c r="K2" t="s">
        <v>525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523</v>
      </c>
      <c r="S2">
        <v>90329</v>
      </c>
      <c r="T2">
        <v>0</v>
      </c>
      <c r="U2">
        <v>90328</v>
      </c>
      <c r="V2">
        <v>0</v>
      </c>
      <c r="W2" t="s">
        <v>70</v>
      </c>
      <c r="X2">
        <v>0</v>
      </c>
      <c r="Y2">
        <v>0</v>
      </c>
      <c r="Z2">
        <v>1260</v>
      </c>
      <c r="AA2" t="s">
        <v>57</v>
      </c>
      <c r="AB2">
        <v>0</v>
      </c>
      <c r="AC2">
        <v>0</v>
      </c>
      <c r="AD2">
        <v>0</v>
      </c>
      <c r="AE2">
        <v>0</v>
      </c>
      <c r="AF2" t="s">
        <v>67</v>
      </c>
      <c r="AG2">
        <v>0</v>
      </c>
      <c r="AH2">
        <v>0</v>
      </c>
      <c r="AI2">
        <v>0</v>
      </c>
      <c r="AJ2">
        <v>0</v>
      </c>
      <c r="AK2" t="s">
        <v>65</v>
      </c>
      <c r="AL2">
        <v>0</v>
      </c>
      <c r="AM2">
        <v>0</v>
      </c>
      <c r="AN2">
        <v>0</v>
      </c>
      <c r="AO2">
        <v>0</v>
      </c>
      <c r="AP2" t="b">
        <v>0</v>
      </c>
      <c r="AQ2" t="s">
        <v>58</v>
      </c>
      <c r="AR2" t="s">
        <v>58</v>
      </c>
      <c r="AS2" t="s">
        <v>66</v>
      </c>
      <c r="AT2">
        <v>14</v>
      </c>
      <c r="AU2">
        <v>0</v>
      </c>
      <c r="AV2">
        <v>1</v>
      </c>
      <c r="AW2">
        <v>11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s">
        <v>61</v>
      </c>
      <c r="BF2" t="s">
        <v>57</v>
      </c>
      <c r="BG2" t="s">
        <v>55</v>
      </c>
      <c r="BH2" t="s">
        <v>58</v>
      </c>
      <c r="BI2" t="s">
        <v>58</v>
      </c>
    </row>
    <row r="3" spans="1:61" x14ac:dyDescent="0.25">
      <c r="A3" t="str" cm="1">
        <f t="array" ref="A3">_xlfn.IFS(AS3="RegularSeason",C3,AS3&lt;&gt;"RegularSeason",R3)</f>
        <v>00101101010010100000000000001110</v>
      </c>
      <c r="B3" t="str" cm="1">
        <f t="array" ref="B3">_xlfn.IFS(AS3="RegularSeason",D3,AS3&lt;&gt;"RegularSeason",K3)</f>
        <v>00101101010010100000000000000011</v>
      </c>
      <c r="C3" t="str">
        <f t="shared" ref="C3:C66" si="0">_xlfn.CONCAT(LEFT(R3,24),E3)</f>
        <v>00101101010010100000000000010001</v>
      </c>
      <c r="D3" t="str">
        <f t="shared" ref="D3:D66" si="1">_xlfn.CONCAT(LEFT(K3,24),F3)</f>
        <v>00101101010010100000000000001100</v>
      </c>
      <c r="E3" t="str" cm="1">
        <f t="array" ref="E3">_xlfn.XLOOKUP(_xlfn.XLOOKUP(G3,New!A:A,New!M:M,NONE),TeamIdentity!A:A,TeamIdentity!C:C,NONE)</f>
        <v>00010001</v>
      </c>
      <c r="F3" t="str" cm="1">
        <f t="array" ref="F3">_xlfn.XLOOKUP(_xlfn.XLOOKUP(G3,New!A:A,New!F:F,NONE),TeamIdentity!A:A,TeamIdentity!C:C,NONE)</f>
        <v>00001100</v>
      </c>
      <c r="G3" t="str">
        <f t="shared" ref="G3:G66" si="2">_xlfn.CONCAT(AU3,"-",AV3)</f>
        <v>0-10</v>
      </c>
      <c r="H3" t="s">
        <v>54</v>
      </c>
      <c r="I3" t="s">
        <v>54</v>
      </c>
      <c r="J3" t="s">
        <v>54</v>
      </c>
      <c r="K3" t="s">
        <v>524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541</v>
      </c>
      <c r="S3">
        <v>90319</v>
      </c>
      <c r="T3">
        <v>0</v>
      </c>
      <c r="U3">
        <v>90318</v>
      </c>
      <c r="V3">
        <v>0</v>
      </c>
      <c r="W3" t="s">
        <v>70</v>
      </c>
      <c r="X3">
        <v>0</v>
      </c>
      <c r="Y3">
        <v>0</v>
      </c>
      <c r="Z3">
        <v>1200</v>
      </c>
      <c r="AA3" t="s">
        <v>57</v>
      </c>
      <c r="AB3">
        <v>0</v>
      </c>
      <c r="AC3">
        <v>0</v>
      </c>
      <c r="AD3">
        <v>0</v>
      </c>
      <c r="AE3">
        <v>0</v>
      </c>
      <c r="AF3" t="s">
        <v>67</v>
      </c>
      <c r="AG3">
        <v>0</v>
      </c>
      <c r="AH3">
        <v>0</v>
      </c>
      <c r="AI3">
        <v>0</v>
      </c>
      <c r="AJ3">
        <v>0</v>
      </c>
      <c r="AK3" t="s">
        <v>63</v>
      </c>
      <c r="AL3">
        <v>0</v>
      </c>
      <c r="AM3">
        <v>0</v>
      </c>
      <c r="AN3">
        <v>0</v>
      </c>
      <c r="AO3">
        <v>0</v>
      </c>
      <c r="AP3" t="b">
        <v>0</v>
      </c>
      <c r="AQ3" t="s">
        <v>58</v>
      </c>
      <c r="AR3" t="s">
        <v>58</v>
      </c>
      <c r="AS3" t="s">
        <v>66</v>
      </c>
      <c r="AT3">
        <v>14</v>
      </c>
      <c r="AU3">
        <v>0</v>
      </c>
      <c r="AV3">
        <v>10</v>
      </c>
      <c r="AW3">
        <v>11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s">
        <v>61</v>
      </c>
      <c r="BF3" t="s">
        <v>57</v>
      </c>
      <c r="BG3" t="s">
        <v>55</v>
      </c>
      <c r="BH3" t="s">
        <v>58</v>
      </c>
      <c r="BI3" t="s">
        <v>58</v>
      </c>
    </row>
    <row r="4" spans="1:61" x14ac:dyDescent="0.25">
      <c r="A4" t="str" cm="1">
        <f t="array" ref="A4">_xlfn.IFS(AS4="RegularSeason",C4,AS4&lt;&gt;"RegularSeason",R4)</f>
        <v>00101101010010100000000000100000</v>
      </c>
      <c r="B4" t="str" cm="1">
        <f t="array" ref="B4">_xlfn.IFS(AS4="RegularSeason",D4,AS4&lt;&gt;"RegularSeason",K4)</f>
        <v>00101101010010100000000000000010</v>
      </c>
      <c r="C4" t="str">
        <f t="shared" si="0"/>
        <v>00101101010010100000000000001110</v>
      </c>
      <c r="D4" t="str">
        <f t="shared" si="1"/>
        <v>00101101010010100000000000010011</v>
      </c>
      <c r="E4" t="str" cm="1">
        <f t="array" ref="E4">_xlfn.XLOOKUP(_xlfn.XLOOKUP(G4,New!A:A,New!M:M,NONE),TeamIdentity!A:A,TeamIdentity!C:C,NONE)</f>
        <v>00001110</v>
      </c>
      <c r="F4" t="str" cm="1">
        <f t="array" ref="F4">_xlfn.XLOOKUP(_xlfn.XLOOKUP(G4,New!A:A,New!F:F,NONE),TeamIdentity!A:A,TeamIdentity!C:C,NONE)</f>
        <v>00010011</v>
      </c>
      <c r="G4" t="str">
        <f t="shared" si="2"/>
        <v>0-15</v>
      </c>
      <c r="H4" t="s">
        <v>54</v>
      </c>
      <c r="I4" t="s">
        <v>54</v>
      </c>
      <c r="J4" t="s">
        <v>54</v>
      </c>
      <c r="K4" t="s">
        <v>532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527</v>
      </c>
      <c r="S4">
        <v>90325</v>
      </c>
      <c r="T4">
        <v>0</v>
      </c>
      <c r="U4">
        <v>90324</v>
      </c>
      <c r="V4">
        <v>0</v>
      </c>
      <c r="W4" t="s">
        <v>70</v>
      </c>
      <c r="X4">
        <v>0</v>
      </c>
      <c r="Y4">
        <v>0</v>
      </c>
      <c r="Z4">
        <v>1380</v>
      </c>
      <c r="AA4" t="s">
        <v>57</v>
      </c>
      <c r="AB4">
        <v>0</v>
      </c>
      <c r="AC4">
        <v>0</v>
      </c>
      <c r="AD4">
        <v>0</v>
      </c>
      <c r="AE4">
        <v>0</v>
      </c>
      <c r="AF4" t="s">
        <v>67</v>
      </c>
      <c r="AG4">
        <v>0</v>
      </c>
      <c r="AH4">
        <v>0</v>
      </c>
      <c r="AI4">
        <v>0</v>
      </c>
      <c r="AJ4">
        <v>0</v>
      </c>
      <c r="AK4" t="s">
        <v>63</v>
      </c>
      <c r="AL4">
        <v>0</v>
      </c>
      <c r="AM4">
        <v>0</v>
      </c>
      <c r="AN4">
        <v>0</v>
      </c>
      <c r="AO4">
        <v>0</v>
      </c>
      <c r="AP4" t="b">
        <v>0</v>
      </c>
      <c r="AQ4" t="s">
        <v>58</v>
      </c>
      <c r="AR4" t="s">
        <v>58</v>
      </c>
      <c r="AS4" t="s">
        <v>66</v>
      </c>
      <c r="AT4">
        <v>14</v>
      </c>
      <c r="AU4">
        <v>0</v>
      </c>
      <c r="AV4">
        <v>15</v>
      </c>
      <c r="AW4">
        <v>11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s">
        <v>61</v>
      </c>
      <c r="BF4" t="s">
        <v>57</v>
      </c>
      <c r="BG4" t="s">
        <v>55</v>
      </c>
      <c r="BH4" t="s">
        <v>58</v>
      </c>
      <c r="BI4" t="s">
        <v>58</v>
      </c>
    </row>
    <row r="5" spans="1:61" x14ac:dyDescent="0.25">
      <c r="A5" t="str" cm="1">
        <f t="array" ref="A5">_xlfn.IFS(AS5="RegularSeason",C5,AS5&lt;&gt;"RegularSeason",R5)</f>
        <v>00101101010010100000000000010001</v>
      </c>
      <c r="B5" t="str" cm="1">
        <f t="array" ref="B5">_xlfn.IFS(AS5="RegularSeason",D5,AS5&lt;&gt;"RegularSeason",K5)</f>
        <v>00101101010010100000000000000101</v>
      </c>
      <c r="C5" t="str">
        <f t="shared" si="0"/>
        <v>00101101010010100000000000011111</v>
      </c>
      <c r="D5" t="str">
        <f t="shared" si="1"/>
        <v>00101101010010100000000000000110</v>
      </c>
      <c r="E5" t="str" cm="1">
        <f t="array" ref="E5">_xlfn.XLOOKUP(_xlfn.XLOOKUP(G5,New!A:A,New!M:M,NONE),TeamIdentity!A:A,TeamIdentity!C:C,NONE)</f>
        <v>00011111</v>
      </c>
      <c r="F5" t="str" cm="1">
        <f t="array" ref="F5">_xlfn.XLOOKUP(_xlfn.XLOOKUP(G5,New!A:A,New!F:F,NONE),TeamIdentity!A:A,TeamIdentity!C:C,NONE)</f>
        <v>00000110</v>
      </c>
      <c r="G5" t="str">
        <f t="shared" si="2"/>
        <v>0-2</v>
      </c>
      <c r="H5" t="s">
        <v>54</v>
      </c>
      <c r="I5" t="s">
        <v>54</v>
      </c>
      <c r="J5" t="s">
        <v>54</v>
      </c>
      <c r="K5" t="s">
        <v>530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515</v>
      </c>
      <c r="S5">
        <v>90301</v>
      </c>
      <c r="T5">
        <v>0</v>
      </c>
      <c r="U5">
        <v>90300</v>
      </c>
      <c r="V5">
        <v>0</v>
      </c>
      <c r="W5" t="s">
        <v>70</v>
      </c>
      <c r="X5">
        <v>0</v>
      </c>
      <c r="Y5">
        <v>0</v>
      </c>
      <c r="Z5">
        <v>1140</v>
      </c>
      <c r="AA5" t="s">
        <v>57</v>
      </c>
      <c r="AB5">
        <v>0</v>
      </c>
      <c r="AC5">
        <v>0</v>
      </c>
      <c r="AD5">
        <v>0</v>
      </c>
      <c r="AE5">
        <v>0</v>
      </c>
      <c r="AF5" t="s">
        <v>67</v>
      </c>
      <c r="AG5">
        <v>0</v>
      </c>
      <c r="AH5">
        <v>0</v>
      </c>
      <c r="AI5">
        <v>0</v>
      </c>
      <c r="AJ5">
        <v>0</v>
      </c>
      <c r="AK5" t="s">
        <v>69</v>
      </c>
      <c r="AL5">
        <v>0</v>
      </c>
      <c r="AM5">
        <v>0</v>
      </c>
      <c r="AN5">
        <v>0</v>
      </c>
      <c r="AO5">
        <v>0</v>
      </c>
      <c r="AP5" t="b">
        <v>0</v>
      </c>
      <c r="AQ5" t="s">
        <v>58</v>
      </c>
      <c r="AR5" t="s">
        <v>58</v>
      </c>
      <c r="AS5" t="s">
        <v>66</v>
      </c>
      <c r="AT5">
        <v>14</v>
      </c>
      <c r="AU5">
        <v>0</v>
      </c>
      <c r="AV5">
        <v>2</v>
      </c>
      <c r="AW5">
        <v>11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s">
        <v>61</v>
      </c>
      <c r="BF5" t="s">
        <v>57</v>
      </c>
      <c r="BG5" t="s">
        <v>55</v>
      </c>
      <c r="BH5" t="s">
        <v>58</v>
      </c>
      <c r="BI5" t="s">
        <v>58</v>
      </c>
    </row>
    <row r="6" spans="1:61" x14ac:dyDescent="0.25">
      <c r="A6" t="str" cm="1">
        <f t="array" ref="A6">_xlfn.IFS(AS6="RegularSeason",C6,AS6&lt;&gt;"RegularSeason",R6)</f>
        <v>00101101010010100000000000011010</v>
      </c>
      <c r="B6" t="str" cm="1">
        <f t="array" ref="B6">_xlfn.IFS(AS6="RegularSeason",D6,AS6&lt;&gt;"RegularSeason",K6)</f>
        <v>00101101010010100000000000010110</v>
      </c>
      <c r="C6" t="str">
        <f t="shared" si="0"/>
        <v>00101101010010100000000000011101</v>
      </c>
      <c r="D6" t="str">
        <f t="shared" si="1"/>
        <v>00101101010010100000000000000101</v>
      </c>
      <c r="E6" t="str" cm="1">
        <f t="array" ref="E6">_xlfn.XLOOKUP(_xlfn.XLOOKUP(G6,New!A:A,New!M:M,NONE),TeamIdentity!A:A,TeamIdentity!C:C,NONE)</f>
        <v>00011101</v>
      </c>
      <c r="F6" t="str" cm="1">
        <f t="array" ref="F6">_xlfn.XLOOKUP(_xlfn.XLOOKUP(G6,New!A:A,New!F:F,NONE),TeamIdentity!A:A,TeamIdentity!C:C,NONE)</f>
        <v>00000101</v>
      </c>
      <c r="G6" t="str">
        <f t="shared" si="2"/>
        <v>0-11</v>
      </c>
      <c r="H6" t="s">
        <v>54</v>
      </c>
      <c r="I6" t="s">
        <v>54</v>
      </c>
      <c r="J6" t="s">
        <v>54</v>
      </c>
      <c r="K6" t="s">
        <v>522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511</v>
      </c>
      <c r="S6">
        <v>90315</v>
      </c>
      <c r="T6">
        <v>0</v>
      </c>
      <c r="U6">
        <v>90314</v>
      </c>
      <c r="V6">
        <v>0</v>
      </c>
      <c r="W6" t="s">
        <v>70</v>
      </c>
      <c r="X6">
        <v>0</v>
      </c>
      <c r="Y6">
        <v>0</v>
      </c>
      <c r="Z6">
        <v>1200</v>
      </c>
      <c r="AA6" t="s">
        <v>57</v>
      </c>
      <c r="AB6">
        <v>0</v>
      </c>
      <c r="AC6">
        <v>0</v>
      </c>
      <c r="AD6">
        <v>0</v>
      </c>
      <c r="AE6">
        <v>0</v>
      </c>
      <c r="AF6" t="s">
        <v>67</v>
      </c>
      <c r="AG6">
        <v>0</v>
      </c>
      <c r="AH6">
        <v>0</v>
      </c>
      <c r="AI6">
        <v>0</v>
      </c>
      <c r="AJ6">
        <v>0</v>
      </c>
      <c r="AK6" t="s">
        <v>63</v>
      </c>
      <c r="AL6">
        <v>0</v>
      </c>
      <c r="AM6">
        <v>0</v>
      </c>
      <c r="AN6">
        <v>0</v>
      </c>
      <c r="AO6">
        <v>0</v>
      </c>
      <c r="AP6" t="b">
        <v>0</v>
      </c>
      <c r="AQ6" t="s">
        <v>58</v>
      </c>
      <c r="AR6" t="s">
        <v>58</v>
      </c>
      <c r="AS6" t="s">
        <v>66</v>
      </c>
      <c r="AT6">
        <v>14</v>
      </c>
      <c r="AU6">
        <v>0</v>
      </c>
      <c r="AV6">
        <v>11</v>
      </c>
      <c r="AW6">
        <v>11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s">
        <v>61</v>
      </c>
      <c r="BF6" t="s">
        <v>57</v>
      </c>
      <c r="BG6" t="s">
        <v>55</v>
      </c>
      <c r="BH6" t="s">
        <v>58</v>
      </c>
      <c r="BI6" t="s">
        <v>58</v>
      </c>
    </row>
    <row r="7" spans="1:61" x14ac:dyDescent="0.25">
      <c r="A7" t="str" cm="1">
        <f t="array" ref="A7">_xlfn.IFS(AS7="RegularSeason",C7,AS7&lt;&gt;"RegularSeason",R7)</f>
        <v>00101101010010100000000000010101</v>
      </c>
      <c r="B7" t="str" cm="1">
        <f t="array" ref="B7">_xlfn.IFS(AS7="RegularSeason",D7,AS7&lt;&gt;"RegularSeason",K7)</f>
        <v>00101101010010100000000000001101</v>
      </c>
      <c r="C7" t="str">
        <f t="shared" si="0"/>
        <v>00101101010010100000000000000011</v>
      </c>
      <c r="D7" t="str">
        <f t="shared" si="1"/>
        <v>00101101010010100000000000011011</v>
      </c>
      <c r="E7" t="str" cm="1">
        <f t="array" ref="E7">_xlfn.XLOOKUP(_xlfn.XLOOKUP(G7,New!A:A,New!M:M,NONE),TeamIdentity!A:A,TeamIdentity!C:C,NONE)</f>
        <v>00000011</v>
      </c>
      <c r="F7" t="str" cm="1">
        <f t="array" ref="F7">_xlfn.XLOOKUP(_xlfn.XLOOKUP(G7,New!A:A,New!F:F,NONE),TeamIdentity!A:A,TeamIdentity!C:C,NONE)</f>
        <v>00011011</v>
      </c>
      <c r="G7" t="str">
        <f t="shared" si="2"/>
        <v>0-12</v>
      </c>
      <c r="H7" t="s">
        <v>54</v>
      </c>
      <c r="I7" t="s">
        <v>54</v>
      </c>
      <c r="J7" t="s">
        <v>54</v>
      </c>
      <c r="K7" t="s">
        <v>521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536</v>
      </c>
      <c r="S7">
        <v>90317</v>
      </c>
      <c r="T7">
        <v>0</v>
      </c>
      <c r="U7">
        <v>90316</v>
      </c>
      <c r="V7">
        <v>0</v>
      </c>
      <c r="W7" t="s">
        <v>70</v>
      </c>
      <c r="X7">
        <v>0</v>
      </c>
      <c r="Y7">
        <v>0</v>
      </c>
      <c r="Z7">
        <v>1200</v>
      </c>
      <c r="AA7" t="s">
        <v>57</v>
      </c>
      <c r="AB7">
        <v>0</v>
      </c>
      <c r="AC7">
        <v>0</v>
      </c>
      <c r="AD7">
        <v>0</v>
      </c>
      <c r="AE7">
        <v>0</v>
      </c>
      <c r="AF7" t="s">
        <v>67</v>
      </c>
      <c r="AG7">
        <v>0</v>
      </c>
      <c r="AH7">
        <v>0</v>
      </c>
      <c r="AI7">
        <v>0</v>
      </c>
      <c r="AJ7">
        <v>0</v>
      </c>
      <c r="AK7" t="s">
        <v>63</v>
      </c>
      <c r="AL7">
        <v>0</v>
      </c>
      <c r="AM7">
        <v>0</v>
      </c>
      <c r="AN7">
        <v>0</v>
      </c>
      <c r="AO7">
        <v>0</v>
      </c>
      <c r="AP7" t="b">
        <v>0</v>
      </c>
      <c r="AQ7" t="s">
        <v>58</v>
      </c>
      <c r="AR7" t="s">
        <v>58</v>
      </c>
      <c r="AS7" t="s">
        <v>66</v>
      </c>
      <c r="AT7">
        <v>14</v>
      </c>
      <c r="AU7">
        <v>0</v>
      </c>
      <c r="AV7">
        <v>12</v>
      </c>
      <c r="AW7">
        <v>11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s">
        <v>61</v>
      </c>
      <c r="BF7" t="s">
        <v>57</v>
      </c>
      <c r="BG7" t="s">
        <v>55</v>
      </c>
      <c r="BH7" t="s">
        <v>58</v>
      </c>
      <c r="BI7" t="s">
        <v>58</v>
      </c>
    </row>
    <row r="8" spans="1:61" x14ac:dyDescent="0.25">
      <c r="A8" t="str" cm="1">
        <f t="array" ref="A8">_xlfn.IFS(AS8="RegularSeason",C8,AS8&lt;&gt;"RegularSeason",R8)</f>
        <v>00101101010010100000000000001111</v>
      </c>
      <c r="B8" t="str" cm="1">
        <f t="array" ref="B8">_xlfn.IFS(AS8="RegularSeason",D8,AS8&lt;&gt;"RegularSeason",K8)</f>
        <v>00101101010010100000000000000000</v>
      </c>
      <c r="C8" t="str">
        <f t="shared" si="0"/>
        <v>00101101010010100000000000001010</v>
      </c>
      <c r="D8" t="str">
        <f t="shared" si="1"/>
        <v>00101101010010100000000000010111</v>
      </c>
      <c r="E8" t="str" cm="1">
        <f t="array" ref="E8">_xlfn.XLOOKUP(_xlfn.XLOOKUP(G8,New!A:A,New!M:M,NONE),TeamIdentity!A:A,TeamIdentity!C:C,NONE)</f>
        <v>00001010</v>
      </c>
      <c r="F8" t="str" cm="1">
        <f t="array" ref="F8">_xlfn.XLOOKUP(_xlfn.XLOOKUP(G8,New!A:A,New!F:F,NONE),TeamIdentity!A:A,TeamIdentity!C:C,NONE)</f>
        <v>00010111</v>
      </c>
      <c r="G8" t="str">
        <f t="shared" si="2"/>
        <v>0-3</v>
      </c>
      <c r="H8" t="s">
        <v>54</v>
      </c>
      <c r="I8" t="s">
        <v>54</v>
      </c>
      <c r="J8" t="s">
        <v>54</v>
      </c>
      <c r="K8" t="s">
        <v>533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516</v>
      </c>
      <c r="S8">
        <v>90299</v>
      </c>
      <c r="T8">
        <v>0</v>
      </c>
      <c r="U8">
        <v>90298</v>
      </c>
      <c r="V8">
        <v>0</v>
      </c>
      <c r="W8" t="s">
        <v>70</v>
      </c>
      <c r="X8">
        <v>0</v>
      </c>
      <c r="Y8">
        <v>0</v>
      </c>
      <c r="Z8">
        <v>1140</v>
      </c>
      <c r="AA8" t="s">
        <v>57</v>
      </c>
      <c r="AB8">
        <v>0</v>
      </c>
      <c r="AC8">
        <v>0</v>
      </c>
      <c r="AD8">
        <v>0</v>
      </c>
      <c r="AE8">
        <v>0</v>
      </c>
      <c r="AF8" t="s">
        <v>67</v>
      </c>
      <c r="AG8">
        <v>0</v>
      </c>
      <c r="AH8">
        <v>0</v>
      </c>
      <c r="AI8">
        <v>0</v>
      </c>
      <c r="AJ8">
        <v>0</v>
      </c>
      <c r="AK8" t="s">
        <v>69</v>
      </c>
      <c r="AL8">
        <v>0</v>
      </c>
      <c r="AM8">
        <v>0</v>
      </c>
      <c r="AN8">
        <v>0</v>
      </c>
      <c r="AO8">
        <v>0</v>
      </c>
      <c r="AP8" t="b">
        <v>0</v>
      </c>
      <c r="AQ8" t="s">
        <v>58</v>
      </c>
      <c r="AR8" t="s">
        <v>58</v>
      </c>
      <c r="AS8" t="s">
        <v>66</v>
      </c>
      <c r="AT8">
        <v>14</v>
      </c>
      <c r="AU8">
        <v>0</v>
      </c>
      <c r="AV8">
        <v>3</v>
      </c>
      <c r="AW8">
        <v>11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s">
        <v>61</v>
      </c>
      <c r="BF8" t="s">
        <v>57</v>
      </c>
      <c r="BG8" t="s">
        <v>55</v>
      </c>
      <c r="BH8" t="s">
        <v>58</v>
      </c>
      <c r="BI8" t="s">
        <v>58</v>
      </c>
    </row>
    <row r="9" spans="1:61" x14ac:dyDescent="0.25">
      <c r="A9" t="str" cm="1">
        <f t="array" ref="A9">_xlfn.IFS(AS9="RegularSeason",C9,AS9&lt;&gt;"RegularSeason",R9)</f>
        <v>00101101010010100000000000010111</v>
      </c>
      <c r="B9" t="str" cm="1">
        <f t="array" ref="B9">_xlfn.IFS(AS9="RegularSeason",D9,AS9&lt;&gt;"RegularSeason",K9)</f>
        <v>00101101010010100000000000010101</v>
      </c>
      <c r="C9" t="str">
        <f t="shared" si="0"/>
        <v>00101101010010100000000000000110</v>
      </c>
      <c r="D9" t="str">
        <f t="shared" si="1"/>
        <v>00101101010010100000000000010101</v>
      </c>
      <c r="E9" t="str" cm="1">
        <f t="array" ref="E9">_xlfn.XLOOKUP(_xlfn.XLOOKUP(G9,New!A:A,New!M:M,NONE),TeamIdentity!A:A,TeamIdentity!C:C,NONE)</f>
        <v>00000110</v>
      </c>
      <c r="F9" t="str" cm="1">
        <f t="array" ref="F9">_xlfn.XLOOKUP(_xlfn.XLOOKUP(G9,New!A:A,New!F:F,NONE),TeamIdentity!A:A,TeamIdentity!C:C,NONE)</f>
        <v>00010101</v>
      </c>
      <c r="G9" t="str">
        <f t="shared" si="2"/>
        <v>1-9</v>
      </c>
      <c r="H9" t="s">
        <v>54</v>
      </c>
      <c r="I9" t="s">
        <v>54</v>
      </c>
      <c r="J9" t="s">
        <v>54</v>
      </c>
      <c r="K9" t="s">
        <v>536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513</v>
      </c>
      <c r="S9">
        <v>-1</v>
      </c>
      <c r="T9">
        <v>0</v>
      </c>
      <c r="U9">
        <v>-1</v>
      </c>
      <c r="V9">
        <v>0</v>
      </c>
      <c r="W9" t="s">
        <v>70</v>
      </c>
      <c r="X9">
        <v>0</v>
      </c>
      <c r="Y9">
        <v>0</v>
      </c>
      <c r="Z9">
        <v>1200</v>
      </c>
      <c r="AA9" t="s">
        <v>57</v>
      </c>
      <c r="AB9">
        <v>0</v>
      </c>
      <c r="AC9">
        <v>0</v>
      </c>
      <c r="AD9">
        <v>0</v>
      </c>
      <c r="AE9">
        <v>0</v>
      </c>
      <c r="AF9" t="s">
        <v>67</v>
      </c>
      <c r="AG9">
        <v>0</v>
      </c>
      <c r="AH9">
        <v>0</v>
      </c>
      <c r="AI9">
        <v>0</v>
      </c>
      <c r="AJ9">
        <v>0</v>
      </c>
      <c r="AK9" t="s">
        <v>69</v>
      </c>
      <c r="AL9">
        <v>0</v>
      </c>
      <c r="AM9">
        <v>0</v>
      </c>
      <c r="AN9">
        <v>0</v>
      </c>
      <c r="AO9">
        <v>0</v>
      </c>
      <c r="AP9" t="b">
        <v>0</v>
      </c>
      <c r="AQ9" t="s">
        <v>58</v>
      </c>
      <c r="AR9" t="s">
        <v>58</v>
      </c>
      <c r="AS9" t="s">
        <v>66</v>
      </c>
      <c r="AT9">
        <v>14</v>
      </c>
      <c r="AU9">
        <v>1</v>
      </c>
      <c r="AV9">
        <v>9</v>
      </c>
      <c r="AW9">
        <v>11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s">
        <v>61</v>
      </c>
      <c r="BF9" t="s">
        <v>57</v>
      </c>
      <c r="BG9" t="s">
        <v>55</v>
      </c>
      <c r="BH9" t="s">
        <v>58</v>
      </c>
      <c r="BI9" t="s">
        <v>58</v>
      </c>
    </row>
    <row r="10" spans="1:61" x14ac:dyDescent="0.25">
      <c r="A10" t="str" cm="1">
        <f t="array" ref="A10">_xlfn.IFS(AS10="RegularSeason",C10,AS10&lt;&gt;"RegularSeason",R10)</f>
        <v>00101101010010100000000000010000</v>
      </c>
      <c r="B10" t="str" cm="1">
        <f t="array" ref="B10">_xlfn.IFS(AS10="RegularSeason",D10,AS10&lt;&gt;"RegularSeason",K10)</f>
        <v>00101101010010100000000000011110</v>
      </c>
      <c r="C10" t="str">
        <f t="shared" si="0"/>
        <v>00101101010010100000000000000000</v>
      </c>
      <c r="D10" t="str">
        <f t="shared" si="1"/>
        <v>00101101010010100000000000100000</v>
      </c>
      <c r="E10" t="str" cm="1">
        <f t="array" ref="E10">_xlfn.XLOOKUP(_xlfn.XLOOKUP(G10,New!A:A,New!M:M,NONE),TeamIdentity!A:A,TeamIdentity!C:C,NONE)</f>
        <v>00000000</v>
      </c>
      <c r="F10" t="str" cm="1">
        <f t="array" ref="F10">_xlfn.XLOOKUP(_xlfn.XLOOKUP(G10,New!A:A,New!F:F,NONE),TeamIdentity!A:A,TeamIdentity!C:C,NONE)</f>
        <v>00100000</v>
      </c>
      <c r="G10" t="str">
        <f t="shared" si="2"/>
        <v>0-7</v>
      </c>
      <c r="H10" t="s">
        <v>54</v>
      </c>
      <c r="I10" t="s">
        <v>54</v>
      </c>
      <c r="J10" t="s">
        <v>54</v>
      </c>
      <c r="K10" t="s">
        <v>520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519</v>
      </c>
      <c r="S10">
        <v>90309</v>
      </c>
      <c r="T10">
        <v>0</v>
      </c>
      <c r="U10">
        <v>90308</v>
      </c>
      <c r="V10">
        <v>0</v>
      </c>
      <c r="W10" t="s">
        <v>70</v>
      </c>
      <c r="X10">
        <v>0</v>
      </c>
      <c r="Y10">
        <v>0</v>
      </c>
      <c r="Z10">
        <v>1140</v>
      </c>
      <c r="AA10" t="s">
        <v>57</v>
      </c>
      <c r="AB10">
        <v>0</v>
      </c>
      <c r="AC10">
        <v>0</v>
      </c>
      <c r="AD10">
        <v>0</v>
      </c>
      <c r="AE10">
        <v>0</v>
      </c>
      <c r="AF10" t="s">
        <v>67</v>
      </c>
      <c r="AG10">
        <v>0</v>
      </c>
      <c r="AH10">
        <v>0</v>
      </c>
      <c r="AI10">
        <v>0</v>
      </c>
      <c r="AJ10">
        <v>0</v>
      </c>
      <c r="AK10" t="s">
        <v>63</v>
      </c>
      <c r="AL10">
        <v>0</v>
      </c>
      <c r="AM10">
        <v>0</v>
      </c>
      <c r="AN10">
        <v>0</v>
      </c>
      <c r="AO10">
        <v>0</v>
      </c>
      <c r="AP10" t="b">
        <v>0</v>
      </c>
      <c r="AQ10" t="s">
        <v>58</v>
      </c>
      <c r="AR10" t="s">
        <v>58</v>
      </c>
      <c r="AS10" t="s">
        <v>66</v>
      </c>
      <c r="AT10">
        <v>14</v>
      </c>
      <c r="AU10">
        <v>0</v>
      </c>
      <c r="AV10">
        <v>7</v>
      </c>
      <c r="AW10">
        <v>11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s">
        <v>61</v>
      </c>
      <c r="BF10" t="s">
        <v>57</v>
      </c>
      <c r="BG10" t="s">
        <v>55</v>
      </c>
      <c r="BH10" t="s">
        <v>58</v>
      </c>
      <c r="BI10" t="s">
        <v>58</v>
      </c>
    </row>
    <row r="11" spans="1:61" x14ac:dyDescent="0.25">
      <c r="A11" t="str" cm="1">
        <f t="array" ref="A11">_xlfn.IFS(AS11="RegularSeason",C11,AS11&lt;&gt;"RegularSeason",R11)</f>
        <v>00101101010010100000000000000111</v>
      </c>
      <c r="B11" t="str" cm="1">
        <f t="array" ref="B11">_xlfn.IFS(AS11="RegularSeason",D11,AS11&lt;&gt;"RegularSeason",K11)</f>
        <v>00101101010010100000000000001100</v>
      </c>
      <c r="C11" t="str">
        <f t="shared" si="0"/>
        <v>00101101010010100000000000011110</v>
      </c>
      <c r="D11" t="str">
        <f t="shared" si="1"/>
        <v>00101101010010100000000000000010</v>
      </c>
      <c r="E11" t="str" cm="1">
        <f t="array" ref="E11">_xlfn.XLOOKUP(_xlfn.XLOOKUP(G11,New!A:A,New!M:M,NONE),TeamIdentity!A:A,TeamIdentity!C:C,NONE)</f>
        <v>00011110</v>
      </c>
      <c r="F11" t="str" cm="1">
        <f t="array" ref="F11">_xlfn.XLOOKUP(_xlfn.XLOOKUP(G11,New!A:A,New!F:F,NONE),TeamIdentity!A:A,TeamIdentity!C:C,NONE)</f>
        <v>00000010</v>
      </c>
      <c r="G11" t="str">
        <f t="shared" si="2"/>
        <v>0-5</v>
      </c>
      <c r="H11" t="s">
        <v>54</v>
      </c>
      <c r="I11" t="s">
        <v>54</v>
      </c>
      <c r="J11" t="s">
        <v>54</v>
      </c>
      <c r="K11" t="s">
        <v>540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538</v>
      </c>
      <c r="S11">
        <v>90307</v>
      </c>
      <c r="T11">
        <v>0</v>
      </c>
      <c r="U11">
        <v>90306</v>
      </c>
      <c r="V11">
        <v>0</v>
      </c>
      <c r="W11" t="s">
        <v>70</v>
      </c>
      <c r="X11">
        <v>0</v>
      </c>
      <c r="Y11">
        <v>0</v>
      </c>
      <c r="Z11">
        <v>1320</v>
      </c>
      <c r="AA11" t="s">
        <v>57</v>
      </c>
      <c r="AB11">
        <v>0</v>
      </c>
      <c r="AC11">
        <v>0</v>
      </c>
      <c r="AD11">
        <v>0</v>
      </c>
      <c r="AE11">
        <v>0</v>
      </c>
      <c r="AF11" t="s">
        <v>67</v>
      </c>
      <c r="AG11">
        <v>0</v>
      </c>
      <c r="AH11">
        <v>0</v>
      </c>
      <c r="AI11">
        <v>0</v>
      </c>
      <c r="AJ11">
        <v>0</v>
      </c>
      <c r="AK11" t="s">
        <v>69</v>
      </c>
      <c r="AL11">
        <v>0</v>
      </c>
      <c r="AM11">
        <v>0</v>
      </c>
      <c r="AN11">
        <v>0</v>
      </c>
      <c r="AO11">
        <v>0</v>
      </c>
      <c r="AP11" t="b">
        <v>0</v>
      </c>
      <c r="AQ11" t="s">
        <v>58</v>
      </c>
      <c r="AR11" t="s">
        <v>58</v>
      </c>
      <c r="AS11" t="s">
        <v>66</v>
      </c>
      <c r="AT11">
        <v>14</v>
      </c>
      <c r="AU11">
        <v>0</v>
      </c>
      <c r="AV11">
        <v>5</v>
      </c>
      <c r="AW11">
        <v>11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s">
        <v>61</v>
      </c>
      <c r="BF11" t="s">
        <v>57</v>
      </c>
      <c r="BG11" t="s">
        <v>55</v>
      </c>
      <c r="BH11" t="s">
        <v>58</v>
      </c>
      <c r="BI11" t="s">
        <v>58</v>
      </c>
    </row>
    <row r="12" spans="1:61" x14ac:dyDescent="0.25">
      <c r="A12" t="str" cm="1">
        <f t="array" ref="A12">_xlfn.IFS(AS12="RegularSeason",C12,AS12&lt;&gt;"RegularSeason",R12)</f>
        <v>00101101010010100000000000011011</v>
      </c>
      <c r="B12" t="str" cm="1">
        <f t="array" ref="B12">_xlfn.IFS(AS12="RegularSeason",D12,AS12&lt;&gt;"RegularSeason",K12)</f>
        <v>00101101010010100000000000011001</v>
      </c>
      <c r="C12" t="str">
        <f t="shared" si="0"/>
        <v>00101101010010100000000000010000</v>
      </c>
      <c r="D12" t="str">
        <f t="shared" si="1"/>
        <v>00101101010010100000000000001111</v>
      </c>
      <c r="E12" t="str" cm="1">
        <f t="array" ref="E12">_xlfn.XLOOKUP(_xlfn.XLOOKUP(G12,New!A:A,New!M:M,NONE),TeamIdentity!A:A,TeamIdentity!C:C,NONE)</f>
        <v>00010000</v>
      </c>
      <c r="F12" t="str" cm="1">
        <f t="array" ref="F12">_xlfn.XLOOKUP(_xlfn.XLOOKUP(G12,New!A:A,New!F:F,NONE),TeamIdentity!A:A,TeamIdentity!C:C,NONE)</f>
        <v>00001111</v>
      </c>
      <c r="G12" t="str">
        <f t="shared" si="2"/>
        <v>0-4</v>
      </c>
      <c r="H12" t="s">
        <v>54</v>
      </c>
      <c r="I12" t="s">
        <v>54</v>
      </c>
      <c r="J12" t="s">
        <v>54</v>
      </c>
      <c r="K12" t="s">
        <v>529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512</v>
      </c>
      <c r="S12">
        <v>90303</v>
      </c>
      <c r="T12">
        <v>0</v>
      </c>
      <c r="U12">
        <v>90302</v>
      </c>
      <c r="V12">
        <v>0</v>
      </c>
      <c r="W12" t="s">
        <v>70</v>
      </c>
      <c r="X12">
        <v>0</v>
      </c>
      <c r="Y12">
        <v>0</v>
      </c>
      <c r="Z12">
        <v>1200</v>
      </c>
      <c r="AA12" t="s">
        <v>57</v>
      </c>
      <c r="AB12">
        <v>0</v>
      </c>
      <c r="AC12">
        <v>0</v>
      </c>
      <c r="AD12">
        <v>0</v>
      </c>
      <c r="AE12">
        <v>0</v>
      </c>
      <c r="AF12" t="s">
        <v>67</v>
      </c>
      <c r="AG12">
        <v>0</v>
      </c>
      <c r="AH12">
        <v>0</v>
      </c>
      <c r="AI12">
        <v>0</v>
      </c>
      <c r="AJ12">
        <v>0</v>
      </c>
      <c r="AK12" t="s">
        <v>69</v>
      </c>
      <c r="AL12">
        <v>0</v>
      </c>
      <c r="AM12">
        <v>0</v>
      </c>
      <c r="AN12">
        <v>0</v>
      </c>
      <c r="AO12">
        <v>0</v>
      </c>
      <c r="AP12" t="b">
        <v>0</v>
      </c>
      <c r="AQ12" t="s">
        <v>58</v>
      </c>
      <c r="AR12" t="s">
        <v>58</v>
      </c>
      <c r="AS12" t="s">
        <v>66</v>
      </c>
      <c r="AT12">
        <v>14</v>
      </c>
      <c r="AU12">
        <v>0</v>
      </c>
      <c r="AV12">
        <v>4</v>
      </c>
      <c r="AW12">
        <v>11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s">
        <v>61</v>
      </c>
      <c r="BF12" t="s">
        <v>57</v>
      </c>
      <c r="BG12" t="s">
        <v>55</v>
      </c>
      <c r="BH12" t="s">
        <v>58</v>
      </c>
      <c r="BI12" t="s">
        <v>58</v>
      </c>
    </row>
    <row r="13" spans="1:61" x14ac:dyDescent="0.25">
      <c r="A13" t="str" cm="1">
        <f t="array" ref="A13">_xlfn.IFS(AS13="RegularSeason",C13,AS13&lt;&gt;"RegularSeason",R13)</f>
        <v>00101101010010100000000000100001</v>
      </c>
      <c r="B13" t="str" cm="1">
        <f t="array" ref="B13">_xlfn.IFS(AS13="RegularSeason",D13,AS13&lt;&gt;"RegularSeason",K13)</f>
        <v>00101101010010100000000000010011</v>
      </c>
      <c r="C13" t="str">
        <f t="shared" si="0"/>
        <v>00101101010010100000000000100011</v>
      </c>
      <c r="D13" t="str">
        <f t="shared" si="1"/>
        <v>00101101010010100000000000100001</v>
      </c>
      <c r="E13" t="str" cm="1">
        <f t="array" ref="E13">_xlfn.XLOOKUP(_xlfn.XLOOKUP(G13,New!A:A,New!M:M,NONE),TeamIdentity!A:A,TeamIdentity!C:C,NONE)</f>
        <v>00100011</v>
      </c>
      <c r="F13" t="str" cm="1">
        <f t="array" ref="F13">_xlfn.XLOOKUP(_xlfn.XLOOKUP(G13,New!A:A,New!F:F,NONE),TeamIdentity!A:A,TeamIdentity!C:C,NONE)</f>
        <v>00100001</v>
      </c>
      <c r="G13" t="str">
        <f t="shared" si="2"/>
        <v>0-8</v>
      </c>
      <c r="H13" t="s">
        <v>54</v>
      </c>
      <c r="I13" t="s">
        <v>54</v>
      </c>
      <c r="J13" t="s">
        <v>54</v>
      </c>
      <c r="K13" t="s">
        <v>514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518</v>
      </c>
      <c r="S13">
        <v>90311</v>
      </c>
      <c r="T13">
        <v>0</v>
      </c>
      <c r="U13">
        <v>90310</v>
      </c>
      <c r="V13">
        <v>0</v>
      </c>
      <c r="W13" t="s">
        <v>70</v>
      </c>
      <c r="X13">
        <v>0</v>
      </c>
      <c r="Y13">
        <v>0</v>
      </c>
      <c r="Z13">
        <v>1140</v>
      </c>
      <c r="AA13" t="s">
        <v>57</v>
      </c>
      <c r="AB13">
        <v>0</v>
      </c>
      <c r="AC13">
        <v>0</v>
      </c>
      <c r="AD13">
        <v>0</v>
      </c>
      <c r="AE13">
        <v>0</v>
      </c>
      <c r="AF13" t="s">
        <v>67</v>
      </c>
      <c r="AG13">
        <v>0</v>
      </c>
      <c r="AH13">
        <v>0</v>
      </c>
      <c r="AI13">
        <v>0</v>
      </c>
      <c r="AJ13">
        <v>0</v>
      </c>
      <c r="AK13" t="s">
        <v>63</v>
      </c>
      <c r="AL13">
        <v>0</v>
      </c>
      <c r="AM13">
        <v>0</v>
      </c>
      <c r="AN13">
        <v>0</v>
      </c>
      <c r="AO13">
        <v>0</v>
      </c>
      <c r="AP13" t="b">
        <v>0</v>
      </c>
      <c r="AQ13" t="s">
        <v>58</v>
      </c>
      <c r="AR13" t="s">
        <v>58</v>
      </c>
      <c r="AS13" t="s">
        <v>66</v>
      </c>
      <c r="AT13">
        <v>14</v>
      </c>
      <c r="AU13">
        <v>0</v>
      </c>
      <c r="AV13">
        <v>8</v>
      </c>
      <c r="AW13">
        <v>11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s">
        <v>61</v>
      </c>
      <c r="BF13" t="s">
        <v>57</v>
      </c>
      <c r="BG13" t="s">
        <v>55</v>
      </c>
      <c r="BH13" t="s">
        <v>58</v>
      </c>
      <c r="BI13" t="s">
        <v>58</v>
      </c>
    </row>
    <row r="14" spans="1:61" x14ac:dyDescent="0.25">
      <c r="A14" t="str" cm="1">
        <f t="array" ref="A14">_xlfn.IFS(AS14="RegularSeason",C14,AS14&lt;&gt;"RegularSeason",R14)</f>
        <v>00000000000000000000000000000000</v>
      </c>
      <c r="B14" t="str" cm="1">
        <f t="array" ref="B14">_xlfn.IFS(AS14="RegularSeason",D14,AS14&lt;&gt;"RegularSeason",K14)</f>
        <v>00000000000000000000000000000000</v>
      </c>
      <c r="C14" t="e">
        <f t="shared" si="0"/>
        <v>#NAME?</v>
      </c>
      <c r="D14" t="e">
        <f t="shared" si="1"/>
        <v>#NAME?</v>
      </c>
      <c r="E14" t="e" cm="1">
        <f t="array" ref="E14">_xlfn.XLOOKUP(_xlfn.XLOOKUP(G14,New!A:A,New!M:M,NONE),TeamIdentity!A:A,TeamIdentity!C:C,NONE)</f>
        <v>#NAME?</v>
      </c>
      <c r="F14" t="e" cm="1">
        <f t="array" ref="F14">_xlfn.XLOOKUP(_xlfn.XLOOKUP(G14,New!A:A,New!F:F,NONE),TeamIdentity!A:A,TeamIdentity!C:C,NONE)</f>
        <v>#NAME?</v>
      </c>
      <c r="G14" t="str">
        <f t="shared" si="2"/>
        <v>0-31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>
        <v>-1</v>
      </c>
      <c r="T14">
        <v>0</v>
      </c>
      <c r="U14">
        <v>-1</v>
      </c>
      <c r="V14">
        <v>0</v>
      </c>
      <c r="W14" t="s">
        <v>58</v>
      </c>
      <c r="X14">
        <v>0</v>
      </c>
      <c r="Y14">
        <v>0</v>
      </c>
      <c r="Z14">
        <v>2047</v>
      </c>
      <c r="AA14" t="s">
        <v>57</v>
      </c>
      <c r="AB14">
        <v>0</v>
      </c>
      <c r="AC14">
        <v>0</v>
      </c>
      <c r="AD14">
        <v>0</v>
      </c>
      <c r="AE14">
        <v>0</v>
      </c>
      <c r="AF14" t="s">
        <v>67</v>
      </c>
      <c r="AG14">
        <v>0</v>
      </c>
      <c r="AH14">
        <v>0</v>
      </c>
      <c r="AI14">
        <v>0</v>
      </c>
      <c r="AJ14">
        <v>0</v>
      </c>
      <c r="AK14" t="s">
        <v>60</v>
      </c>
      <c r="AL14">
        <v>0</v>
      </c>
      <c r="AM14">
        <v>0</v>
      </c>
      <c r="AN14">
        <v>0</v>
      </c>
      <c r="AO14">
        <v>0</v>
      </c>
      <c r="AP14" t="b">
        <v>0</v>
      </c>
      <c r="AQ14" t="s">
        <v>58</v>
      </c>
      <c r="AR14" t="s">
        <v>58</v>
      </c>
      <c r="AS14" t="s">
        <v>66</v>
      </c>
      <c r="AT14">
        <v>14</v>
      </c>
      <c r="AU14">
        <v>0</v>
      </c>
      <c r="AV14">
        <v>31</v>
      </c>
      <c r="AW14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s">
        <v>61</v>
      </c>
      <c r="BF14" t="s">
        <v>57</v>
      </c>
      <c r="BG14" t="s">
        <v>55</v>
      </c>
      <c r="BH14" t="s">
        <v>58</v>
      </c>
      <c r="BI14" t="s">
        <v>58</v>
      </c>
    </row>
    <row r="15" spans="1:61" x14ac:dyDescent="0.25">
      <c r="A15" t="str" cm="1">
        <f t="array" ref="A15">_xlfn.IFS(AS15="RegularSeason",C15,AS15&lt;&gt;"RegularSeason",R15)</f>
        <v>00101101010010100000000000011101</v>
      </c>
      <c r="B15" t="str" cm="1">
        <f t="array" ref="B15">_xlfn.IFS(AS15="RegularSeason",D15,AS15&lt;&gt;"RegularSeason",K15)</f>
        <v>00101101010010100000000000000100</v>
      </c>
      <c r="C15" t="str">
        <f t="shared" si="0"/>
        <v>00101101010010100000000000100010</v>
      </c>
      <c r="D15" t="str">
        <f t="shared" si="1"/>
        <v>00101101010010100000000000010101</v>
      </c>
      <c r="E15" t="str" cm="1">
        <f t="array" ref="E15">_xlfn.XLOOKUP(_xlfn.XLOOKUP(G15,New!A:A,New!M:M,NONE),TeamIdentity!A:A,TeamIdentity!C:C,NONE)</f>
        <v>00100010</v>
      </c>
      <c r="F15" t="str" cm="1">
        <f t="array" ref="F15">_xlfn.XLOOKUP(_xlfn.XLOOKUP(G15,New!A:A,New!F:F,NONE),TeamIdentity!A:A,TeamIdentity!C:C,NONE)</f>
        <v>00010101</v>
      </c>
      <c r="G15" t="str">
        <f t="shared" si="2"/>
        <v>0-6</v>
      </c>
      <c r="H15" t="s">
        <v>54</v>
      </c>
      <c r="I15" t="s">
        <v>54</v>
      </c>
      <c r="J15" t="s">
        <v>54</v>
      </c>
      <c r="K15" t="s">
        <v>539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542</v>
      </c>
      <c r="S15">
        <v>90305</v>
      </c>
      <c r="T15">
        <v>0</v>
      </c>
      <c r="U15">
        <v>90304</v>
      </c>
      <c r="V15">
        <v>0</v>
      </c>
      <c r="W15" t="s">
        <v>70</v>
      </c>
      <c r="X15">
        <v>0</v>
      </c>
      <c r="Y15">
        <v>0</v>
      </c>
      <c r="Z15">
        <v>1320</v>
      </c>
      <c r="AA15" t="s">
        <v>57</v>
      </c>
      <c r="AB15">
        <v>0</v>
      </c>
      <c r="AC15">
        <v>0</v>
      </c>
      <c r="AD15">
        <v>0</v>
      </c>
      <c r="AE15">
        <v>0</v>
      </c>
      <c r="AF15" t="s">
        <v>67</v>
      </c>
      <c r="AG15">
        <v>0</v>
      </c>
      <c r="AH15">
        <v>0</v>
      </c>
      <c r="AI15">
        <v>0</v>
      </c>
      <c r="AJ15">
        <v>0</v>
      </c>
      <c r="AK15" t="s">
        <v>69</v>
      </c>
      <c r="AL15">
        <v>0</v>
      </c>
      <c r="AM15">
        <v>0</v>
      </c>
      <c r="AN15">
        <v>0</v>
      </c>
      <c r="AO15">
        <v>0</v>
      </c>
      <c r="AP15" t="b">
        <v>0</v>
      </c>
      <c r="AQ15" t="s">
        <v>58</v>
      </c>
      <c r="AR15" t="s">
        <v>58</v>
      </c>
      <c r="AS15" t="s">
        <v>66</v>
      </c>
      <c r="AT15">
        <v>14</v>
      </c>
      <c r="AU15">
        <v>0</v>
      </c>
      <c r="AV15">
        <v>6</v>
      </c>
      <c r="AW15">
        <v>11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s">
        <v>61</v>
      </c>
      <c r="BF15" t="s">
        <v>57</v>
      </c>
      <c r="BG15" t="s">
        <v>55</v>
      </c>
      <c r="BH15" t="s">
        <v>58</v>
      </c>
      <c r="BI15" t="s">
        <v>58</v>
      </c>
    </row>
    <row r="16" spans="1:61" x14ac:dyDescent="0.25">
      <c r="A16" t="str" cm="1">
        <f t="array" ref="A16">_xlfn.IFS(AS16="RegularSeason",C16,AS16&lt;&gt;"RegularSeason",R16)</f>
        <v>00101101010010100000000000100001</v>
      </c>
      <c r="B16" t="str" cm="1">
        <f t="array" ref="B16">_xlfn.IFS(AS16="RegularSeason",D16,AS16&lt;&gt;"RegularSeason",K16)</f>
        <v>00101101010010100000000000011101</v>
      </c>
      <c r="C16" t="str">
        <f t="shared" si="0"/>
        <v>00101101010010100000000000011110</v>
      </c>
      <c r="D16" t="str">
        <f t="shared" si="1"/>
        <v>00101101010010100000000000010101</v>
      </c>
      <c r="E16" t="str" cm="1">
        <f t="array" ref="E16">_xlfn.XLOOKUP(_xlfn.XLOOKUP(G16,New!A:A,New!M:M,NONE),TeamIdentity!A:A,TeamIdentity!C:C,NONE)</f>
        <v>00011110</v>
      </c>
      <c r="F16" t="str" cm="1">
        <f t="array" ref="F16">_xlfn.XLOOKUP(_xlfn.XLOOKUP(G16,New!A:A,New!F:F,NONE),TeamIdentity!A:A,TeamIdentity!C:C,NONE)</f>
        <v>00010101</v>
      </c>
      <c r="G16" t="str">
        <f t="shared" si="2"/>
        <v>2-14</v>
      </c>
      <c r="H16" t="s">
        <v>54</v>
      </c>
      <c r="I16" t="s">
        <v>54</v>
      </c>
      <c r="J16" t="s">
        <v>54</v>
      </c>
      <c r="K16" t="s">
        <v>542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518</v>
      </c>
      <c r="S16">
        <v>-1</v>
      </c>
      <c r="T16">
        <v>0</v>
      </c>
      <c r="U16">
        <v>-1</v>
      </c>
      <c r="V16">
        <v>0</v>
      </c>
      <c r="W16" t="s">
        <v>70</v>
      </c>
      <c r="X16">
        <v>0</v>
      </c>
      <c r="Y16">
        <v>0</v>
      </c>
      <c r="Z16">
        <v>1380</v>
      </c>
      <c r="AA16" t="s">
        <v>57</v>
      </c>
      <c r="AB16">
        <v>0</v>
      </c>
      <c r="AC16">
        <v>0</v>
      </c>
      <c r="AD16">
        <v>0</v>
      </c>
      <c r="AE16">
        <v>0</v>
      </c>
      <c r="AF16" t="s">
        <v>67</v>
      </c>
      <c r="AG16">
        <v>0</v>
      </c>
      <c r="AH16">
        <v>0</v>
      </c>
      <c r="AI16">
        <v>0</v>
      </c>
      <c r="AJ16">
        <v>0</v>
      </c>
      <c r="AK16" t="s">
        <v>63</v>
      </c>
      <c r="AL16">
        <v>0</v>
      </c>
      <c r="AM16">
        <v>0</v>
      </c>
      <c r="AN16">
        <v>0</v>
      </c>
      <c r="AO16">
        <v>0</v>
      </c>
      <c r="AP16" t="b">
        <v>0</v>
      </c>
      <c r="AQ16" t="s">
        <v>58</v>
      </c>
      <c r="AR16" t="s">
        <v>58</v>
      </c>
      <c r="AS16" t="s">
        <v>66</v>
      </c>
      <c r="AT16">
        <v>14</v>
      </c>
      <c r="AU16">
        <v>2</v>
      </c>
      <c r="AV16">
        <v>14</v>
      </c>
      <c r="AW16">
        <v>11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s">
        <v>61</v>
      </c>
      <c r="BF16" t="s">
        <v>57</v>
      </c>
      <c r="BG16" t="s">
        <v>55</v>
      </c>
      <c r="BH16" t="s">
        <v>58</v>
      </c>
      <c r="BI16" t="s">
        <v>58</v>
      </c>
    </row>
    <row r="17" spans="1:61" x14ac:dyDescent="0.25">
      <c r="A17" t="str" cm="1">
        <f t="array" ref="A17">_xlfn.IFS(AS17="RegularSeason",C17,AS17&lt;&gt;"RegularSeason",R17)</f>
        <v>00101101010010100000000000100010</v>
      </c>
      <c r="B17" t="str" cm="1">
        <f t="array" ref="B17">_xlfn.IFS(AS17="RegularSeason",D17,AS17&lt;&gt;"RegularSeason",K17)</f>
        <v>00101101010010100000000000010011</v>
      </c>
      <c r="C17" t="str">
        <f t="shared" si="0"/>
        <v>00101101010010100000000000010110</v>
      </c>
      <c r="D17" t="str">
        <f t="shared" si="1"/>
        <v>00101101010010100000000000011011</v>
      </c>
      <c r="E17" t="str" cm="1">
        <f t="array" ref="E17">_xlfn.XLOOKUP(_xlfn.XLOOKUP(G17,New!A:A,New!M:M,NONE),TeamIdentity!A:A,TeamIdentity!C:C,NONE)</f>
        <v>00010110</v>
      </c>
      <c r="F17" t="str" cm="1">
        <f t="array" ref="F17">_xlfn.XLOOKUP(_xlfn.XLOOKUP(G17,New!A:A,New!F:F,NONE),TeamIdentity!A:A,TeamIdentity!C:C,NONE)</f>
        <v>00011011</v>
      </c>
      <c r="G17" t="str">
        <f t="shared" si="2"/>
        <v>2-0</v>
      </c>
      <c r="H17" t="s">
        <v>54</v>
      </c>
      <c r="I17" t="s">
        <v>54</v>
      </c>
      <c r="J17" t="s">
        <v>54</v>
      </c>
      <c r="K17" t="s">
        <v>514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517</v>
      </c>
      <c r="S17">
        <v>-1</v>
      </c>
      <c r="T17">
        <v>0</v>
      </c>
      <c r="U17">
        <v>-1</v>
      </c>
      <c r="V17">
        <v>0</v>
      </c>
      <c r="W17" t="s">
        <v>70</v>
      </c>
      <c r="X17">
        <v>0</v>
      </c>
      <c r="Y17">
        <v>0</v>
      </c>
      <c r="Z17">
        <v>1200</v>
      </c>
      <c r="AA17" t="s">
        <v>57</v>
      </c>
      <c r="AB17">
        <v>0</v>
      </c>
      <c r="AC17">
        <v>0</v>
      </c>
      <c r="AD17">
        <v>0</v>
      </c>
      <c r="AE17">
        <v>0</v>
      </c>
      <c r="AF17" t="s">
        <v>67</v>
      </c>
      <c r="AG17">
        <v>0</v>
      </c>
      <c r="AH17">
        <v>0</v>
      </c>
      <c r="AI17">
        <v>0</v>
      </c>
      <c r="AJ17">
        <v>0</v>
      </c>
      <c r="AK17" t="s">
        <v>60</v>
      </c>
      <c r="AL17">
        <v>0</v>
      </c>
      <c r="AM17">
        <v>0</v>
      </c>
      <c r="AN17">
        <v>0</v>
      </c>
      <c r="AO17">
        <v>0</v>
      </c>
      <c r="AP17" t="b">
        <v>0</v>
      </c>
      <c r="AQ17" t="s">
        <v>58</v>
      </c>
      <c r="AR17" t="s">
        <v>58</v>
      </c>
      <c r="AS17" t="s">
        <v>66</v>
      </c>
      <c r="AT17">
        <v>14</v>
      </c>
      <c r="AU17">
        <v>2</v>
      </c>
      <c r="AV17">
        <v>0</v>
      </c>
      <c r="AW17">
        <v>11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s">
        <v>61</v>
      </c>
      <c r="BF17" t="s">
        <v>57</v>
      </c>
      <c r="BG17" t="s">
        <v>55</v>
      </c>
      <c r="BH17" t="s">
        <v>58</v>
      </c>
      <c r="BI17" t="s">
        <v>58</v>
      </c>
    </row>
    <row r="18" spans="1:61" x14ac:dyDescent="0.25">
      <c r="A18" t="str" cm="1">
        <f t="array" ref="A18">_xlfn.IFS(AS18="RegularSeason",C18,AS18&lt;&gt;"RegularSeason",R18)</f>
        <v>00101101010010100000000000010011</v>
      </c>
      <c r="B18" t="str" cm="1">
        <f t="array" ref="B18">_xlfn.IFS(AS18="RegularSeason",D18,AS18&lt;&gt;"RegularSeason",K18)</f>
        <v>00101101010010100000000000000100</v>
      </c>
      <c r="C18" t="str">
        <f t="shared" si="0"/>
        <v>00101101010010100000000000011010</v>
      </c>
      <c r="D18" t="str">
        <f t="shared" si="1"/>
        <v>00101101010010100000000000010110</v>
      </c>
      <c r="E18" t="str" cm="1">
        <f t="array" ref="E18">_xlfn.XLOOKUP(_xlfn.XLOOKUP(G18,New!A:A,New!M:M,NONE),TeamIdentity!A:A,TeamIdentity!C:C,NONE)</f>
        <v>00011010</v>
      </c>
      <c r="F18" t="str" cm="1">
        <f t="array" ref="F18">_xlfn.XLOOKUP(_xlfn.XLOOKUP(G18,New!A:A,New!F:F,NONE),TeamIdentity!A:A,TeamIdentity!C:C,NONE)</f>
        <v>00010110</v>
      </c>
      <c r="G18" t="str">
        <f t="shared" si="2"/>
        <v>1-4</v>
      </c>
      <c r="H18" t="s">
        <v>54</v>
      </c>
      <c r="I18" t="s">
        <v>54</v>
      </c>
      <c r="J18" t="s">
        <v>54</v>
      </c>
      <c r="K18" t="s">
        <v>539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514</v>
      </c>
      <c r="S18">
        <v>-1</v>
      </c>
      <c r="T18">
        <v>0</v>
      </c>
      <c r="U18">
        <v>-1</v>
      </c>
      <c r="V18">
        <v>0</v>
      </c>
      <c r="W18" t="s">
        <v>70</v>
      </c>
      <c r="X18">
        <v>0</v>
      </c>
      <c r="Y18">
        <v>0</v>
      </c>
      <c r="Z18">
        <v>1140</v>
      </c>
      <c r="AA18" t="s">
        <v>57</v>
      </c>
      <c r="AB18">
        <v>0</v>
      </c>
      <c r="AC18">
        <v>0</v>
      </c>
      <c r="AD18">
        <v>0</v>
      </c>
      <c r="AE18">
        <v>0</v>
      </c>
      <c r="AF18" t="s">
        <v>67</v>
      </c>
      <c r="AG18">
        <v>0</v>
      </c>
      <c r="AH18">
        <v>0</v>
      </c>
      <c r="AI18">
        <v>0</v>
      </c>
      <c r="AJ18">
        <v>0</v>
      </c>
      <c r="AK18" t="s">
        <v>68</v>
      </c>
      <c r="AL18">
        <v>0</v>
      </c>
      <c r="AM18">
        <v>0</v>
      </c>
      <c r="AN18">
        <v>0</v>
      </c>
      <c r="AO18">
        <v>0</v>
      </c>
      <c r="AP18" t="b">
        <v>0</v>
      </c>
      <c r="AQ18" t="s">
        <v>58</v>
      </c>
      <c r="AR18" t="s">
        <v>58</v>
      </c>
      <c r="AS18" t="s">
        <v>66</v>
      </c>
      <c r="AT18">
        <v>14</v>
      </c>
      <c r="AU18">
        <v>1</v>
      </c>
      <c r="AV18">
        <v>4</v>
      </c>
      <c r="AW18">
        <v>11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s">
        <v>61</v>
      </c>
      <c r="BF18" t="s">
        <v>57</v>
      </c>
      <c r="BG18" t="s">
        <v>55</v>
      </c>
      <c r="BH18" t="s">
        <v>58</v>
      </c>
      <c r="BI18" t="s">
        <v>58</v>
      </c>
    </row>
    <row r="19" spans="1:61" x14ac:dyDescent="0.25">
      <c r="A19" t="str" cm="1">
        <f t="array" ref="A19">_xlfn.IFS(AS19="RegularSeason",C19,AS19&lt;&gt;"RegularSeason",R19)</f>
        <v>00101101010010100000000000000010</v>
      </c>
      <c r="B19" t="str" cm="1">
        <f t="array" ref="B19">_xlfn.IFS(AS19="RegularSeason",D19,AS19&lt;&gt;"RegularSeason",K19)</f>
        <v>00101101010010100000000000100100</v>
      </c>
      <c r="C19" t="str">
        <f t="shared" si="0"/>
        <v>00101101010010100000000000000100</v>
      </c>
      <c r="D19" t="str">
        <f t="shared" si="1"/>
        <v>00101101010010100000000000011100</v>
      </c>
      <c r="E19" t="str" cm="1">
        <f t="array" ref="E19">_xlfn.XLOOKUP(_xlfn.XLOOKUP(G19,New!A:A,New!M:M,NONE),TeamIdentity!A:A,TeamIdentity!C:C,NONE)</f>
        <v>00000100</v>
      </c>
      <c r="F19" t="str" cm="1">
        <f t="array" ref="F19">_xlfn.XLOOKUP(_xlfn.XLOOKUP(G19,New!A:A,New!F:F,NONE),TeamIdentity!A:A,TeamIdentity!C:C,NONE)</f>
        <v>00011100</v>
      </c>
      <c r="G19" t="str">
        <f t="shared" si="2"/>
        <v>1-3</v>
      </c>
      <c r="H19" t="s">
        <v>54</v>
      </c>
      <c r="I19" t="s">
        <v>54</v>
      </c>
      <c r="J19" t="s">
        <v>54</v>
      </c>
      <c r="K19" t="s">
        <v>526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532</v>
      </c>
      <c r="S19">
        <v>-1</v>
      </c>
      <c r="T19">
        <v>0</v>
      </c>
      <c r="U19">
        <v>-1</v>
      </c>
      <c r="V19">
        <v>0</v>
      </c>
      <c r="W19" t="s">
        <v>70</v>
      </c>
      <c r="X19">
        <v>0</v>
      </c>
      <c r="Y19">
        <v>0</v>
      </c>
      <c r="Z19">
        <v>1260</v>
      </c>
      <c r="AA19" t="s">
        <v>57</v>
      </c>
      <c r="AB19">
        <v>0</v>
      </c>
      <c r="AC19">
        <v>0</v>
      </c>
      <c r="AD19">
        <v>0</v>
      </c>
      <c r="AE19">
        <v>0</v>
      </c>
      <c r="AF19" t="s">
        <v>67</v>
      </c>
      <c r="AG19">
        <v>0</v>
      </c>
      <c r="AH19">
        <v>0</v>
      </c>
      <c r="AI19">
        <v>0</v>
      </c>
      <c r="AJ19">
        <v>0</v>
      </c>
      <c r="AK19" t="s">
        <v>65</v>
      </c>
      <c r="AL19">
        <v>0</v>
      </c>
      <c r="AM19">
        <v>0</v>
      </c>
      <c r="AN19">
        <v>0</v>
      </c>
      <c r="AO19">
        <v>0</v>
      </c>
      <c r="AP19" t="b">
        <v>0</v>
      </c>
      <c r="AQ19" t="s">
        <v>58</v>
      </c>
      <c r="AR19" t="s">
        <v>58</v>
      </c>
      <c r="AS19" t="s">
        <v>66</v>
      </c>
      <c r="AT19">
        <v>14</v>
      </c>
      <c r="AU19">
        <v>1</v>
      </c>
      <c r="AV19">
        <v>3</v>
      </c>
      <c r="AW19">
        <v>11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s">
        <v>61</v>
      </c>
      <c r="BF19" t="s">
        <v>57</v>
      </c>
      <c r="BG19" t="s">
        <v>55</v>
      </c>
      <c r="BH19" t="s">
        <v>58</v>
      </c>
      <c r="BI19" t="s">
        <v>58</v>
      </c>
    </row>
    <row r="20" spans="1:61" x14ac:dyDescent="0.25">
      <c r="A20" t="str" cm="1">
        <f t="array" ref="A20">_xlfn.IFS(AS20="RegularSeason",C20,AS20&lt;&gt;"RegularSeason",R20)</f>
        <v>00101101010010100000000000011100</v>
      </c>
      <c r="B20" t="str" cm="1">
        <f t="array" ref="B20">_xlfn.IFS(AS20="RegularSeason",D20,AS20&lt;&gt;"RegularSeason",K20)</f>
        <v>00101101010010100000000000011001</v>
      </c>
      <c r="C20" t="str">
        <f t="shared" si="0"/>
        <v>00101101010010100000000000000001</v>
      </c>
      <c r="D20" t="str">
        <f t="shared" si="1"/>
        <v>00101101010010100000000000000101</v>
      </c>
      <c r="E20" t="str" cm="1">
        <f t="array" ref="E20">_xlfn.XLOOKUP(_xlfn.XLOOKUP(G20,New!A:A,New!M:M,NONE),TeamIdentity!A:A,TeamIdentity!C:C,NONE)</f>
        <v>00000001</v>
      </c>
      <c r="F20" t="str" cm="1">
        <f t="array" ref="F20">_xlfn.XLOOKUP(_xlfn.XLOOKUP(G20,New!A:A,New!F:F,NONE),TeamIdentity!A:A,TeamIdentity!C:C,NONE)</f>
        <v>00000101</v>
      </c>
      <c r="G20" t="str">
        <f t="shared" si="2"/>
        <v>1-7</v>
      </c>
      <c r="H20" t="s">
        <v>54</v>
      </c>
      <c r="I20" t="s">
        <v>54</v>
      </c>
      <c r="J20" t="s">
        <v>54</v>
      </c>
      <c r="K20" t="s">
        <v>529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525</v>
      </c>
      <c r="S20">
        <v>-1</v>
      </c>
      <c r="T20">
        <v>0</v>
      </c>
      <c r="U20">
        <v>-1</v>
      </c>
      <c r="V20">
        <v>0</v>
      </c>
      <c r="W20" t="s">
        <v>70</v>
      </c>
      <c r="X20">
        <v>0</v>
      </c>
      <c r="Y20">
        <v>0</v>
      </c>
      <c r="Z20">
        <v>1260</v>
      </c>
      <c r="AA20" t="s">
        <v>57</v>
      </c>
      <c r="AB20">
        <v>0</v>
      </c>
      <c r="AC20">
        <v>0</v>
      </c>
      <c r="AD20">
        <v>0</v>
      </c>
      <c r="AE20">
        <v>0</v>
      </c>
      <c r="AF20" t="s">
        <v>67</v>
      </c>
      <c r="AG20">
        <v>0</v>
      </c>
      <c r="AH20">
        <v>0</v>
      </c>
      <c r="AI20">
        <v>0</v>
      </c>
      <c r="AJ20">
        <v>0</v>
      </c>
      <c r="AK20" t="s">
        <v>68</v>
      </c>
      <c r="AL20">
        <v>0</v>
      </c>
      <c r="AM20">
        <v>0</v>
      </c>
      <c r="AN20">
        <v>0</v>
      </c>
      <c r="AO20">
        <v>0</v>
      </c>
      <c r="AP20" t="b">
        <v>0</v>
      </c>
      <c r="AQ20" t="s">
        <v>58</v>
      </c>
      <c r="AR20" t="s">
        <v>58</v>
      </c>
      <c r="AS20" t="s">
        <v>66</v>
      </c>
      <c r="AT20">
        <v>14</v>
      </c>
      <c r="AU20">
        <v>1</v>
      </c>
      <c r="AV20">
        <v>7</v>
      </c>
      <c r="AW20">
        <v>11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s">
        <v>61</v>
      </c>
      <c r="BF20" t="s">
        <v>57</v>
      </c>
      <c r="BG20" t="s">
        <v>55</v>
      </c>
      <c r="BH20" t="s">
        <v>58</v>
      </c>
      <c r="BI20" t="s">
        <v>58</v>
      </c>
    </row>
    <row r="21" spans="1:61" x14ac:dyDescent="0.25">
      <c r="A21" t="str" cm="1">
        <f t="array" ref="A21">_xlfn.IFS(AS21="RegularSeason",C21,AS21&lt;&gt;"RegularSeason",R21)</f>
        <v>00101101010010100000000000010111</v>
      </c>
      <c r="B21" t="str" cm="1">
        <f t="array" ref="B21">_xlfn.IFS(AS21="RegularSeason",D21,AS21&lt;&gt;"RegularSeason",K21)</f>
        <v>00101101010010100000000000001010</v>
      </c>
      <c r="C21" t="str">
        <f t="shared" si="0"/>
        <v>00101101010010100000000000000001</v>
      </c>
      <c r="D21" t="str">
        <f t="shared" si="1"/>
        <v>00101101010010100000000000011010</v>
      </c>
      <c r="E21" t="str" cm="1">
        <f t="array" ref="E21">_xlfn.XLOOKUP(_xlfn.XLOOKUP(G21,New!A:A,New!M:M,NONE),TeamIdentity!A:A,TeamIdentity!C:C,NONE)</f>
        <v>00000001</v>
      </c>
      <c r="F21" t="str" cm="1">
        <f t="array" ref="F21">_xlfn.XLOOKUP(_xlfn.XLOOKUP(G21,New!A:A,New!F:F,NONE),TeamIdentity!A:A,TeamIdentity!C:C,NONE)</f>
        <v>00011010</v>
      </c>
      <c r="G21" t="str">
        <f t="shared" si="2"/>
        <v>0-9</v>
      </c>
      <c r="H21" t="s">
        <v>54</v>
      </c>
      <c r="I21" t="s">
        <v>54</v>
      </c>
      <c r="J21" t="s">
        <v>54</v>
      </c>
      <c r="K21" t="s">
        <v>528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513</v>
      </c>
      <c r="S21">
        <v>90313</v>
      </c>
      <c r="T21">
        <v>0</v>
      </c>
      <c r="U21">
        <v>90312</v>
      </c>
      <c r="V21">
        <v>0</v>
      </c>
      <c r="W21" t="s">
        <v>70</v>
      </c>
      <c r="X21">
        <v>0</v>
      </c>
      <c r="Y21">
        <v>0</v>
      </c>
      <c r="Z21">
        <v>1140</v>
      </c>
      <c r="AA21" t="s">
        <v>57</v>
      </c>
      <c r="AB21">
        <v>0</v>
      </c>
      <c r="AC21">
        <v>0</v>
      </c>
      <c r="AD21">
        <v>0</v>
      </c>
      <c r="AE21">
        <v>0</v>
      </c>
      <c r="AF21" t="s">
        <v>67</v>
      </c>
      <c r="AG21">
        <v>0</v>
      </c>
      <c r="AH21">
        <v>0</v>
      </c>
      <c r="AI21">
        <v>0</v>
      </c>
      <c r="AJ21">
        <v>0</v>
      </c>
      <c r="AK21" t="s">
        <v>63</v>
      </c>
      <c r="AL21">
        <v>0</v>
      </c>
      <c r="AM21">
        <v>0</v>
      </c>
      <c r="AN21">
        <v>0</v>
      </c>
      <c r="AO21">
        <v>0</v>
      </c>
      <c r="AP21" t="b">
        <v>0</v>
      </c>
      <c r="AQ21" t="s">
        <v>58</v>
      </c>
      <c r="AR21" t="s">
        <v>58</v>
      </c>
      <c r="AS21" t="s">
        <v>66</v>
      </c>
      <c r="AT21">
        <v>14</v>
      </c>
      <c r="AU21">
        <v>0</v>
      </c>
      <c r="AV21">
        <v>9</v>
      </c>
      <c r="AW21">
        <v>11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s">
        <v>61</v>
      </c>
      <c r="BF21" t="s">
        <v>57</v>
      </c>
      <c r="BG21" t="s">
        <v>55</v>
      </c>
      <c r="BH21" t="s">
        <v>58</v>
      </c>
      <c r="BI21" t="s">
        <v>58</v>
      </c>
    </row>
    <row r="22" spans="1:61" x14ac:dyDescent="0.25">
      <c r="A22" t="str" cm="1">
        <f t="array" ref="A22">_xlfn.IFS(AS22="RegularSeason",C22,AS22&lt;&gt;"RegularSeason",R22)</f>
        <v>00101101010010100000000000100010</v>
      </c>
      <c r="B22" t="str" cm="1">
        <f t="array" ref="B22">_xlfn.IFS(AS22="RegularSeason",D22,AS22&lt;&gt;"RegularSeason",K22)</f>
        <v>00101101010010100000000000001011</v>
      </c>
      <c r="C22" t="str">
        <f t="shared" si="0"/>
        <v>00101101010010100000000000000100</v>
      </c>
      <c r="D22" t="str">
        <f t="shared" si="1"/>
        <v>00101101010010100000000000010110</v>
      </c>
      <c r="E22" t="str" cm="1">
        <f t="array" ref="E22">_xlfn.XLOOKUP(_xlfn.XLOOKUP(G22,New!A:A,New!M:M,NONE),TeamIdentity!A:A,TeamIdentity!C:C,NONE)</f>
        <v>00000100</v>
      </c>
      <c r="F22" t="str" cm="1">
        <f t="array" ref="F22">_xlfn.XLOOKUP(_xlfn.XLOOKUP(G22,New!A:A,New!F:F,NONE),TeamIdentity!A:A,TeamIdentity!C:C,NONE)</f>
        <v>00010110</v>
      </c>
      <c r="G22" t="str">
        <f t="shared" si="2"/>
        <v>0-13</v>
      </c>
      <c r="H22" t="s">
        <v>54</v>
      </c>
      <c r="I22" t="s">
        <v>54</v>
      </c>
      <c r="J22" t="s">
        <v>54</v>
      </c>
      <c r="K22" t="s">
        <v>535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517</v>
      </c>
      <c r="S22">
        <v>90321</v>
      </c>
      <c r="T22">
        <v>0</v>
      </c>
      <c r="U22">
        <v>90320</v>
      </c>
      <c r="V22">
        <v>0</v>
      </c>
      <c r="W22" t="s">
        <v>70</v>
      </c>
      <c r="X22">
        <v>0</v>
      </c>
      <c r="Y22">
        <v>0</v>
      </c>
      <c r="Z22">
        <v>1200</v>
      </c>
      <c r="AA22" t="s">
        <v>57</v>
      </c>
      <c r="AB22">
        <v>0</v>
      </c>
      <c r="AC22">
        <v>0</v>
      </c>
      <c r="AD22">
        <v>0</v>
      </c>
      <c r="AE22">
        <v>0</v>
      </c>
      <c r="AF22" t="s">
        <v>67</v>
      </c>
      <c r="AG22">
        <v>0</v>
      </c>
      <c r="AH22">
        <v>0</v>
      </c>
      <c r="AI22">
        <v>0</v>
      </c>
      <c r="AJ22">
        <v>0</v>
      </c>
      <c r="AK22" t="s">
        <v>63</v>
      </c>
      <c r="AL22">
        <v>0</v>
      </c>
      <c r="AM22">
        <v>0</v>
      </c>
      <c r="AN22">
        <v>0</v>
      </c>
      <c r="AO22">
        <v>0</v>
      </c>
      <c r="AP22" t="b">
        <v>0</v>
      </c>
      <c r="AQ22" t="s">
        <v>58</v>
      </c>
      <c r="AR22" t="s">
        <v>58</v>
      </c>
      <c r="AS22" t="s">
        <v>66</v>
      </c>
      <c r="AT22">
        <v>14</v>
      </c>
      <c r="AU22">
        <v>0</v>
      </c>
      <c r="AV22">
        <v>13</v>
      </c>
      <c r="AW22">
        <v>11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s">
        <v>61</v>
      </c>
      <c r="BF22" t="s">
        <v>57</v>
      </c>
      <c r="BG22" t="s">
        <v>55</v>
      </c>
      <c r="BH22" t="s">
        <v>58</v>
      </c>
      <c r="BI22" t="s">
        <v>58</v>
      </c>
    </row>
    <row r="23" spans="1:61" x14ac:dyDescent="0.25">
      <c r="A23" t="str" cm="1">
        <f t="array" ref="A23">_xlfn.IFS(AS23="RegularSeason",C23,AS23&lt;&gt;"RegularSeason",R23)</f>
        <v>00101101010010100000000000000111</v>
      </c>
      <c r="B23" t="str" cm="1">
        <f t="array" ref="B23">_xlfn.IFS(AS23="RegularSeason",D23,AS23&lt;&gt;"RegularSeason",K23)</f>
        <v>00101101010010100000000000001111</v>
      </c>
      <c r="C23" t="str">
        <f t="shared" si="0"/>
        <v>00101101010010100000000000100000</v>
      </c>
      <c r="D23" t="str">
        <f t="shared" si="1"/>
        <v>00101101010010100000000000000010</v>
      </c>
      <c r="E23" t="str" cm="1">
        <f t="array" ref="E23">_xlfn.XLOOKUP(_xlfn.XLOOKUP(G23,New!A:A,New!M:M,NONE),TeamIdentity!A:A,TeamIdentity!C:C,NONE)</f>
        <v>00100000</v>
      </c>
      <c r="F23" t="str" cm="1">
        <f t="array" ref="F23">_xlfn.XLOOKUP(_xlfn.XLOOKUP(G23,New!A:A,New!F:F,NONE),TeamIdentity!A:A,TeamIdentity!C:C,NONE)</f>
        <v>00000010</v>
      </c>
      <c r="G23" t="str">
        <f t="shared" si="2"/>
        <v>1-13</v>
      </c>
      <c r="H23" t="s">
        <v>54</v>
      </c>
      <c r="I23" t="s">
        <v>54</v>
      </c>
      <c r="J23" t="s">
        <v>54</v>
      </c>
      <c r="K23" t="s">
        <v>516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538</v>
      </c>
      <c r="S23">
        <v>-1</v>
      </c>
      <c r="T23">
        <v>0</v>
      </c>
      <c r="U23">
        <v>-1</v>
      </c>
      <c r="V23">
        <v>0</v>
      </c>
      <c r="W23" t="s">
        <v>70</v>
      </c>
      <c r="X23">
        <v>0</v>
      </c>
      <c r="Y23">
        <v>0</v>
      </c>
      <c r="Z23">
        <v>1260</v>
      </c>
      <c r="AA23" t="s">
        <v>57</v>
      </c>
      <c r="AB23">
        <v>0</v>
      </c>
      <c r="AC23">
        <v>0</v>
      </c>
      <c r="AD23">
        <v>0</v>
      </c>
      <c r="AE23">
        <v>0</v>
      </c>
      <c r="AF23" t="s">
        <v>67</v>
      </c>
      <c r="AG23">
        <v>0</v>
      </c>
      <c r="AH23">
        <v>0</v>
      </c>
      <c r="AI23">
        <v>0</v>
      </c>
      <c r="AJ23">
        <v>0</v>
      </c>
      <c r="AK23" t="s">
        <v>63</v>
      </c>
      <c r="AL23">
        <v>0</v>
      </c>
      <c r="AM23">
        <v>0</v>
      </c>
      <c r="AN23">
        <v>0</v>
      </c>
      <c r="AO23">
        <v>0</v>
      </c>
      <c r="AP23" t="b">
        <v>0</v>
      </c>
      <c r="AQ23" t="s">
        <v>58</v>
      </c>
      <c r="AR23" t="s">
        <v>58</v>
      </c>
      <c r="AS23" t="s">
        <v>66</v>
      </c>
      <c r="AT23">
        <v>14</v>
      </c>
      <c r="AU23">
        <v>1</v>
      </c>
      <c r="AV23">
        <v>13</v>
      </c>
      <c r="AW23">
        <v>11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s">
        <v>61</v>
      </c>
      <c r="BF23" t="s">
        <v>57</v>
      </c>
      <c r="BG23" t="s">
        <v>55</v>
      </c>
      <c r="BH23" t="s">
        <v>58</v>
      </c>
      <c r="BI23" t="s">
        <v>58</v>
      </c>
    </row>
    <row r="24" spans="1:61" x14ac:dyDescent="0.25">
      <c r="A24" t="str" cm="1">
        <f t="array" ref="A24">_xlfn.IFS(AS24="RegularSeason",C24,AS24&lt;&gt;"RegularSeason",R24)</f>
        <v>00101101010010100000000000000000</v>
      </c>
      <c r="B24" t="str" cm="1">
        <f t="array" ref="B24">_xlfn.IFS(AS24="RegularSeason",D24,AS24&lt;&gt;"RegularSeason",K24)</f>
        <v>00101101010010100000000000001010</v>
      </c>
      <c r="C24" t="str">
        <f t="shared" si="0"/>
        <v>00101101010010100000000000000111</v>
      </c>
      <c r="D24" t="str">
        <f t="shared" si="1"/>
        <v>00101101010010100000000000011101</v>
      </c>
      <c r="E24" t="str" cm="1">
        <f t="array" ref="E24">_xlfn.XLOOKUP(_xlfn.XLOOKUP(G24,New!A:A,New!M:M,NONE),TeamIdentity!A:A,TeamIdentity!C:C,NONE)</f>
        <v>00000111</v>
      </c>
      <c r="F24" t="str" cm="1">
        <f t="array" ref="F24">_xlfn.XLOOKUP(_xlfn.XLOOKUP(G24,New!A:A,New!F:F,NONE),TeamIdentity!A:A,TeamIdentity!C:C,NONE)</f>
        <v>00011101</v>
      </c>
      <c r="G24" t="str">
        <f t="shared" si="2"/>
        <v>1-15</v>
      </c>
      <c r="H24" t="s">
        <v>54</v>
      </c>
      <c r="I24" t="s">
        <v>54</v>
      </c>
      <c r="J24" t="s">
        <v>54</v>
      </c>
      <c r="K24" t="s">
        <v>528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533</v>
      </c>
      <c r="S24">
        <v>-1</v>
      </c>
      <c r="T24">
        <v>0</v>
      </c>
      <c r="U24">
        <v>-1</v>
      </c>
      <c r="V24">
        <v>0</v>
      </c>
      <c r="W24" t="s">
        <v>70</v>
      </c>
      <c r="X24">
        <v>0</v>
      </c>
      <c r="Y24">
        <v>0</v>
      </c>
      <c r="Z24">
        <v>1380</v>
      </c>
      <c r="AA24" t="s">
        <v>57</v>
      </c>
      <c r="AB24">
        <v>0</v>
      </c>
      <c r="AC24">
        <v>0</v>
      </c>
      <c r="AD24">
        <v>0</v>
      </c>
      <c r="AE24">
        <v>0</v>
      </c>
      <c r="AF24" t="s">
        <v>67</v>
      </c>
      <c r="AG24">
        <v>0</v>
      </c>
      <c r="AH24">
        <v>0</v>
      </c>
      <c r="AI24">
        <v>0</v>
      </c>
      <c r="AJ24">
        <v>0</v>
      </c>
      <c r="AK24" t="s">
        <v>63</v>
      </c>
      <c r="AL24">
        <v>0</v>
      </c>
      <c r="AM24">
        <v>0</v>
      </c>
      <c r="AN24">
        <v>0</v>
      </c>
      <c r="AO24">
        <v>0</v>
      </c>
      <c r="AP24" t="b">
        <v>0</v>
      </c>
      <c r="AQ24" t="s">
        <v>58</v>
      </c>
      <c r="AR24" t="s">
        <v>58</v>
      </c>
      <c r="AS24" t="s">
        <v>66</v>
      </c>
      <c r="AT24">
        <v>14</v>
      </c>
      <c r="AU24">
        <v>1</v>
      </c>
      <c r="AV24">
        <v>15</v>
      </c>
      <c r="AW24">
        <v>11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s">
        <v>61</v>
      </c>
      <c r="BF24" t="s">
        <v>57</v>
      </c>
      <c r="BG24" t="s">
        <v>55</v>
      </c>
      <c r="BH24" t="s">
        <v>58</v>
      </c>
      <c r="BI24" t="s">
        <v>58</v>
      </c>
    </row>
    <row r="25" spans="1:61" x14ac:dyDescent="0.25">
      <c r="A25" t="str" cm="1">
        <f t="array" ref="A25">_xlfn.IFS(AS25="RegularSeason",C25,AS25&lt;&gt;"RegularSeason",R25)</f>
        <v>00101101010010100000000000100001</v>
      </c>
      <c r="B25" t="str" cm="1">
        <f t="array" ref="B25">_xlfn.IFS(AS25="RegularSeason",D25,AS25&lt;&gt;"RegularSeason",K25)</f>
        <v>00101101010010100000000000000110</v>
      </c>
      <c r="C25" t="str">
        <f t="shared" si="0"/>
        <v>00101101010010100000000000100011</v>
      </c>
      <c r="D25" t="str">
        <f t="shared" si="1"/>
        <v>00101101010010100000000000010001</v>
      </c>
      <c r="E25" t="str" cm="1">
        <f t="array" ref="E25">_xlfn.XLOOKUP(_xlfn.XLOOKUP(G25,New!A:A,New!M:M,NONE),TeamIdentity!A:A,TeamIdentity!C:C,NONE)</f>
        <v>00100011</v>
      </c>
      <c r="F25" t="str" cm="1">
        <f t="array" ref="F25">_xlfn.XLOOKUP(_xlfn.XLOOKUP(G25,New!A:A,New!F:F,NONE),TeamIdentity!A:A,TeamIdentity!C:C,NONE)</f>
        <v>00010001</v>
      </c>
      <c r="G25" t="str">
        <f t="shared" si="2"/>
        <v>1-0</v>
      </c>
      <c r="H25" t="s">
        <v>54</v>
      </c>
      <c r="I25" t="s">
        <v>54</v>
      </c>
      <c r="J25" t="s">
        <v>54</v>
      </c>
      <c r="K25" t="s">
        <v>531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518</v>
      </c>
      <c r="S25">
        <v>-1</v>
      </c>
      <c r="T25">
        <v>0</v>
      </c>
      <c r="U25">
        <v>-1</v>
      </c>
      <c r="V25">
        <v>0</v>
      </c>
      <c r="W25" t="s">
        <v>70</v>
      </c>
      <c r="X25">
        <v>0</v>
      </c>
      <c r="Y25">
        <v>0</v>
      </c>
      <c r="Z25">
        <v>1140</v>
      </c>
      <c r="AA25" t="s">
        <v>57</v>
      </c>
      <c r="AB25">
        <v>0</v>
      </c>
      <c r="AC25">
        <v>0</v>
      </c>
      <c r="AD25">
        <v>0</v>
      </c>
      <c r="AE25">
        <v>0</v>
      </c>
      <c r="AF25" t="s">
        <v>67</v>
      </c>
      <c r="AG25">
        <v>0</v>
      </c>
      <c r="AH25">
        <v>0</v>
      </c>
      <c r="AI25">
        <v>0</v>
      </c>
      <c r="AJ25">
        <v>0</v>
      </c>
      <c r="AK25" t="s">
        <v>60</v>
      </c>
      <c r="AL25">
        <v>0</v>
      </c>
      <c r="AM25">
        <v>0</v>
      </c>
      <c r="AN25">
        <v>0</v>
      </c>
      <c r="AO25">
        <v>0</v>
      </c>
      <c r="AP25" t="b">
        <v>0</v>
      </c>
      <c r="AQ25" t="s">
        <v>58</v>
      </c>
      <c r="AR25" t="s">
        <v>58</v>
      </c>
      <c r="AS25" t="s">
        <v>66</v>
      </c>
      <c r="AT25">
        <v>14</v>
      </c>
      <c r="AU25">
        <v>1</v>
      </c>
      <c r="AV25">
        <v>0</v>
      </c>
      <c r="AW25">
        <v>11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s">
        <v>61</v>
      </c>
      <c r="BF25" t="s">
        <v>57</v>
      </c>
      <c r="BG25" t="s">
        <v>55</v>
      </c>
      <c r="BH25" t="s">
        <v>58</v>
      </c>
      <c r="BI25" t="s">
        <v>58</v>
      </c>
    </row>
    <row r="26" spans="1:61" x14ac:dyDescent="0.25">
      <c r="A26" t="str" cm="1">
        <f t="array" ref="A26">_xlfn.IFS(AS26="RegularSeason",C26,AS26&lt;&gt;"RegularSeason",R26)</f>
        <v>00101101010010100000000000000001</v>
      </c>
      <c r="B26" t="str" cm="1">
        <f t="array" ref="B26">_xlfn.IFS(AS26="RegularSeason",D26,AS26&lt;&gt;"RegularSeason",K26)</f>
        <v>00101101010010100000000000011011</v>
      </c>
      <c r="C26" t="str">
        <f t="shared" si="0"/>
        <v>00101101010010100000000000100001</v>
      </c>
      <c r="D26" t="str">
        <f t="shared" si="1"/>
        <v>00101101010010100000000000001100</v>
      </c>
      <c r="E26" t="str" cm="1">
        <f t="array" ref="E26">_xlfn.XLOOKUP(_xlfn.XLOOKUP(G26,New!A:A,New!M:M,NONE),TeamIdentity!A:A,TeamIdentity!C:C,NONE)</f>
        <v>00100001</v>
      </c>
      <c r="F26" t="str" cm="1">
        <f t="array" ref="F26">_xlfn.XLOOKUP(_xlfn.XLOOKUP(G26,New!A:A,New!F:F,NONE),TeamIdentity!A:A,TeamIdentity!C:C,NONE)</f>
        <v>00001100</v>
      </c>
      <c r="G26" t="str">
        <f t="shared" si="2"/>
        <v>1-5</v>
      </c>
      <c r="H26" t="s">
        <v>54</v>
      </c>
      <c r="I26" t="s">
        <v>54</v>
      </c>
      <c r="J26" t="s">
        <v>54</v>
      </c>
      <c r="K26" t="s">
        <v>512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523</v>
      </c>
      <c r="S26">
        <v>-1</v>
      </c>
      <c r="T26">
        <v>0</v>
      </c>
      <c r="U26">
        <v>-1</v>
      </c>
      <c r="V26">
        <v>0</v>
      </c>
      <c r="W26" t="s">
        <v>70</v>
      </c>
      <c r="X26">
        <v>0</v>
      </c>
      <c r="Y26">
        <v>0</v>
      </c>
      <c r="Z26">
        <v>1200</v>
      </c>
      <c r="AA26" t="s">
        <v>57</v>
      </c>
      <c r="AB26">
        <v>0</v>
      </c>
      <c r="AC26">
        <v>0</v>
      </c>
      <c r="AD26">
        <v>0</v>
      </c>
      <c r="AE26">
        <v>0</v>
      </c>
      <c r="AF26" t="s">
        <v>67</v>
      </c>
      <c r="AG26">
        <v>0</v>
      </c>
      <c r="AH26">
        <v>0</v>
      </c>
      <c r="AI26">
        <v>0</v>
      </c>
      <c r="AJ26">
        <v>0</v>
      </c>
      <c r="AK26" t="s">
        <v>68</v>
      </c>
      <c r="AL26">
        <v>0</v>
      </c>
      <c r="AM26">
        <v>0</v>
      </c>
      <c r="AN26">
        <v>0</v>
      </c>
      <c r="AO26">
        <v>0</v>
      </c>
      <c r="AP26" t="b">
        <v>0</v>
      </c>
      <c r="AQ26" t="s">
        <v>58</v>
      </c>
      <c r="AR26" t="s">
        <v>58</v>
      </c>
      <c r="AS26" t="s">
        <v>66</v>
      </c>
      <c r="AT26">
        <v>14</v>
      </c>
      <c r="AU26">
        <v>1</v>
      </c>
      <c r="AV26">
        <v>5</v>
      </c>
      <c r="AW26">
        <v>11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s">
        <v>61</v>
      </c>
      <c r="BF26" t="s">
        <v>57</v>
      </c>
      <c r="BG26" t="s">
        <v>55</v>
      </c>
      <c r="BH26" t="s">
        <v>58</v>
      </c>
      <c r="BI26" t="s">
        <v>58</v>
      </c>
    </row>
    <row r="27" spans="1:61" x14ac:dyDescent="0.25">
      <c r="A27" t="str" cm="1">
        <f t="array" ref="A27">_xlfn.IFS(AS27="RegularSeason",C27,AS27&lt;&gt;"RegularSeason",R27)</f>
        <v>00101101010010100000000000100100</v>
      </c>
      <c r="B27" t="str" cm="1">
        <f t="array" ref="B27">_xlfn.IFS(AS27="RegularSeason",D27,AS27&lt;&gt;"RegularSeason",K27)</f>
        <v>00101101010010100000000000011111</v>
      </c>
      <c r="C27" t="str">
        <f t="shared" si="0"/>
        <v>00101101010010100000000000011001</v>
      </c>
      <c r="D27" t="str">
        <f t="shared" si="1"/>
        <v>00101101010010100000000000100100</v>
      </c>
      <c r="E27" t="str" cm="1">
        <f t="array" ref="E27">_xlfn.XLOOKUP(_xlfn.XLOOKUP(G27,New!A:A,New!M:M,NONE),TeamIdentity!A:A,TeamIdentity!C:C,NONE)</f>
        <v>00011001</v>
      </c>
      <c r="F27" t="str" cm="1">
        <f t="array" ref="F27">_xlfn.XLOOKUP(_xlfn.XLOOKUP(G27,New!A:A,New!F:F,NONE),TeamIdentity!A:A,TeamIdentity!C:C,NONE)</f>
        <v>00100100</v>
      </c>
      <c r="G27" t="str">
        <f t="shared" si="2"/>
        <v>0-0</v>
      </c>
      <c r="H27" t="s">
        <v>54</v>
      </c>
      <c r="I27" t="s">
        <v>54</v>
      </c>
      <c r="J27" t="s">
        <v>54</v>
      </c>
      <c r="K27" t="s">
        <v>537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526</v>
      </c>
      <c r="S27">
        <v>90327</v>
      </c>
      <c r="T27">
        <v>0</v>
      </c>
      <c r="U27">
        <v>90326</v>
      </c>
      <c r="V27">
        <v>0</v>
      </c>
      <c r="W27" t="s">
        <v>70</v>
      </c>
      <c r="X27">
        <v>0</v>
      </c>
      <c r="Y27">
        <v>0</v>
      </c>
      <c r="Z27">
        <v>1200</v>
      </c>
      <c r="AA27" t="s">
        <v>57</v>
      </c>
      <c r="AB27">
        <v>0</v>
      </c>
      <c r="AC27">
        <v>0</v>
      </c>
      <c r="AD27">
        <v>0</v>
      </c>
      <c r="AE27">
        <v>0</v>
      </c>
      <c r="AF27" t="s">
        <v>67</v>
      </c>
      <c r="AG27">
        <v>0</v>
      </c>
      <c r="AH27">
        <v>0</v>
      </c>
      <c r="AI27">
        <v>0</v>
      </c>
      <c r="AJ27">
        <v>0</v>
      </c>
      <c r="AK27" t="s">
        <v>60</v>
      </c>
      <c r="AL27">
        <v>0</v>
      </c>
      <c r="AM27">
        <v>0</v>
      </c>
      <c r="AN27">
        <v>0</v>
      </c>
      <c r="AO27">
        <v>0</v>
      </c>
      <c r="AP27" t="b">
        <v>0</v>
      </c>
      <c r="AQ27" t="s">
        <v>58</v>
      </c>
      <c r="AR27" t="s">
        <v>58</v>
      </c>
      <c r="AS27" t="s">
        <v>66</v>
      </c>
      <c r="AT27">
        <v>14</v>
      </c>
      <c r="AU27">
        <v>0</v>
      </c>
      <c r="AV27">
        <v>0</v>
      </c>
      <c r="AW27">
        <v>11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s">
        <v>61</v>
      </c>
      <c r="BF27" t="s">
        <v>57</v>
      </c>
      <c r="BG27" t="s">
        <v>55</v>
      </c>
      <c r="BH27" t="s">
        <v>58</v>
      </c>
      <c r="BI27" t="s">
        <v>58</v>
      </c>
    </row>
    <row r="28" spans="1:61" x14ac:dyDescent="0.25">
      <c r="A28" t="str" cm="1">
        <f t="array" ref="A28">_xlfn.IFS(AS28="RegularSeason",C28,AS28&lt;&gt;"RegularSeason",R28)</f>
        <v>00101101010010100000000000000010</v>
      </c>
      <c r="B28" t="str" cm="1">
        <f t="array" ref="B28">_xlfn.IFS(AS28="RegularSeason",D28,AS28&lt;&gt;"RegularSeason",K28)</f>
        <v>00101101010010100000000000001110</v>
      </c>
      <c r="C28" t="str">
        <f t="shared" si="0"/>
        <v>00101101010010100000000000011101</v>
      </c>
      <c r="D28" t="str">
        <f t="shared" si="1"/>
        <v>00101101010010100000000000100000</v>
      </c>
      <c r="E28" t="str" cm="1">
        <f t="array" ref="E28">_xlfn.XLOOKUP(_xlfn.XLOOKUP(G28,New!A:A,New!M:M,NONE),TeamIdentity!A:A,TeamIdentity!C:C,NONE)</f>
        <v>00011101</v>
      </c>
      <c r="F28" t="str" cm="1">
        <f t="array" ref="F28">_xlfn.XLOOKUP(_xlfn.XLOOKUP(G28,New!A:A,New!F:F,NONE),TeamIdentity!A:A,TeamIdentity!C:C,NONE)</f>
        <v>00100000</v>
      </c>
      <c r="G28" t="str">
        <f t="shared" si="2"/>
        <v>2-12</v>
      </c>
      <c r="H28" t="s">
        <v>54</v>
      </c>
      <c r="I28" t="s">
        <v>54</v>
      </c>
      <c r="J28" t="s">
        <v>54</v>
      </c>
      <c r="K28" t="s">
        <v>541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532</v>
      </c>
      <c r="S28">
        <v>-1</v>
      </c>
      <c r="T28">
        <v>0</v>
      </c>
      <c r="U28">
        <v>-1</v>
      </c>
      <c r="V28">
        <v>0</v>
      </c>
      <c r="W28" t="s">
        <v>70</v>
      </c>
      <c r="X28">
        <v>0</v>
      </c>
      <c r="Y28">
        <v>0</v>
      </c>
      <c r="Z28">
        <v>1260</v>
      </c>
      <c r="AA28" t="s">
        <v>57</v>
      </c>
      <c r="AB28">
        <v>0</v>
      </c>
      <c r="AC28">
        <v>0</v>
      </c>
      <c r="AD28">
        <v>0</v>
      </c>
      <c r="AE28">
        <v>0</v>
      </c>
      <c r="AF28" t="s">
        <v>67</v>
      </c>
      <c r="AG28">
        <v>0</v>
      </c>
      <c r="AH28">
        <v>0</v>
      </c>
      <c r="AI28">
        <v>0</v>
      </c>
      <c r="AJ28">
        <v>0</v>
      </c>
      <c r="AK28" t="s">
        <v>63</v>
      </c>
      <c r="AL28">
        <v>0</v>
      </c>
      <c r="AM28">
        <v>0</v>
      </c>
      <c r="AN28">
        <v>0</v>
      </c>
      <c r="AO28">
        <v>0</v>
      </c>
      <c r="AP28" t="b">
        <v>0</v>
      </c>
      <c r="AQ28" t="s">
        <v>58</v>
      </c>
      <c r="AR28" t="s">
        <v>58</v>
      </c>
      <c r="AS28" t="s">
        <v>66</v>
      </c>
      <c r="AT28">
        <v>14</v>
      </c>
      <c r="AU28">
        <v>2</v>
      </c>
      <c r="AV28">
        <v>12</v>
      </c>
      <c r="AW28">
        <v>11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s">
        <v>61</v>
      </c>
      <c r="BF28" t="s">
        <v>57</v>
      </c>
      <c r="BG28" t="s">
        <v>55</v>
      </c>
      <c r="BH28" t="s">
        <v>58</v>
      </c>
      <c r="BI28" t="s">
        <v>58</v>
      </c>
    </row>
    <row r="29" spans="1:61" x14ac:dyDescent="0.25">
      <c r="A29" t="str" cm="1">
        <f t="array" ref="A29">_xlfn.IFS(AS29="RegularSeason",C29,AS29&lt;&gt;"RegularSeason",R29)</f>
        <v>00101101010010100000000000100000</v>
      </c>
      <c r="B29" t="str" cm="1">
        <f t="array" ref="B29">_xlfn.IFS(AS29="RegularSeason",D29,AS29&lt;&gt;"RegularSeason",K29)</f>
        <v>00101101010010100000000000011110</v>
      </c>
      <c r="C29" t="str">
        <f t="shared" si="0"/>
        <v>00101101010010100000000000010011</v>
      </c>
      <c r="D29" t="str">
        <f t="shared" si="1"/>
        <v>00101101010010100000000000001101</v>
      </c>
      <c r="E29" t="str" cm="1">
        <f t="array" ref="E29">_xlfn.XLOOKUP(_xlfn.XLOOKUP(G29,New!A:A,New!M:M,NONE),TeamIdentity!A:A,TeamIdentity!C:C,NONE)</f>
        <v>00010011</v>
      </c>
      <c r="F29" t="str" cm="1">
        <f t="array" ref="F29">_xlfn.XLOOKUP(_xlfn.XLOOKUP(G29,New!A:A,New!F:F,NONE),TeamIdentity!A:A,TeamIdentity!C:C,NONE)</f>
        <v>00001101</v>
      </c>
      <c r="G29" t="str">
        <f t="shared" si="2"/>
        <v>1-14</v>
      </c>
      <c r="H29" t="s">
        <v>54</v>
      </c>
      <c r="I29" t="s">
        <v>54</v>
      </c>
      <c r="J29" t="s">
        <v>54</v>
      </c>
      <c r="K29" t="s">
        <v>520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527</v>
      </c>
      <c r="S29">
        <v>-1</v>
      </c>
      <c r="T29">
        <v>0</v>
      </c>
      <c r="U29">
        <v>-1</v>
      </c>
      <c r="V29">
        <v>0</v>
      </c>
      <c r="W29" t="s">
        <v>70</v>
      </c>
      <c r="X29">
        <v>0</v>
      </c>
      <c r="Y29">
        <v>0</v>
      </c>
      <c r="Z29">
        <v>1320</v>
      </c>
      <c r="AA29" t="s">
        <v>57</v>
      </c>
      <c r="AB29">
        <v>0</v>
      </c>
      <c r="AC29">
        <v>0</v>
      </c>
      <c r="AD29">
        <v>0</v>
      </c>
      <c r="AE29">
        <v>0</v>
      </c>
      <c r="AF29" t="s">
        <v>67</v>
      </c>
      <c r="AG29">
        <v>0</v>
      </c>
      <c r="AH29">
        <v>0</v>
      </c>
      <c r="AI29">
        <v>0</v>
      </c>
      <c r="AJ29">
        <v>0</v>
      </c>
      <c r="AK29" t="s">
        <v>63</v>
      </c>
      <c r="AL29">
        <v>0</v>
      </c>
      <c r="AM29">
        <v>0</v>
      </c>
      <c r="AN29">
        <v>0</v>
      </c>
      <c r="AO29">
        <v>0</v>
      </c>
      <c r="AP29" t="b">
        <v>0</v>
      </c>
      <c r="AQ29" t="s">
        <v>58</v>
      </c>
      <c r="AR29" t="s">
        <v>58</v>
      </c>
      <c r="AS29" t="s">
        <v>66</v>
      </c>
      <c r="AT29">
        <v>14</v>
      </c>
      <c r="AU29">
        <v>1</v>
      </c>
      <c r="AV29">
        <v>14</v>
      </c>
      <c r="AW29">
        <v>11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s">
        <v>61</v>
      </c>
      <c r="BF29" t="s">
        <v>57</v>
      </c>
      <c r="BG29" t="s">
        <v>55</v>
      </c>
      <c r="BH29" t="s">
        <v>58</v>
      </c>
      <c r="BI29" t="s">
        <v>58</v>
      </c>
    </row>
    <row r="30" spans="1:61" x14ac:dyDescent="0.25">
      <c r="A30" t="str" cm="1">
        <f t="array" ref="A30">_xlfn.IFS(AS30="RegularSeason",C30,AS30&lt;&gt;"RegularSeason",R30)</f>
        <v>00101101010010100000000000000101</v>
      </c>
      <c r="B30" t="str" cm="1">
        <f t="array" ref="B30">_xlfn.IFS(AS30="RegularSeason",D30,AS30&lt;&gt;"RegularSeason",K30)</f>
        <v>00101101010010100000000000001110</v>
      </c>
      <c r="C30" t="str">
        <f t="shared" si="0"/>
        <v>00101101010010100000000000001111</v>
      </c>
      <c r="D30" t="str">
        <f t="shared" si="1"/>
        <v>00101101010010100000000000000011</v>
      </c>
      <c r="E30" t="str" cm="1">
        <f t="array" ref="E30">_xlfn.XLOOKUP(_xlfn.XLOOKUP(G30,New!A:A,New!M:M,NONE),TeamIdentity!A:A,TeamIdentity!C:C,NONE)</f>
        <v>00001111</v>
      </c>
      <c r="F30" t="str" cm="1">
        <f t="array" ref="F30">_xlfn.XLOOKUP(_xlfn.XLOOKUP(G30,New!A:A,New!F:F,NONE),TeamIdentity!A:A,TeamIdentity!C:C,NONE)</f>
        <v>00000011</v>
      </c>
      <c r="G30" t="str">
        <f t="shared" si="2"/>
        <v>1-6</v>
      </c>
      <c r="H30" t="s">
        <v>54</v>
      </c>
      <c r="I30" t="s">
        <v>54</v>
      </c>
      <c r="J30" t="s">
        <v>54</v>
      </c>
      <c r="K30" t="s">
        <v>541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530</v>
      </c>
      <c r="S30">
        <v>-1</v>
      </c>
      <c r="T30">
        <v>0</v>
      </c>
      <c r="U30">
        <v>-1</v>
      </c>
      <c r="V30">
        <v>0</v>
      </c>
      <c r="W30" t="s">
        <v>70</v>
      </c>
      <c r="X30">
        <v>0</v>
      </c>
      <c r="Y30">
        <v>0</v>
      </c>
      <c r="Z30">
        <v>1200</v>
      </c>
      <c r="AA30" t="s">
        <v>57</v>
      </c>
      <c r="AB30">
        <v>0</v>
      </c>
      <c r="AC30">
        <v>0</v>
      </c>
      <c r="AD30">
        <v>0</v>
      </c>
      <c r="AE30">
        <v>0</v>
      </c>
      <c r="AF30" t="s">
        <v>67</v>
      </c>
      <c r="AG30">
        <v>0</v>
      </c>
      <c r="AH30">
        <v>0</v>
      </c>
      <c r="AI30">
        <v>0</v>
      </c>
      <c r="AJ30">
        <v>0</v>
      </c>
      <c r="AK30" t="s">
        <v>68</v>
      </c>
      <c r="AL30">
        <v>0</v>
      </c>
      <c r="AM30">
        <v>0</v>
      </c>
      <c r="AN30">
        <v>0</v>
      </c>
      <c r="AO30">
        <v>0</v>
      </c>
      <c r="AP30" t="b">
        <v>0</v>
      </c>
      <c r="AQ30" t="s">
        <v>58</v>
      </c>
      <c r="AR30" t="s">
        <v>58</v>
      </c>
      <c r="AS30" t="s">
        <v>66</v>
      </c>
      <c r="AT30">
        <v>14</v>
      </c>
      <c r="AU30">
        <v>1</v>
      </c>
      <c r="AV30">
        <v>6</v>
      </c>
      <c r="AW30">
        <v>11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s">
        <v>61</v>
      </c>
      <c r="BF30" t="s">
        <v>57</v>
      </c>
      <c r="BG30" t="s">
        <v>55</v>
      </c>
      <c r="BH30" t="s">
        <v>58</v>
      </c>
      <c r="BI30" t="s">
        <v>58</v>
      </c>
    </row>
    <row r="31" spans="1:61" x14ac:dyDescent="0.25">
      <c r="A31" t="str" cm="1">
        <f t="array" ref="A31">_xlfn.IFS(AS31="RegularSeason",C31,AS31&lt;&gt;"RegularSeason",R31)</f>
        <v>00101101010010100000000000011111</v>
      </c>
      <c r="B31" t="str" cm="1">
        <f t="array" ref="B31">_xlfn.IFS(AS31="RegularSeason",D31,AS31&lt;&gt;"RegularSeason",K31)</f>
        <v>00101101010010100000000000001100</v>
      </c>
      <c r="C31" t="str">
        <f t="shared" si="0"/>
        <v>00101101010010100000000000001011</v>
      </c>
      <c r="D31" t="str">
        <f t="shared" si="1"/>
        <v>00101101010010100000000000011110</v>
      </c>
      <c r="E31" t="str" cm="1">
        <f t="array" ref="E31">_xlfn.XLOOKUP(_xlfn.XLOOKUP(G31,New!A:A,New!M:M,NONE),TeamIdentity!A:A,TeamIdentity!C:C,NONE)</f>
        <v>00001011</v>
      </c>
      <c r="F31" t="str" cm="1">
        <f t="array" ref="F31">_xlfn.XLOOKUP(_xlfn.XLOOKUP(G31,New!A:A,New!F:F,NONE),TeamIdentity!A:A,TeamIdentity!C:C,NONE)</f>
        <v>00011110</v>
      </c>
      <c r="G31" t="str">
        <f t="shared" si="2"/>
        <v>1-1</v>
      </c>
      <c r="H31" t="s">
        <v>54</v>
      </c>
      <c r="I31" t="s">
        <v>54</v>
      </c>
      <c r="J31" t="s">
        <v>54</v>
      </c>
      <c r="K31" t="s">
        <v>540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537</v>
      </c>
      <c r="S31">
        <v>-1</v>
      </c>
      <c r="T31">
        <v>0</v>
      </c>
      <c r="U31">
        <v>-1</v>
      </c>
      <c r="V31">
        <v>0</v>
      </c>
      <c r="W31" t="s">
        <v>70</v>
      </c>
      <c r="X31">
        <v>0</v>
      </c>
      <c r="Y31">
        <v>0</v>
      </c>
      <c r="Z31">
        <v>1200</v>
      </c>
      <c r="AA31" t="s">
        <v>57</v>
      </c>
      <c r="AB31">
        <v>0</v>
      </c>
      <c r="AC31">
        <v>0</v>
      </c>
      <c r="AD31">
        <v>0</v>
      </c>
      <c r="AE31">
        <v>0</v>
      </c>
      <c r="AF31" t="s">
        <v>67</v>
      </c>
      <c r="AG31">
        <v>0</v>
      </c>
      <c r="AH31">
        <v>0</v>
      </c>
      <c r="AI31">
        <v>0</v>
      </c>
      <c r="AJ31">
        <v>0</v>
      </c>
      <c r="AK31" t="s">
        <v>60</v>
      </c>
      <c r="AL31">
        <v>0</v>
      </c>
      <c r="AM31">
        <v>0</v>
      </c>
      <c r="AN31">
        <v>0</v>
      </c>
      <c r="AO31">
        <v>0</v>
      </c>
      <c r="AP31" t="b">
        <v>0</v>
      </c>
      <c r="AQ31" t="s">
        <v>58</v>
      </c>
      <c r="AR31" t="s">
        <v>58</v>
      </c>
      <c r="AS31" t="s">
        <v>66</v>
      </c>
      <c r="AT31">
        <v>14</v>
      </c>
      <c r="AU31">
        <v>1</v>
      </c>
      <c r="AV31">
        <v>1</v>
      </c>
      <c r="AW31">
        <v>11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s">
        <v>61</v>
      </c>
      <c r="BF31" t="s">
        <v>57</v>
      </c>
      <c r="BG31" t="s">
        <v>55</v>
      </c>
      <c r="BH31" t="s">
        <v>58</v>
      </c>
      <c r="BI31" t="s">
        <v>58</v>
      </c>
    </row>
    <row r="32" spans="1:61" x14ac:dyDescent="0.25">
      <c r="A32" t="str" cm="1">
        <f t="array" ref="A32">_xlfn.IFS(AS32="RegularSeason",C32,AS32&lt;&gt;"RegularSeason",R32)</f>
        <v>00101101010010100000000000001011</v>
      </c>
      <c r="B32" t="str" cm="1">
        <f t="array" ref="B32">_xlfn.IFS(AS32="RegularSeason",D32,AS32&lt;&gt;"RegularSeason",K32)</f>
        <v>00101101010010100000000000100100</v>
      </c>
      <c r="C32" t="str">
        <f t="shared" si="0"/>
        <v>00101101010010100000000000000001</v>
      </c>
      <c r="D32" t="str">
        <f t="shared" si="1"/>
        <v>00101101010010100000000000001010</v>
      </c>
      <c r="E32" t="str" cm="1">
        <f t="array" ref="E32">_xlfn.XLOOKUP(_xlfn.XLOOKUP(G32,New!A:A,New!M:M,NONE),TeamIdentity!A:A,TeamIdentity!C:C,NONE)</f>
        <v>00000001</v>
      </c>
      <c r="F32" t="str" cm="1">
        <f t="array" ref="F32">_xlfn.XLOOKUP(_xlfn.XLOOKUP(G32,New!A:A,New!F:F,NONE),TeamIdentity!A:A,TeamIdentity!C:C,NONE)</f>
        <v>00001010</v>
      </c>
      <c r="G32" t="str">
        <f t="shared" si="2"/>
        <v>2-4</v>
      </c>
      <c r="H32" t="s">
        <v>54</v>
      </c>
      <c r="I32" t="s">
        <v>54</v>
      </c>
      <c r="J32" t="s">
        <v>54</v>
      </c>
      <c r="K32" t="s">
        <v>526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535</v>
      </c>
      <c r="S32">
        <v>-1</v>
      </c>
      <c r="T32">
        <v>0</v>
      </c>
      <c r="U32">
        <v>-1</v>
      </c>
      <c r="V32">
        <v>0</v>
      </c>
      <c r="W32" t="s">
        <v>70</v>
      </c>
      <c r="X32">
        <v>0</v>
      </c>
      <c r="Y32">
        <v>0</v>
      </c>
      <c r="Z32">
        <v>1200</v>
      </c>
      <c r="AA32" t="s">
        <v>57</v>
      </c>
      <c r="AB32">
        <v>0</v>
      </c>
      <c r="AC32">
        <v>0</v>
      </c>
      <c r="AD32">
        <v>0</v>
      </c>
      <c r="AE32">
        <v>0</v>
      </c>
      <c r="AF32" t="s">
        <v>67</v>
      </c>
      <c r="AG32">
        <v>0</v>
      </c>
      <c r="AH32">
        <v>0</v>
      </c>
      <c r="AI32">
        <v>0</v>
      </c>
      <c r="AJ32">
        <v>0</v>
      </c>
      <c r="AK32" t="s">
        <v>68</v>
      </c>
      <c r="AL32">
        <v>0</v>
      </c>
      <c r="AM32">
        <v>0</v>
      </c>
      <c r="AN32">
        <v>0</v>
      </c>
      <c r="AO32">
        <v>0</v>
      </c>
      <c r="AP32" t="b">
        <v>0</v>
      </c>
      <c r="AQ32" t="s">
        <v>58</v>
      </c>
      <c r="AR32" t="s">
        <v>58</v>
      </c>
      <c r="AS32" t="s">
        <v>66</v>
      </c>
      <c r="AT32">
        <v>14</v>
      </c>
      <c r="AU32">
        <v>2</v>
      </c>
      <c r="AV32">
        <v>4</v>
      </c>
      <c r="AW32">
        <v>11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s">
        <v>61</v>
      </c>
      <c r="BF32" t="s">
        <v>57</v>
      </c>
      <c r="BG32" t="s">
        <v>55</v>
      </c>
      <c r="BH32" t="s">
        <v>58</v>
      </c>
      <c r="BI32" t="s">
        <v>58</v>
      </c>
    </row>
    <row r="33" spans="1:61" x14ac:dyDescent="0.25">
      <c r="A33" t="str" cm="1">
        <f t="array" ref="A33">_xlfn.IFS(AS33="RegularSeason",C33,AS33&lt;&gt;"RegularSeason",R33)</f>
        <v>00101101010010100000000000001011</v>
      </c>
      <c r="B33" t="str" cm="1">
        <f t="array" ref="B33">_xlfn.IFS(AS33="RegularSeason",D33,AS33&lt;&gt;"RegularSeason",K33)</f>
        <v>00101101010010100000000000011010</v>
      </c>
      <c r="C33" t="str">
        <f t="shared" si="0"/>
        <v>00101101010010100000000000100100</v>
      </c>
      <c r="D33" t="str">
        <f t="shared" si="1"/>
        <v>00101101010010100000000000001010</v>
      </c>
      <c r="E33" t="str" cm="1">
        <f t="array" ref="E33">_xlfn.XLOOKUP(_xlfn.XLOOKUP(G33,New!A:A,New!M:M,NONE),TeamIdentity!A:A,TeamIdentity!C:C,NONE)</f>
        <v>00100100</v>
      </c>
      <c r="F33" t="str" cm="1">
        <f t="array" ref="F33">_xlfn.XLOOKUP(_xlfn.XLOOKUP(G33,New!A:A,New!F:F,NONE),TeamIdentity!A:A,TeamIdentity!C:C,NONE)</f>
        <v>00001010</v>
      </c>
      <c r="G33" t="str">
        <f t="shared" si="2"/>
        <v>1-10</v>
      </c>
      <c r="H33" t="s">
        <v>54</v>
      </c>
      <c r="I33" t="s">
        <v>54</v>
      </c>
      <c r="J33" t="s">
        <v>54</v>
      </c>
      <c r="K33" t="s">
        <v>511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535</v>
      </c>
      <c r="S33">
        <v>-1</v>
      </c>
      <c r="T33">
        <v>0</v>
      </c>
      <c r="U33">
        <v>-1</v>
      </c>
      <c r="V33">
        <v>0</v>
      </c>
      <c r="W33" t="s">
        <v>70</v>
      </c>
      <c r="X33">
        <v>0</v>
      </c>
      <c r="Y33">
        <v>0</v>
      </c>
      <c r="Z33">
        <v>1200</v>
      </c>
      <c r="AA33" t="s">
        <v>57</v>
      </c>
      <c r="AB33">
        <v>0</v>
      </c>
      <c r="AC33">
        <v>0</v>
      </c>
      <c r="AD33">
        <v>0</v>
      </c>
      <c r="AE33">
        <v>0</v>
      </c>
      <c r="AF33" t="s">
        <v>67</v>
      </c>
      <c r="AG33">
        <v>0</v>
      </c>
      <c r="AH33">
        <v>0</v>
      </c>
      <c r="AI33">
        <v>0</v>
      </c>
      <c r="AJ33">
        <v>0</v>
      </c>
      <c r="AK33" t="s">
        <v>69</v>
      </c>
      <c r="AL33">
        <v>0</v>
      </c>
      <c r="AM33">
        <v>0</v>
      </c>
      <c r="AN33">
        <v>0</v>
      </c>
      <c r="AO33">
        <v>0</v>
      </c>
      <c r="AP33" t="b">
        <v>0</v>
      </c>
      <c r="AQ33" t="s">
        <v>58</v>
      </c>
      <c r="AR33" t="s">
        <v>58</v>
      </c>
      <c r="AS33" t="s">
        <v>66</v>
      </c>
      <c r="AT33">
        <v>14</v>
      </c>
      <c r="AU33">
        <v>1</v>
      </c>
      <c r="AV33">
        <v>10</v>
      </c>
      <c r="AW33">
        <v>11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s">
        <v>61</v>
      </c>
      <c r="BF33" t="s">
        <v>57</v>
      </c>
      <c r="BG33" t="s">
        <v>55</v>
      </c>
      <c r="BH33" t="s">
        <v>58</v>
      </c>
      <c r="BI33" t="s">
        <v>58</v>
      </c>
    </row>
    <row r="34" spans="1:61" x14ac:dyDescent="0.25">
      <c r="A34" t="str" cm="1">
        <f t="array" ref="A34">_xlfn.IFS(AS34="RegularSeason",C34,AS34&lt;&gt;"RegularSeason",R34)</f>
        <v>00101101010010100000000000011001</v>
      </c>
      <c r="B34" t="str" cm="1">
        <f t="array" ref="B34">_xlfn.IFS(AS34="RegularSeason",D34,AS34&lt;&gt;"RegularSeason",K34)</f>
        <v>00101101010010100000000000100100</v>
      </c>
      <c r="C34" t="str">
        <f t="shared" si="0"/>
        <v>00101101010010100000000000011001</v>
      </c>
      <c r="D34" t="str">
        <f t="shared" si="1"/>
        <v>00101101010010100000000000100100</v>
      </c>
      <c r="E34" t="str" cm="1">
        <f t="array" ref="E34">_xlfn.XLOOKUP(_xlfn.XLOOKUP(G34,New!A:A,New!M:M,NONE),TeamIdentity!A:A,TeamIdentity!C:C,NONE)</f>
        <v>00011001</v>
      </c>
      <c r="F34" t="str" cm="1">
        <f t="array" ref="F34">_xlfn.XLOOKUP(_xlfn.XLOOKUP(G34,New!A:A,New!F:F,NONE),TeamIdentity!A:A,TeamIdentity!C:C,NONE)</f>
        <v>00100100</v>
      </c>
      <c r="G34" t="str">
        <f t="shared" si="2"/>
        <v>0-0</v>
      </c>
      <c r="H34" t="s">
        <v>54</v>
      </c>
      <c r="I34" t="s">
        <v>54</v>
      </c>
      <c r="J34" t="s">
        <v>54</v>
      </c>
      <c r="K34" t="s">
        <v>517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540</v>
      </c>
      <c r="S34">
        <v>-1</v>
      </c>
      <c r="T34">
        <v>0</v>
      </c>
      <c r="U34">
        <v>-1</v>
      </c>
      <c r="V34">
        <v>0</v>
      </c>
      <c r="W34" t="s">
        <v>70</v>
      </c>
      <c r="X34">
        <v>0</v>
      </c>
      <c r="Y34">
        <v>0</v>
      </c>
      <c r="Z34">
        <v>780</v>
      </c>
      <c r="AA34" t="s">
        <v>57</v>
      </c>
      <c r="AB34">
        <v>0</v>
      </c>
      <c r="AC34">
        <v>0</v>
      </c>
      <c r="AD34">
        <v>0</v>
      </c>
      <c r="AE34">
        <v>0</v>
      </c>
      <c r="AF34" t="s">
        <v>67</v>
      </c>
      <c r="AG34">
        <v>0</v>
      </c>
      <c r="AH34">
        <v>0</v>
      </c>
      <c r="AI34">
        <v>0</v>
      </c>
      <c r="AJ34">
        <v>0</v>
      </c>
      <c r="AK34" t="s">
        <v>60</v>
      </c>
      <c r="AL34">
        <v>0</v>
      </c>
      <c r="AM34">
        <v>0</v>
      </c>
      <c r="AN34">
        <v>0</v>
      </c>
      <c r="AO34">
        <v>0</v>
      </c>
      <c r="AP34" t="b">
        <v>0</v>
      </c>
      <c r="AQ34" t="s">
        <v>58</v>
      </c>
      <c r="AR34" t="s">
        <v>58</v>
      </c>
      <c r="AS34" t="s">
        <v>71</v>
      </c>
      <c r="AT34">
        <v>14</v>
      </c>
      <c r="AU34">
        <v>0</v>
      </c>
      <c r="AV34">
        <v>0</v>
      </c>
      <c r="AW34">
        <v>11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s">
        <v>61</v>
      </c>
      <c r="BF34" t="s">
        <v>57</v>
      </c>
      <c r="BG34" t="s">
        <v>55</v>
      </c>
      <c r="BH34" t="s">
        <v>58</v>
      </c>
      <c r="BI34" t="s">
        <v>58</v>
      </c>
    </row>
    <row r="35" spans="1:61" x14ac:dyDescent="0.25">
      <c r="A35" t="str" cm="1">
        <f t="array" ref="A35">_xlfn.IFS(AS35="RegularSeason",C35,AS35&lt;&gt;"RegularSeason",R35)</f>
        <v>00101101010010100000000000100011</v>
      </c>
      <c r="B35" t="str" cm="1">
        <f t="array" ref="B35">_xlfn.IFS(AS35="RegularSeason",D35,AS35&lt;&gt;"RegularSeason",K35)</f>
        <v>00101101010010100000000000011111</v>
      </c>
      <c r="C35" t="str">
        <f t="shared" si="0"/>
        <v>00101101010010100000000000010111</v>
      </c>
      <c r="D35" t="str">
        <f t="shared" si="1"/>
        <v>00101101010010100000000000011001</v>
      </c>
      <c r="E35" t="str" cm="1">
        <f t="array" ref="E35">_xlfn.XLOOKUP(_xlfn.XLOOKUP(G35,New!A:A,New!M:M,NONE),TeamIdentity!A:A,TeamIdentity!C:C,NONE)</f>
        <v>00010111</v>
      </c>
      <c r="F35" t="str" cm="1">
        <f t="array" ref="F35">_xlfn.XLOOKUP(_xlfn.XLOOKUP(G35,New!A:A,New!F:F,NONE),TeamIdentity!A:A,TeamIdentity!C:C,NONE)</f>
        <v>00011001</v>
      </c>
      <c r="G35" t="str">
        <f t="shared" si="2"/>
        <v>2-10</v>
      </c>
      <c r="H35" t="s">
        <v>54</v>
      </c>
      <c r="I35" t="s">
        <v>54</v>
      </c>
      <c r="J35" t="s">
        <v>54</v>
      </c>
      <c r="K35" t="s">
        <v>537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534</v>
      </c>
      <c r="S35">
        <v>-1</v>
      </c>
      <c r="T35">
        <v>0</v>
      </c>
      <c r="U35">
        <v>-1</v>
      </c>
      <c r="V35">
        <v>0</v>
      </c>
      <c r="W35" t="s">
        <v>70</v>
      </c>
      <c r="X35">
        <v>0</v>
      </c>
      <c r="Y35">
        <v>0</v>
      </c>
      <c r="Z35">
        <v>1200</v>
      </c>
      <c r="AA35" t="s">
        <v>57</v>
      </c>
      <c r="AB35">
        <v>0</v>
      </c>
      <c r="AC35">
        <v>0</v>
      </c>
      <c r="AD35">
        <v>0</v>
      </c>
      <c r="AE35">
        <v>0</v>
      </c>
      <c r="AF35" t="s">
        <v>67</v>
      </c>
      <c r="AG35">
        <v>0</v>
      </c>
      <c r="AH35">
        <v>0</v>
      </c>
      <c r="AI35">
        <v>0</v>
      </c>
      <c r="AJ35">
        <v>0</v>
      </c>
      <c r="AK35" t="s">
        <v>63</v>
      </c>
      <c r="AL35">
        <v>0</v>
      </c>
      <c r="AM35">
        <v>0</v>
      </c>
      <c r="AN35">
        <v>0</v>
      </c>
      <c r="AO35">
        <v>0</v>
      </c>
      <c r="AP35" t="b">
        <v>0</v>
      </c>
      <c r="AQ35" t="s">
        <v>58</v>
      </c>
      <c r="AR35" t="s">
        <v>58</v>
      </c>
      <c r="AS35" t="s">
        <v>66</v>
      </c>
      <c r="AT35">
        <v>14</v>
      </c>
      <c r="AU35">
        <v>2</v>
      </c>
      <c r="AV35">
        <v>10</v>
      </c>
      <c r="AW35">
        <v>11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s">
        <v>61</v>
      </c>
      <c r="BF35" t="s">
        <v>57</v>
      </c>
      <c r="BG35" t="s">
        <v>55</v>
      </c>
      <c r="BH35" t="s">
        <v>58</v>
      </c>
      <c r="BI35" t="s">
        <v>58</v>
      </c>
    </row>
    <row r="36" spans="1:61" x14ac:dyDescent="0.25">
      <c r="A36" t="str" cm="1">
        <f t="array" ref="A36">_xlfn.IFS(AS36="RegularSeason",C36,AS36&lt;&gt;"RegularSeason",R36)</f>
        <v>00101101010010100000000000000111</v>
      </c>
      <c r="B36" t="str" cm="1">
        <f t="array" ref="B36">_xlfn.IFS(AS36="RegularSeason",D36,AS36&lt;&gt;"RegularSeason",K36)</f>
        <v>00101101010010100000000000001101</v>
      </c>
      <c r="C36" t="str">
        <f t="shared" si="0"/>
        <v>00101101010010100000000000000111</v>
      </c>
      <c r="D36" t="str">
        <f t="shared" si="1"/>
        <v>00101101010010100000000000001101</v>
      </c>
      <c r="E36" t="str" cm="1">
        <f t="array" ref="E36">_xlfn.XLOOKUP(_xlfn.XLOOKUP(G36,New!A:A,New!M:M,NONE),TeamIdentity!A:A,TeamIdentity!C:C,NONE)</f>
        <v>00000111</v>
      </c>
      <c r="F36" t="str" cm="1">
        <f t="array" ref="F36">_xlfn.XLOOKUP(_xlfn.XLOOKUP(G36,New!A:A,New!F:F,NONE),TeamIdentity!A:A,TeamIdentity!C:C,NONE)</f>
        <v>00001101</v>
      </c>
      <c r="G36" t="str">
        <f t="shared" si="2"/>
        <v>0-1</v>
      </c>
      <c r="H36" t="s">
        <v>54</v>
      </c>
      <c r="I36" t="s">
        <v>54</v>
      </c>
      <c r="J36" t="s">
        <v>54</v>
      </c>
      <c r="K36" t="s">
        <v>537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511</v>
      </c>
      <c r="S36">
        <v>-1</v>
      </c>
      <c r="T36">
        <v>0</v>
      </c>
      <c r="U36">
        <v>-1</v>
      </c>
      <c r="V36">
        <v>0</v>
      </c>
      <c r="W36" t="s">
        <v>70</v>
      </c>
      <c r="X36">
        <v>0</v>
      </c>
      <c r="Y36">
        <v>0</v>
      </c>
      <c r="Z36">
        <v>780</v>
      </c>
      <c r="AA36" t="s">
        <v>57</v>
      </c>
      <c r="AB36">
        <v>0</v>
      </c>
      <c r="AC36">
        <v>0</v>
      </c>
      <c r="AD36">
        <v>0</v>
      </c>
      <c r="AE36">
        <v>0</v>
      </c>
      <c r="AF36" t="s">
        <v>67</v>
      </c>
      <c r="AG36">
        <v>0</v>
      </c>
      <c r="AH36">
        <v>0</v>
      </c>
      <c r="AI36">
        <v>0</v>
      </c>
      <c r="AJ36">
        <v>0</v>
      </c>
      <c r="AK36" t="s">
        <v>60</v>
      </c>
      <c r="AL36">
        <v>0</v>
      </c>
      <c r="AM36">
        <v>0</v>
      </c>
      <c r="AN36">
        <v>0</v>
      </c>
      <c r="AO36">
        <v>0</v>
      </c>
      <c r="AP36" t="b">
        <v>0</v>
      </c>
      <c r="AQ36" t="s">
        <v>58</v>
      </c>
      <c r="AR36" t="s">
        <v>58</v>
      </c>
      <c r="AS36" t="s">
        <v>71</v>
      </c>
      <c r="AT36">
        <v>14</v>
      </c>
      <c r="AU36">
        <v>0</v>
      </c>
      <c r="AV36">
        <v>1</v>
      </c>
      <c r="AW36">
        <v>11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s">
        <v>61</v>
      </c>
      <c r="BF36" t="s">
        <v>57</v>
      </c>
      <c r="BG36" t="s">
        <v>55</v>
      </c>
      <c r="BH36" t="s">
        <v>58</v>
      </c>
      <c r="BI36" t="s">
        <v>58</v>
      </c>
    </row>
    <row r="37" spans="1:61" x14ac:dyDescent="0.25">
      <c r="A37" t="str" cm="1">
        <f t="array" ref="A37">_xlfn.IFS(AS37="RegularSeason",C37,AS37&lt;&gt;"RegularSeason",R37)</f>
        <v>00101101010010100000000000000101</v>
      </c>
      <c r="B37" t="str" cm="1">
        <f t="array" ref="B37">_xlfn.IFS(AS37="RegularSeason",D37,AS37&lt;&gt;"RegularSeason",K37)</f>
        <v>00101101010010100000000000011010</v>
      </c>
      <c r="C37" t="str">
        <f t="shared" si="0"/>
        <v>00101101010010100000000000001100</v>
      </c>
      <c r="D37" t="str">
        <f t="shared" si="1"/>
        <v>00101101010010100000000000011111</v>
      </c>
      <c r="E37" t="str" cm="1">
        <f t="array" ref="E37">_xlfn.XLOOKUP(_xlfn.XLOOKUP(G37,New!A:A,New!M:M,NONE),TeamIdentity!A:A,TeamIdentity!C:C,NONE)</f>
        <v>00001100</v>
      </c>
      <c r="F37" t="str" cm="1">
        <f t="array" ref="F37">_xlfn.XLOOKUP(_xlfn.XLOOKUP(G37,New!A:A,New!F:F,NONE),TeamIdentity!A:A,TeamIdentity!C:C,NONE)</f>
        <v>00011111</v>
      </c>
      <c r="G37" t="str">
        <f t="shared" si="2"/>
        <v>2-5</v>
      </c>
      <c r="H37" t="s">
        <v>54</v>
      </c>
      <c r="I37" t="s">
        <v>54</v>
      </c>
      <c r="J37" t="s">
        <v>54</v>
      </c>
      <c r="K37" t="s">
        <v>511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530</v>
      </c>
      <c r="S37">
        <v>-1</v>
      </c>
      <c r="T37">
        <v>0</v>
      </c>
      <c r="U37">
        <v>-1</v>
      </c>
      <c r="V37">
        <v>0</v>
      </c>
      <c r="W37" t="s">
        <v>70</v>
      </c>
      <c r="X37">
        <v>0</v>
      </c>
      <c r="Y37">
        <v>0</v>
      </c>
      <c r="Z37">
        <v>1200</v>
      </c>
      <c r="AA37" t="s">
        <v>57</v>
      </c>
      <c r="AB37">
        <v>0</v>
      </c>
      <c r="AC37">
        <v>0</v>
      </c>
      <c r="AD37">
        <v>0</v>
      </c>
      <c r="AE37">
        <v>0</v>
      </c>
      <c r="AF37" t="s">
        <v>67</v>
      </c>
      <c r="AG37">
        <v>0</v>
      </c>
      <c r="AH37">
        <v>0</v>
      </c>
      <c r="AI37">
        <v>0</v>
      </c>
      <c r="AJ37">
        <v>0</v>
      </c>
      <c r="AK37" t="s">
        <v>68</v>
      </c>
      <c r="AL37">
        <v>0</v>
      </c>
      <c r="AM37">
        <v>0</v>
      </c>
      <c r="AN37">
        <v>0</v>
      </c>
      <c r="AO37">
        <v>0</v>
      </c>
      <c r="AP37" t="b">
        <v>0</v>
      </c>
      <c r="AQ37" t="s">
        <v>58</v>
      </c>
      <c r="AR37" t="s">
        <v>58</v>
      </c>
      <c r="AS37" t="s">
        <v>66</v>
      </c>
      <c r="AT37">
        <v>14</v>
      </c>
      <c r="AU37">
        <v>2</v>
      </c>
      <c r="AV37">
        <v>5</v>
      </c>
      <c r="AW37">
        <v>11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s">
        <v>61</v>
      </c>
      <c r="BF37" t="s">
        <v>57</v>
      </c>
      <c r="BG37" t="s">
        <v>55</v>
      </c>
      <c r="BH37" t="s">
        <v>58</v>
      </c>
      <c r="BI37" t="s">
        <v>58</v>
      </c>
    </row>
    <row r="38" spans="1:61" x14ac:dyDescent="0.25">
      <c r="A38" t="str" cm="1">
        <f t="array" ref="A38">_xlfn.IFS(AS38="RegularSeason",C38,AS38&lt;&gt;"RegularSeason",R38)</f>
        <v>00101101010010100000000000011110</v>
      </c>
      <c r="B38" t="str" cm="1">
        <f t="array" ref="B38">_xlfn.IFS(AS38="RegularSeason",D38,AS38&lt;&gt;"RegularSeason",K38)</f>
        <v>00101101010010100000000000000001</v>
      </c>
      <c r="C38" t="str">
        <f t="shared" si="0"/>
        <v>00101101010010100000000000100010</v>
      </c>
      <c r="D38" t="str">
        <f t="shared" si="1"/>
        <v>00101101010010100000000000000100</v>
      </c>
      <c r="E38" t="str" cm="1">
        <f t="array" ref="E38">_xlfn.XLOOKUP(_xlfn.XLOOKUP(G38,New!A:A,New!M:M,NONE),TeamIdentity!A:A,TeamIdentity!C:C,NONE)</f>
        <v>00100010</v>
      </c>
      <c r="F38" t="str" cm="1">
        <f t="array" ref="F38">_xlfn.XLOOKUP(_xlfn.XLOOKUP(G38,New!A:A,New!F:F,NONE),TeamIdentity!A:A,TeamIdentity!C:C,NONE)</f>
        <v>00000100</v>
      </c>
      <c r="G38" t="str">
        <f t="shared" si="2"/>
        <v>2-3</v>
      </c>
      <c r="H38" t="s">
        <v>54</v>
      </c>
      <c r="I38" t="s">
        <v>54</v>
      </c>
      <c r="J38" t="s">
        <v>54</v>
      </c>
      <c r="K38" t="s">
        <v>523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520</v>
      </c>
      <c r="S38">
        <v>-1</v>
      </c>
      <c r="T38">
        <v>0</v>
      </c>
      <c r="U38">
        <v>-1</v>
      </c>
      <c r="V38">
        <v>0</v>
      </c>
      <c r="W38" t="s">
        <v>70</v>
      </c>
      <c r="X38">
        <v>0</v>
      </c>
      <c r="Y38">
        <v>0</v>
      </c>
      <c r="Z38">
        <v>1140</v>
      </c>
      <c r="AA38" t="s">
        <v>57</v>
      </c>
      <c r="AB38">
        <v>0</v>
      </c>
      <c r="AC38">
        <v>0</v>
      </c>
      <c r="AD38">
        <v>0</v>
      </c>
      <c r="AE38">
        <v>0</v>
      </c>
      <c r="AF38" t="s">
        <v>67</v>
      </c>
      <c r="AG38">
        <v>0</v>
      </c>
      <c r="AH38">
        <v>0</v>
      </c>
      <c r="AI38">
        <v>0</v>
      </c>
      <c r="AJ38">
        <v>0</v>
      </c>
      <c r="AK38" t="s">
        <v>68</v>
      </c>
      <c r="AL38">
        <v>0</v>
      </c>
      <c r="AM38">
        <v>0</v>
      </c>
      <c r="AN38">
        <v>0</v>
      </c>
      <c r="AO38">
        <v>0</v>
      </c>
      <c r="AP38" t="b">
        <v>0</v>
      </c>
      <c r="AQ38" t="s">
        <v>58</v>
      </c>
      <c r="AR38" t="s">
        <v>58</v>
      </c>
      <c r="AS38" t="s">
        <v>66</v>
      </c>
      <c r="AT38">
        <v>14</v>
      </c>
      <c r="AU38">
        <v>2</v>
      </c>
      <c r="AV38">
        <v>3</v>
      </c>
      <c r="AW38">
        <v>11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s">
        <v>61</v>
      </c>
      <c r="BF38" t="s">
        <v>57</v>
      </c>
      <c r="BG38" t="s">
        <v>55</v>
      </c>
      <c r="BH38" t="s">
        <v>58</v>
      </c>
      <c r="BI38" t="s">
        <v>58</v>
      </c>
    </row>
    <row r="39" spans="1:61" x14ac:dyDescent="0.25">
      <c r="A39" t="str" cm="1">
        <f t="array" ref="A39">_xlfn.IFS(AS39="RegularSeason",C39,AS39&lt;&gt;"RegularSeason",R39)</f>
        <v>00101101010010100000000000011100</v>
      </c>
      <c r="B39" t="str" cm="1">
        <f t="array" ref="B39">_xlfn.IFS(AS39="RegularSeason",D39,AS39&lt;&gt;"RegularSeason",K39)</f>
        <v>00101101010010100000000000010001</v>
      </c>
      <c r="C39" t="str">
        <f t="shared" si="0"/>
        <v>00101101010010100000000000000101</v>
      </c>
      <c r="D39" t="str">
        <f t="shared" si="1"/>
        <v>00101101010010100000000000100011</v>
      </c>
      <c r="E39" t="str" cm="1">
        <f t="array" ref="E39">_xlfn.XLOOKUP(_xlfn.XLOOKUP(G39,New!A:A,New!M:M,NONE),TeamIdentity!A:A,TeamIdentity!C:C,NONE)</f>
        <v>00000101</v>
      </c>
      <c r="F39" t="str" cm="1">
        <f t="array" ref="F39">_xlfn.XLOOKUP(_xlfn.XLOOKUP(G39,New!A:A,New!F:F,NONE),TeamIdentity!A:A,TeamIdentity!C:C,NONE)</f>
        <v>00100011</v>
      </c>
      <c r="G39" t="str">
        <f t="shared" si="2"/>
        <v>2-2</v>
      </c>
      <c r="H39" t="s">
        <v>54</v>
      </c>
      <c r="I39" t="s">
        <v>54</v>
      </c>
      <c r="J39" t="s">
        <v>54</v>
      </c>
      <c r="K39" t="s">
        <v>515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525</v>
      </c>
      <c r="S39">
        <v>-1</v>
      </c>
      <c r="T39">
        <v>0</v>
      </c>
      <c r="U39">
        <v>-1</v>
      </c>
      <c r="V39">
        <v>0</v>
      </c>
      <c r="W39" t="s">
        <v>70</v>
      </c>
      <c r="X39">
        <v>0</v>
      </c>
      <c r="Y39">
        <v>0</v>
      </c>
      <c r="Z39">
        <v>1260</v>
      </c>
      <c r="AA39" t="s">
        <v>57</v>
      </c>
      <c r="AB39">
        <v>0</v>
      </c>
      <c r="AC39">
        <v>0</v>
      </c>
      <c r="AD39">
        <v>0</v>
      </c>
      <c r="AE39">
        <v>0</v>
      </c>
      <c r="AF39" t="s">
        <v>67</v>
      </c>
      <c r="AG39">
        <v>0</v>
      </c>
      <c r="AH39">
        <v>0</v>
      </c>
      <c r="AI39">
        <v>0</v>
      </c>
      <c r="AJ39">
        <v>0</v>
      </c>
      <c r="AK39" t="s">
        <v>65</v>
      </c>
      <c r="AL39">
        <v>0</v>
      </c>
      <c r="AM39">
        <v>0</v>
      </c>
      <c r="AN39">
        <v>0</v>
      </c>
      <c r="AO39">
        <v>0</v>
      </c>
      <c r="AP39" t="b">
        <v>0</v>
      </c>
      <c r="AQ39" t="s">
        <v>58</v>
      </c>
      <c r="AR39" t="s">
        <v>58</v>
      </c>
      <c r="AS39" t="s">
        <v>66</v>
      </c>
      <c r="AT39">
        <v>14</v>
      </c>
      <c r="AU39">
        <v>2</v>
      </c>
      <c r="AV39">
        <v>2</v>
      </c>
      <c r="AW39">
        <v>11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s">
        <v>61</v>
      </c>
      <c r="BF39" t="s">
        <v>57</v>
      </c>
      <c r="BG39" t="s">
        <v>55</v>
      </c>
      <c r="BH39" t="s">
        <v>58</v>
      </c>
      <c r="BI39" t="s">
        <v>58</v>
      </c>
    </row>
    <row r="40" spans="1:61" x14ac:dyDescent="0.25">
      <c r="A40" t="str" cm="1">
        <f t="array" ref="A40">_xlfn.IFS(AS40="RegularSeason",C40,AS40&lt;&gt;"RegularSeason",R40)</f>
        <v>00101101010010100000000000001111</v>
      </c>
      <c r="B40" t="str" cm="1">
        <f t="array" ref="B40">_xlfn.IFS(AS40="RegularSeason",D40,AS40&lt;&gt;"RegularSeason",K40)</f>
        <v>00101101010010100000000000011001</v>
      </c>
      <c r="C40" t="str">
        <f t="shared" si="0"/>
        <v>00101101010010100000000000000011</v>
      </c>
      <c r="D40" t="str">
        <f t="shared" si="1"/>
        <v>00101101010010100000000000001110</v>
      </c>
      <c r="E40" t="str" cm="1">
        <f t="array" ref="E40">_xlfn.XLOOKUP(_xlfn.XLOOKUP(G40,New!A:A,New!M:M,NONE),TeamIdentity!A:A,TeamIdentity!C:C,NONE)</f>
        <v>00000011</v>
      </c>
      <c r="F40" t="str" cm="1">
        <f t="array" ref="F40">_xlfn.XLOOKUP(_xlfn.XLOOKUP(G40,New!A:A,New!F:F,NONE),TeamIdentity!A:A,TeamIdentity!C:C,NONE)</f>
        <v>00001110</v>
      </c>
      <c r="G40" t="str">
        <f t="shared" si="2"/>
        <v>2-11</v>
      </c>
      <c r="H40" t="s">
        <v>54</v>
      </c>
      <c r="I40" t="s">
        <v>54</v>
      </c>
      <c r="J40" t="s">
        <v>54</v>
      </c>
      <c r="K40" t="s">
        <v>529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516</v>
      </c>
      <c r="S40">
        <v>-1</v>
      </c>
      <c r="T40">
        <v>0</v>
      </c>
      <c r="U40">
        <v>-1</v>
      </c>
      <c r="V40">
        <v>0</v>
      </c>
      <c r="W40" t="s">
        <v>70</v>
      </c>
      <c r="X40">
        <v>0</v>
      </c>
      <c r="Y40">
        <v>0</v>
      </c>
      <c r="Z40">
        <v>1200</v>
      </c>
      <c r="AA40" t="s">
        <v>57</v>
      </c>
      <c r="AB40">
        <v>0</v>
      </c>
      <c r="AC40">
        <v>0</v>
      </c>
      <c r="AD40">
        <v>0</v>
      </c>
      <c r="AE40">
        <v>0</v>
      </c>
      <c r="AF40" t="s">
        <v>67</v>
      </c>
      <c r="AG40">
        <v>0</v>
      </c>
      <c r="AH40">
        <v>0</v>
      </c>
      <c r="AI40">
        <v>0</v>
      </c>
      <c r="AJ40">
        <v>0</v>
      </c>
      <c r="AK40" t="s">
        <v>63</v>
      </c>
      <c r="AL40">
        <v>0</v>
      </c>
      <c r="AM40">
        <v>0</v>
      </c>
      <c r="AN40">
        <v>0</v>
      </c>
      <c r="AO40">
        <v>0</v>
      </c>
      <c r="AP40" t="b">
        <v>0</v>
      </c>
      <c r="AQ40" t="s">
        <v>58</v>
      </c>
      <c r="AR40" t="s">
        <v>58</v>
      </c>
      <c r="AS40" t="s">
        <v>66</v>
      </c>
      <c r="AT40">
        <v>14</v>
      </c>
      <c r="AU40">
        <v>2</v>
      </c>
      <c r="AV40">
        <v>11</v>
      </c>
      <c r="AW40">
        <v>11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s">
        <v>61</v>
      </c>
      <c r="BF40" t="s">
        <v>57</v>
      </c>
      <c r="BG40" t="s">
        <v>55</v>
      </c>
      <c r="BH40" t="s">
        <v>58</v>
      </c>
      <c r="BI40" t="s">
        <v>58</v>
      </c>
    </row>
    <row r="41" spans="1:61" x14ac:dyDescent="0.25">
      <c r="A41" t="str" cm="1">
        <f t="array" ref="A41">_xlfn.IFS(AS41="RegularSeason",C41,AS41&lt;&gt;"RegularSeason",R41)</f>
        <v>00101101010010100000000000001010</v>
      </c>
      <c r="B41" t="str" cm="1">
        <f t="array" ref="B41">_xlfn.IFS(AS41="RegularSeason",D41,AS41&lt;&gt;"RegularSeason",K41)</f>
        <v>00101101010010100000000000010000</v>
      </c>
      <c r="C41" t="str">
        <f t="shared" si="0"/>
        <v>00101101010010100000000000100001</v>
      </c>
      <c r="D41" t="str">
        <f t="shared" si="1"/>
        <v>00101101010010100000000000000010</v>
      </c>
      <c r="E41" t="str" cm="1">
        <f t="array" ref="E41">_xlfn.XLOOKUP(_xlfn.XLOOKUP(G41,New!A:A,New!M:M,NONE),TeamIdentity!A:A,TeamIdentity!C:C,NONE)</f>
        <v>00100001</v>
      </c>
      <c r="F41" t="str" cm="1">
        <f t="array" ref="F41">_xlfn.XLOOKUP(_xlfn.XLOOKUP(G41,New!A:A,New!F:F,NONE),TeamIdentity!A:A,TeamIdentity!C:C,NONE)</f>
        <v>00000010</v>
      </c>
      <c r="G41" t="str">
        <f t="shared" si="2"/>
        <v>2-15</v>
      </c>
      <c r="H41" t="s">
        <v>54</v>
      </c>
      <c r="I41" t="s">
        <v>54</v>
      </c>
      <c r="J41" t="s">
        <v>54</v>
      </c>
      <c r="K41" t="s">
        <v>519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528</v>
      </c>
      <c r="S41">
        <v>-1</v>
      </c>
      <c r="T41">
        <v>0</v>
      </c>
      <c r="U41">
        <v>-1</v>
      </c>
      <c r="V41">
        <v>0</v>
      </c>
      <c r="W41" t="s">
        <v>70</v>
      </c>
      <c r="X41">
        <v>0</v>
      </c>
      <c r="Y41">
        <v>0</v>
      </c>
      <c r="Z41">
        <v>1380</v>
      </c>
      <c r="AA41" t="s">
        <v>57</v>
      </c>
      <c r="AB41">
        <v>0</v>
      </c>
      <c r="AC41">
        <v>0</v>
      </c>
      <c r="AD41">
        <v>0</v>
      </c>
      <c r="AE41">
        <v>0</v>
      </c>
      <c r="AF41" t="s">
        <v>67</v>
      </c>
      <c r="AG41">
        <v>0</v>
      </c>
      <c r="AH41">
        <v>0</v>
      </c>
      <c r="AI41">
        <v>0</v>
      </c>
      <c r="AJ41">
        <v>0</v>
      </c>
      <c r="AK41" t="s">
        <v>63</v>
      </c>
      <c r="AL41">
        <v>0</v>
      </c>
      <c r="AM41">
        <v>0</v>
      </c>
      <c r="AN41">
        <v>0</v>
      </c>
      <c r="AO41">
        <v>0</v>
      </c>
      <c r="AP41" t="b">
        <v>0</v>
      </c>
      <c r="AQ41" t="s">
        <v>58</v>
      </c>
      <c r="AR41" t="s">
        <v>58</v>
      </c>
      <c r="AS41" t="s">
        <v>66</v>
      </c>
      <c r="AT41">
        <v>14</v>
      </c>
      <c r="AU41">
        <v>2</v>
      </c>
      <c r="AV41">
        <v>15</v>
      </c>
      <c r="AW41">
        <v>11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s">
        <v>61</v>
      </c>
      <c r="BF41" t="s">
        <v>57</v>
      </c>
      <c r="BG41" t="s">
        <v>55</v>
      </c>
      <c r="BH41" t="s">
        <v>58</v>
      </c>
      <c r="BI41" t="s">
        <v>58</v>
      </c>
    </row>
    <row r="42" spans="1:61" x14ac:dyDescent="0.25">
      <c r="A42" t="str" cm="1">
        <f t="array" ref="A42">_xlfn.IFS(AS42="RegularSeason",C42,AS42&lt;&gt;"RegularSeason",R42)</f>
        <v>00101101010010100000000000000011</v>
      </c>
      <c r="B42" t="str" cm="1">
        <f t="array" ref="B42">_xlfn.IFS(AS42="RegularSeason",D42,AS42&lt;&gt;"RegularSeason",K42)</f>
        <v>00101101010010100000000000010111</v>
      </c>
      <c r="C42" t="str">
        <f t="shared" si="0"/>
        <v>00101101010010100000000000011100</v>
      </c>
      <c r="D42" t="str">
        <f t="shared" si="1"/>
        <v>00101101010010100000000000001111</v>
      </c>
      <c r="E42" t="str" cm="1">
        <f t="array" ref="E42">_xlfn.XLOOKUP(_xlfn.XLOOKUP(G42,New!A:A,New!M:M,NONE),TeamIdentity!A:A,TeamIdentity!C:C,NONE)</f>
        <v>00011100</v>
      </c>
      <c r="F42" t="str" cm="1">
        <f t="array" ref="F42">_xlfn.XLOOKUP(_xlfn.XLOOKUP(G42,New!A:A,New!F:F,NONE),TeamIdentity!A:A,TeamIdentity!C:C,NONE)</f>
        <v>00001111</v>
      </c>
      <c r="G42" t="str">
        <f t="shared" si="2"/>
        <v>2-6</v>
      </c>
      <c r="H42" t="s">
        <v>54</v>
      </c>
      <c r="I42" t="s">
        <v>54</v>
      </c>
      <c r="J42" t="s">
        <v>54</v>
      </c>
      <c r="K42" t="s">
        <v>513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524</v>
      </c>
      <c r="S42">
        <v>-1</v>
      </c>
      <c r="T42">
        <v>0</v>
      </c>
      <c r="U42">
        <v>-1</v>
      </c>
      <c r="V42">
        <v>0</v>
      </c>
      <c r="W42" t="s">
        <v>70</v>
      </c>
      <c r="X42">
        <v>0</v>
      </c>
      <c r="Y42">
        <v>0</v>
      </c>
      <c r="Z42">
        <v>1200</v>
      </c>
      <c r="AA42" t="s">
        <v>57</v>
      </c>
      <c r="AB42">
        <v>0</v>
      </c>
      <c r="AC42">
        <v>0</v>
      </c>
      <c r="AD42">
        <v>0</v>
      </c>
      <c r="AE42">
        <v>0</v>
      </c>
      <c r="AF42" t="s">
        <v>67</v>
      </c>
      <c r="AG42">
        <v>0</v>
      </c>
      <c r="AH42">
        <v>0</v>
      </c>
      <c r="AI42">
        <v>0</v>
      </c>
      <c r="AJ42">
        <v>0</v>
      </c>
      <c r="AK42" t="s">
        <v>68</v>
      </c>
      <c r="AL42">
        <v>0</v>
      </c>
      <c r="AM42">
        <v>0</v>
      </c>
      <c r="AN42">
        <v>0</v>
      </c>
      <c r="AO42">
        <v>0</v>
      </c>
      <c r="AP42" t="b">
        <v>0</v>
      </c>
      <c r="AQ42" t="s">
        <v>58</v>
      </c>
      <c r="AR42" t="s">
        <v>58</v>
      </c>
      <c r="AS42" t="s">
        <v>66</v>
      </c>
      <c r="AT42">
        <v>14</v>
      </c>
      <c r="AU42">
        <v>2</v>
      </c>
      <c r="AV42">
        <v>6</v>
      </c>
      <c r="AW42">
        <v>11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s">
        <v>61</v>
      </c>
      <c r="BF42" t="s">
        <v>57</v>
      </c>
      <c r="BG42" t="s">
        <v>55</v>
      </c>
      <c r="BH42" t="s">
        <v>58</v>
      </c>
      <c r="BI42" t="s">
        <v>58</v>
      </c>
    </row>
    <row r="43" spans="1:61" x14ac:dyDescent="0.25">
      <c r="A43" t="str" cm="1">
        <f t="array" ref="A43">_xlfn.IFS(AS43="RegularSeason",C43,AS43&lt;&gt;"RegularSeason",R43)</f>
        <v>00101101010010100000000000001101</v>
      </c>
      <c r="B43" t="str" cm="1">
        <f t="array" ref="B43">_xlfn.IFS(AS43="RegularSeason",D43,AS43&lt;&gt;"RegularSeason",K43)</f>
        <v>00101101010010100000000000000011</v>
      </c>
      <c r="C43" t="str">
        <f t="shared" si="0"/>
        <v>00101101010010100000000000011111</v>
      </c>
      <c r="D43" t="str">
        <f t="shared" si="1"/>
        <v>00101101010010100000000000011001</v>
      </c>
      <c r="E43" t="str" cm="1">
        <f t="array" ref="E43">_xlfn.XLOOKUP(_xlfn.XLOOKUP(G43,New!A:A,New!M:M,NONE),TeamIdentity!A:A,TeamIdentity!C:C,NONE)</f>
        <v>00011111</v>
      </c>
      <c r="F43" t="str" cm="1">
        <f t="array" ref="F43">_xlfn.XLOOKUP(_xlfn.XLOOKUP(G43,New!A:A,New!F:F,NONE),TeamIdentity!A:A,TeamIdentity!C:C,NONE)</f>
        <v>00011001</v>
      </c>
      <c r="G43" t="str">
        <f t="shared" si="2"/>
        <v>1-11</v>
      </c>
      <c r="H43" t="s">
        <v>54</v>
      </c>
      <c r="I43" t="s">
        <v>54</v>
      </c>
      <c r="J43" t="s">
        <v>54</v>
      </c>
      <c r="K43" t="s">
        <v>524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521</v>
      </c>
      <c r="S43">
        <v>-1</v>
      </c>
      <c r="T43">
        <v>0</v>
      </c>
      <c r="U43">
        <v>-1</v>
      </c>
      <c r="V43">
        <v>0</v>
      </c>
      <c r="W43" t="s">
        <v>70</v>
      </c>
      <c r="X43">
        <v>0</v>
      </c>
      <c r="Y43">
        <v>0</v>
      </c>
      <c r="Z43">
        <v>1140</v>
      </c>
      <c r="AA43" t="s">
        <v>57</v>
      </c>
      <c r="AB43">
        <v>0</v>
      </c>
      <c r="AC43">
        <v>0</v>
      </c>
      <c r="AD43">
        <v>0</v>
      </c>
      <c r="AE43">
        <v>0</v>
      </c>
      <c r="AF43" t="s">
        <v>67</v>
      </c>
      <c r="AG43">
        <v>0</v>
      </c>
      <c r="AH43">
        <v>0</v>
      </c>
      <c r="AI43">
        <v>0</v>
      </c>
      <c r="AJ43">
        <v>0</v>
      </c>
      <c r="AK43" t="s">
        <v>63</v>
      </c>
      <c r="AL43">
        <v>0</v>
      </c>
      <c r="AM43">
        <v>0</v>
      </c>
      <c r="AN43">
        <v>0</v>
      </c>
      <c r="AO43">
        <v>0</v>
      </c>
      <c r="AP43" t="b">
        <v>0</v>
      </c>
      <c r="AQ43" t="s">
        <v>58</v>
      </c>
      <c r="AR43" t="s">
        <v>58</v>
      </c>
      <c r="AS43" t="s">
        <v>66</v>
      </c>
      <c r="AT43">
        <v>14</v>
      </c>
      <c r="AU43">
        <v>1</v>
      </c>
      <c r="AV43">
        <v>11</v>
      </c>
      <c r="AW43">
        <v>11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s">
        <v>61</v>
      </c>
      <c r="BF43" t="s">
        <v>57</v>
      </c>
      <c r="BG43" t="s">
        <v>55</v>
      </c>
      <c r="BH43" t="s">
        <v>58</v>
      </c>
      <c r="BI43" t="s">
        <v>58</v>
      </c>
    </row>
    <row r="44" spans="1:61" x14ac:dyDescent="0.25">
      <c r="A44" t="str" cm="1">
        <f t="array" ref="A44">_xlfn.IFS(AS44="RegularSeason",C44,AS44&lt;&gt;"RegularSeason",R44)</f>
        <v>00101101010010100000000000010110</v>
      </c>
      <c r="B44" t="str" cm="1">
        <f t="array" ref="B44">_xlfn.IFS(AS44="RegularSeason",D44,AS44&lt;&gt;"RegularSeason",K44)</f>
        <v>00101101010010100000000000000000</v>
      </c>
      <c r="C44" t="str">
        <f t="shared" si="0"/>
        <v>00101101010010100000000000100100</v>
      </c>
      <c r="D44" t="str">
        <f t="shared" si="1"/>
        <v>00101101010010100000000000010000</v>
      </c>
      <c r="E44" t="str" cm="1">
        <f t="array" ref="E44">_xlfn.XLOOKUP(_xlfn.XLOOKUP(G44,New!A:A,New!M:M,NONE),TeamIdentity!A:A,TeamIdentity!C:C,NONE)</f>
        <v>00100100</v>
      </c>
      <c r="F44" t="str" cm="1">
        <f t="array" ref="F44">_xlfn.XLOOKUP(_xlfn.XLOOKUP(G44,New!A:A,New!F:F,NONE),TeamIdentity!A:A,TeamIdentity!C:C,NONE)</f>
        <v>00010000</v>
      </c>
      <c r="G44" t="str">
        <f t="shared" si="2"/>
        <v>2-7</v>
      </c>
      <c r="H44" t="s">
        <v>54</v>
      </c>
      <c r="I44" t="s">
        <v>54</v>
      </c>
      <c r="J44" t="s">
        <v>54</v>
      </c>
      <c r="K44" t="s">
        <v>533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522</v>
      </c>
      <c r="S44">
        <v>-1</v>
      </c>
      <c r="T44">
        <v>0</v>
      </c>
      <c r="U44">
        <v>-1</v>
      </c>
      <c r="V44">
        <v>0</v>
      </c>
      <c r="W44" t="s">
        <v>70</v>
      </c>
      <c r="X44">
        <v>0</v>
      </c>
      <c r="Y44">
        <v>0</v>
      </c>
      <c r="Z44">
        <v>1200</v>
      </c>
      <c r="AA44" t="s">
        <v>57</v>
      </c>
      <c r="AB44">
        <v>0</v>
      </c>
      <c r="AC44">
        <v>0</v>
      </c>
      <c r="AD44">
        <v>0</v>
      </c>
      <c r="AE44">
        <v>0</v>
      </c>
      <c r="AF44" t="s">
        <v>67</v>
      </c>
      <c r="AG44">
        <v>0</v>
      </c>
      <c r="AH44">
        <v>0</v>
      </c>
      <c r="AI44">
        <v>0</v>
      </c>
      <c r="AJ44">
        <v>0</v>
      </c>
      <c r="AK44" t="s">
        <v>68</v>
      </c>
      <c r="AL44">
        <v>0</v>
      </c>
      <c r="AM44">
        <v>0</v>
      </c>
      <c r="AN44">
        <v>0</v>
      </c>
      <c r="AO44">
        <v>0</v>
      </c>
      <c r="AP44" t="b">
        <v>0</v>
      </c>
      <c r="AQ44" t="s">
        <v>58</v>
      </c>
      <c r="AR44" t="s">
        <v>58</v>
      </c>
      <c r="AS44" t="s">
        <v>66</v>
      </c>
      <c r="AT44">
        <v>14</v>
      </c>
      <c r="AU44">
        <v>2</v>
      </c>
      <c r="AV44">
        <v>7</v>
      </c>
      <c r="AW44">
        <v>11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s">
        <v>61</v>
      </c>
      <c r="BF44" t="s">
        <v>57</v>
      </c>
      <c r="BG44" t="s">
        <v>55</v>
      </c>
      <c r="BH44" t="s">
        <v>58</v>
      </c>
      <c r="BI44" t="s">
        <v>58</v>
      </c>
    </row>
    <row r="45" spans="1:61" x14ac:dyDescent="0.25">
      <c r="A45" t="str" cm="1">
        <f t="array" ref="A45">_xlfn.IFS(AS45="RegularSeason",C45,AS45&lt;&gt;"RegularSeason",R45)</f>
        <v>00101101010010100000000000100010</v>
      </c>
      <c r="B45" t="str" cm="1">
        <f t="array" ref="B45">_xlfn.IFS(AS45="RegularSeason",D45,AS45&lt;&gt;"RegularSeason",K45)</f>
        <v>00101101010010100000000000011101</v>
      </c>
      <c r="C45" t="str">
        <f t="shared" si="0"/>
        <v>00101101010010100000000000010000</v>
      </c>
      <c r="D45" t="str">
        <f t="shared" si="1"/>
        <v>00101101010010100000000000000000</v>
      </c>
      <c r="E45" t="str" cm="1">
        <f t="array" ref="E45">_xlfn.XLOOKUP(_xlfn.XLOOKUP(G45,New!A:A,New!M:M,NONE),TeamIdentity!A:A,TeamIdentity!C:C,NONE)</f>
        <v>00010000</v>
      </c>
      <c r="F45" t="str" cm="1">
        <f t="array" ref="F45">_xlfn.XLOOKUP(_xlfn.XLOOKUP(G45,New!A:A,New!F:F,NONE),TeamIdentity!A:A,TeamIdentity!C:C,NONE)</f>
        <v>00000000</v>
      </c>
      <c r="G45" t="str">
        <f t="shared" si="2"/>
        <v>1-12</v>
      </c>
      <c r="H45" t="s">
        <v>54</v>
      </c>
      <c r="I45" t="s">
        <v>54</v>
      </c>
      <c r="J45" t="s">
        <v>54</v>
      </c>
      <c r="K45" t="s">
        <v>542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517</v>
      </c>
      <c r="S45">
        <v>-1</v>
      </c>
      <c r="T45">
        <v>0</v>
      </c>
      <c r="U45">
        <v>-1</v>
      </c>
      <c r="V45">
        <v>0</v>
      </c>
      <c r="W45" t="s">
        <v>70</v>
      </c>
      <c r="X45">
        <v>0</v>
      </c>
      <c r="Y45">
        <v>0</v>
      </c>
      <c r="Z45">
        <v>1200</v>
      </c>
      <c r="AA45" t="s">
        <v>57</v>
      </c>
      <c r="AB45">
        <v>0</v>
      </c>
      <c r="AC45">
        <v>0</v>
      </c>
      <c r="AD45">
        <v>0</v>
      </c>
      <c r="AE45">
        <v>0</v>
      </c>
      <c r="AF45" t="s">
        <v>67</v>
      </c>
      <c r="AG45">
        <v>0</v>
      </c>
      <c r="AH45">
        <v>0</v>
      </c>
      <c r="AI45">
        <v>0</v>
      </c>
      <c r="AJ45">
        <v>0</v>
      </c>
      <c r="AK45" t="s">
        <v>63</v>
      </c>
      <c r="AL45">
        <v>0</v>
      </c>
      <c r="AM45">
        <v>0</v>
      </c>
      <c r="AN45">
        <v>0</v>
      </c>
      <c r="AO45">
        <v>0</v>
      </c>
      <c r="AP45" t="b">
        <v>0</v>
      </c>
      <c r="AQ45" t="s">
        <v>58</v>
      </c>
      <c r="AR45" t="s">
        <v>58</v>
      </c>
      <c r="AS45" t="s">
        <v>66</v>
      </c>
      <c r="AT45">
        <v>14</v>
      </c>
      <c r="AU45">
        <v>1</v>
      </c>
      <c r="AV45">
        <v>12</v>
      </c>
      <c r="AW45">
        <v>11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s">
        <v>61</v>
      </c>
      <c r="BF45" t="s">
        <v>57</v>
      </c>
      <c r="BG45" t="s">
        <v>55</v>
      </c>
      <c r="BH45" t="s">
        <v>58</v>
      </c>
      <c r="BI45" t="s">
        <v>58</v>
      </c>
    </row>
    <row r="46" spans="1:61" x14ac:dyDescent="0.25">
      <c r="A46" t="str" cm="1">
        <f t="array" ref="A46">_xlfn.IFS(AS46="RegularSeason",C46,AS46&lt;&gt;"RegularSeason",R46)</f>
        <v>00101101010010100000000000100011</v>
      </c>
      <c r="B46" t="str" cm="1">
        <f t="array" ref="B46">_xlfn.IFS(AS46="RegularSeason",D46,AS46&lt;&gt;"RegularSeason",K46)</f>
        <v>00101101010010100000000000000110</v>
      </c>
      <c r="C46" t="str">
        <f t="shared" si="0"/>
        <v>00101101010010100000000000011100</v>
      </c>
      <c r="D46" t="str">
        <f t="shared" si="1"/>
        <v>00101101010010100000000000001011</v>
      </c>
      <c r="E46" t="str" cm="1">
        <f t="array" ref="E46">_xlfn.XLOOKUP(_xlfn.XLOOKUP(G46,New!A:A,New!M:M,NONE),TeamIdentity!A:A,TeamIdentity!C:C,NONE)</f>
        <v>00011100</v>
      </c>
      <c r="F46" t="str" cm="1">
        <f t="array" ref="F46">_xlfn.XLOOKUP(_xlfn.XLOOKUP(G46,New!A:A,New!F:F,NONE),TeamIdentity!A:A,TeamIdentity!C:C,NONE)</f>
        <v>00001011</v>
      </c>
      <c r="G46" t="str">
        <f t="shared" si="2"/>
        <v>0-14</v>
      </c>
      <c r="H46" t="s">
        <v>54</v>
      </c>
      <c r="I46" t="s">
        <v>54</v>
      </c>
      <c r="J46" t="s">
        <v>54</v>
      </c>
      <c r="K46" t="s">
        <v>531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534</v>
      </c>
      <c r="S46">
        <v>90323</v>
      </c>
      <c r="T46">
        <v>0</v>
      </c>
      <c r="U46">
        <v>90322</v>
      </c>
      <c r="V46">
        <v>0</v>
      </c>
      <c r="W46" t="s">
        <v>70</v>
      </c>
      <c r="X46">
        <v>0</v>
      </c>
      <c r="Y46">
        <v>0</v>
      </c>
      <c r="Z46">
        <v>1260</v>
      </c>
      <c r="AA46" t="s">
        <v>57</v>
      </c>
      <c r="AB46">
        <v>0</v>
      </c>
      <c r="AC46">
        <v>0</v>
      </c>
      <c r="AD46">
        <v>0</v>
      </c>
      <c r="AE46">
        <v>0</v>
      </c>
      <c r="AF46" t="s">
        <v>67</v>
      </c>
      <c r="AG46">
        <v>0</v>
      </c>
      <c r="AH46">
        <v>0</v>
      </c>
      <c r="AI46">
        <v>0</v>
      </c>
      <c r="AJ46">
        <v>0</v>
      </c>
      <c r="AK46" t="s">
        <v>63</v>
      </c>
      <c r="AL46">
        <v>0</v>
      </c>
      <c r="AM46">
        <v>0</v>
      </c>
      <c r="AN46">
        <v>0</v>
      </c>
      <c r="AO46">
        <v>0</v>
      </c>
      <c r="AP46" t="b">
        <v>0</v>
      </c>
      <c r="AQ46" t="s">
        <v>58</v>
      </c>
      <c r="AR46" t="s">
        <v>58</v>
      </c>
      <c r="AS46" t="s">
        <v>66</v>
      </c>
      <c r="AT46">
        <v>14</v>
      </c>
      <c r="AU46">
        <v>0</v>
      </c>
      <c r="AV46">
        <v>14</v>
      </c>
      <c r="AW46">
        <v>11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s">
        <v>61</v>
      </c>
      <c r="BF46" t="s">
        <v>57</v>
      </c>
      <c r="BG46" t="s">
        <v>55</v>
      </c>
      <c r="BH46" t="s">
        <v>58</v>
      </c>
      <c r="BI46" t="s">
        <v>58</v>
      </c>
    </row>
    <row r="47" spans="1:61" x14ac:dyDescent="0.25">
      <c r="A47" t="str" cm="1">
        <f t="array" ref="A47">_xlfn.IFS(AS47="RegularSeason",C47,AS47&lt;&gt;"RegularSeason",R47)</f>
        <v>00101101010010100000000000010001</v>
      </c>
      <c r="B47" t="str" cm="1">
        <f t="array" ref="B47">_xlfn.IFS(AS47="RegularSeason",D47,AS47&lt;&gt;"RegularSeason",K47)</f>
        <v>00101101010010100000000000100011</v>
      </c>
      <c r="C47" t="str">
        <f t="shared" si="0"/>
        <v>00101101010010100000000000011011</v>
      </c>
      <c r="D47" t="str">
        <f t="shared" si="1"/>
        <v>00101101010010100000000000100010</v>
      </c>
      <c r="E47" t="str" cm="1">
        <f t="array" ref="E47">_xlfn.XLOOKUP(_xlfn.XLOOKUP(G47,New!A:A,New!M:M,NONE),TeamIdentity!A:A,TeamIdentity!C:C,NONE)</f>
        <v>00011011</v>
      </c>
      <c r="F47" t="str" cm="1">
        <f t="array" ref="F47">_xlfn.XLOOKUP(_xlfn.XLOOKUP(G47,New!A:A,New!F:F,NONE),TeamIdentity!A:A,TeamIdentity!C:C,NONE)</f>
        <v>00100010</v>
      </c>
      <c r="G47" t="str">
        <f t="shared" si="2"/>
        <v>1-8</v>
      </c>
      <c r="H47" t="s">
        <v>54</v>
      </c>
      <c r="I47" t="s">
        <v>54</v>
      </c>
      <c r="J47" t="s">
        <v>54</v>
      </c>
      <c r="K47" t="s">
        <v>534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515</v>
      </c>
      <c r="S47">
        <v>-1</v>
      </c>
      <c r="T47">
        <v>0</v>
      </c>
      <c r="U47">
        <v>-1</v>
      </c>
      <c r="V47">
        <v>0</v>
      </c>
      <c r="W47" t="s">
        <v>70</v>
      </c>
      <c r="X47">
        <v>0</v>
      </c>
      <c r="Y47">
        <v>0</v>
      </c>
      <c r="Z47">
        <v>1140</v>
      </c>
      <c r="AA47" t="s">
        <v>57</v>
      </c>
      <c r="AB47">
        <v>0</v>
      </c>
      <c r="AC47">
        <v>0</v>
      </c>
      <c r="AD47">
        <v>0</v>
      </c>
      <c r="AE47">
        <v>0</v>
      </c>
      <c r="AF47" t="s">
        <v>67</v>
      </c>
      <c r="AG47">
        <v>0</v>
      </c>
      <c r="AH47">
        <v>0</v>
      </c>
      <c r="AI47">
        <v>0</v>
      </c>
      <c r="AJ47">
        <v>0</v>
      </c>
      <c r="AK47" t="s">
        <v>69</v>
      </c>
      <c r="AL47">
        <v>0</v>
      </c>
      <c r="AM47">
        <v>0</v>
      </c>
      <c r="AN47">
        <v>0</v>
      </c>
      <c r="AO47">
        <v>0</v>
      </c>
      <c r="AP47" t="b">
        <v>0</v>
      </c>
      <c r="AQ47" t="s">
        <v>58</v>
      </c>
      <c r="AR47" t="s">
        <v>58</v>
      </c>
      <c r="AS47" t="s">
        <v>66</v>
      </c>
      <c r="AT47">
        <v>14</v>
      </c>
      <c r="AU47">
        <v>1</v>
      </c>
      <c r="AV47">
        <v>8</v>
      </c>
      <c r="AW47">
        <v>11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s">
        <v>61</v>
      </c>
      <c r="BF47" t="s">
        <v>57</v>
      </c>
      <c r="BG47" t="s">
        <v>55</v>
      </c>
      <c r="BH47" t="s">
        <v>58</v>
      </c>
      <c r="BI47" t="s">
        <v>58</v>
      </c>
    </row>
    <row r="48" spans="1:61" x14ac:dyDescent="0.25">
      <c r="A48" t="str" cm="1">
        <f t="array" ref="A48">_xlfn.IFS(AS48="RegularSeason",C48,AS48&lt;&gt;"RegularSeason",R48)</f>
        <v>00101101010010100000000000000100</v>
      </c>
      <c r="B48" t="str" cm="1">
        <f t="array" ref="B48">_xlfn.IFS(AS48="RegularSeason",D48,AS48&lt;&gt;"RegularSeason",K48)</f>
        <v>00101101010010100000000000010110</v>
      </c>
      <c r="C48" t="str">
        <f t="shared" si="0"/>
        <v>00101101010010100000000000000100</v>
      </c>
      <c r="D48" t="str">
        <f t="shared" si="1"/>
        <v>00101101010010100000000000010110</v>
      </c>
      <c r="E48" t="str" cm="1">
        <f t="array" ref="E48">_xlfn.XLOOKUP(_xlfn.XLOOKUP(G48,New!A:A,New!M:M,NONE),TeamIdentity!A:A,TeamIdentity!C:C,NONE)</f>
        <v>00000100</v>
      </c>
      <c r="F48" t="str" cm="1">
        <f t="array" ref="F48">_xlfn.XLOOKUP(_xlfn.XLOOKUP(G48,New!A:A,New!F:F,NONE),TeamIdentity!A:A,TeamIdentity!C:C,NONE)</f>
        <v>00010110</v>
      </c>
      <c r="G48" t="str">
        <f t="shared" si="2"/>
        <v>0-13</v>
      </c>
      <c r="H48" t="s">
        <v>54</v>
      </c>
      <c r="I48" t="s">
        <v>54</v>
      </c>
      <c r="J48" t="s">
        <v>54</v>
      </c>
      <c r="K48" t="s">
        <v>526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513</v>
      </c>
      <c r="S48">
        <v>-1</v>
      </c>
      <c r="T48">
        <v>0</v>
      </c>
      <c r="U48">
        <v>-1</v>
      </c>
      <c r="V48">
        <v>0</v>
      </c>
      <c r="W48" t="s">
        <v>70</v>
      </c>
      <c r="X48">
        <v>0</v>
      </c>
      <c r="Y48">
        <v>0</v>
      </c>
      <c r="Z48">
        <v>1140</v>
      </c>
      <c r="AA48" t="s">
        <v>57</v>
      </c>
      <c r="AB48">
        <v>0</v>
      </c>
      <c r="AC48">
        <v>0</v>
      </c>
      <c r="AD48">
        <v>0</v>
      </c>
      <c r="AE48">
        <v>0</v>
      </c>
      <c r="AF48" t="s">
        <v>65</v>
      </c>
      <c r="AG48">
        <v>0</v>
      </c>
      <c r="AH48">
        <v>0</v>
      </c>
      <c r="AI48">
        <v>0</v>
      </c>
      <c r="AJ48">
        <v>0</v>
      </c>
      <c r="AK48" t="s">
        <v>65</v>
      </c>
      <c r="AL48">
        <v>0</v>
      </c>
      <c r="AM48">
        <v>0</v>
      </c>
      <c r="AN48">
        <v>0</v>
      </c>
      <c r="AO48">
        <v>0</v>
      </c>
      <c r="AP48" t="b">
        <v>0</v>
      </c>
      <c r="AQ48" t="s">
        <v>58</v>
      </c>
      <c r="AR48" t="s">
        <v>58</v>
      </c>
      <c r="AS48" t="s">
        <v>71</v>
      </c>
      <c r="AT48">
        <v>14</v>
      </c>
      <c r="AU48">
        <v>0</v>
      </c>
      <c r="AV48">
        <v>13</v>
      </c>
      <c r="AW48">
        <v>11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s">
        <v>61</v>
      </c>
      <c r="BF48" t="s">
        <v>57</v>
      </c>
      <c r="BG48" t="s">
        <v>55</v>
      </c>
      <c r="BH48" t="s">
        <v>58</v>
      </c>
      <c r="BI48" t="s">
        <v>58</v>
      </c>
    </row>
    <row r="49" spans="1:61" x14ac:dyDescent="0.25">
      <c r="A49" t="str" cm="1">
        <f t="array" ref="A49">_xlfn.IFS(AS49="RegularSeason",C49,AS49&lt;&gt;"RegularSeason",R49)</f>
        <v>00101101010010100000000000000001</v>
      </c>
      <c r="B49" t="str" cm="1">
        <f t="array" ref="B49">_xlfn.IFS(AS49="RegularSeason",D49,AS49&lt;&gt;"RegularSeason",K49)</f>
        <v>00101101010010100000000000011010</v>
      </c>
      <c r="C49" t="str">
        <f t="shared" si="0"/>
        <v>00101101010010100000000000000001</v>
      </c>
      <c r="D49" t="str">
        <f t="shared" si="1"/>
        <v>00101101010010100000000000011010</v>
      </c>
      <c r="E49" t="str" cm="1">
        <f t="array" ref="E49">_xlfn.XLOOKUP(_xlfn.XLOOKUP(G49,New!A:A,New!M:M,NONE),TeamIdentity!A:A,TeamIdentity!C:C,NONE)</f>
        <v>00000001</v>
      </c>
      <c r="F49" t="str" cm="1">
        <f t="array" ref="F49">_xlfn.XLOOKUP(_xlfn.XLOOKUP(G49,New!A:A,New!F:F,NONE),TeamIdentity!A:A,TeamIdentity!C:C,NONE)</f>
        <v>00011010</v>
      </c>
      <c r="G49" t="str">
        <f t="shared" si="2"/>
        <v>0-9</v>
      </c>
      <c r="H49" t="s">
        <v>54</v>
      </c>
      <c r="I49" t="s">
        <v>54</v>
      </c>
      <c r="J49" t="s">
        <v>54</v>
      </c>
      <c r="K49" t="s">
        <v>515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534</v>
      </c>
      <c r="S49">
        <v>-1</v>
      </c>
      <c r="T49">
        <v>0</v>
      </c>
      <c r="U49">
        <v>-1</v>
      </c>
      <c r="V49">
        <v>0</v>
      </c>
      <c r="W49" t="s">
        <v>70</v>
      </c>
      <c r="X49">
        <v>0</v>
      </c>
      <c r="Y49">
        <v>0</v>
      </c>
      <c r="Z49">
        <v>975</v>
      </c>
      <c r="AA49" t="s">
        <v>57</v>
      </c>
      <c r="AB49">
        <v>0</v>
      </c>
      <c r="AC49">
        <v>0</v>
      </c>
      <c r="AD49">
        <v>0</v>
      </c>
      <c r="AE49">
        <v>0</v>
      </c>
      <c r="AF49" t="s">
        <v>67</v>
      </c>
      <c r="AG49">
        <v>0</v>
      </c>
      <c r="AH49">
        <v>0</v>
      </c>
      <c r="AI49">
        <v>0</v>
      </c>
      <c r="AJ49">
        <v>0</v>
      </c>
      <c r="AK49" t="s">
        <v>60</v>
      </c>
      <c r="AL49">
        <v>0</v>
      </c>
      <c r="AM49">
        <v>0</v>
      </c>
      <c r="AN49">
        <v>0</v>
      </c>
      <c r="AO49">
        <v>0</v>
      </c>
      <c r="AP49" t="b">
        <v>0</v>
      </c>
      <c r="AQ49" t="s">
        <v>58</v>
      </c>
      <c r="AR49" t="s">
        <v>58</v>
      </c>
      <c r="AS49" t="s">
        <v>71</v>
      </c>
      <c r="AT49">
        <v>14</v>
      </c>
      <c r="AU49">
        <v>0</v>
      </c>
      <c r="AV49">
        <v>9</v>
      </c>
      <c r="AW49">
        <v>11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s">
        <v>61</v>
      </c>
      <c r="BF49" t="s">
        <v>57</v>
      </c>
      <c r="BG49" t="s">
        <v>55</v>
      </c>
      <c r="BH49" t="s">
        <v>58</v>
      </c>
      <c r="BI49" t="s">
        <v>58</v>
      </c>
    </row>
    <row r="50" spans="1:61" x14ac:dyDescent="0.25">
      <c r="A50" t="str" cm="1">
        <f t="array" ref="A50">_xlfn.IFS(AS50="RegularSeason",C50,AS50&lt;&gt;"RegularSeason",R50)</f>
        <v>00101101010010100000000000011111</v>
      </c>
      <c r="B50" t="str" cm="1">
        <f t="array" ref="B50">_xlfn.IFS(AS50="RegularSeason",D50,AS50&lt;&gt;"RegularSeason",K50)</f>
        <v>00101101010010100000000000000110</v>
      </c>
      <c r="C50" t="str">
        <f t="shared" si="0"/>
        <v>00101101010010100000000000011111</v>
      </c>
      <c r="D50" t="str">
        <f t="shared" si="1"/>
        <v>00101101010010100000000000000110</v>
      </c>
      <c r="E50" t="str" cm="1">
        <f t="array" ref="E50">_xlfn.XLOOKUP(_xlfn.XLOOKUP(G50,New!A:A,New!M:M,NONE),TeamIdentity!A:A,TeamIdentity!C:C,NONE)</f>
        <v>00011111</v>
      </c>
      <c r="F50" t="str" cm="1">
        <f t="array" ref="F50">_xlfn.XLOOKUP(_xlfn.XLOOKUP(G50,New!A:A,New!F:F,NONE),TeamIdentity!A:A,TeamIdentity!C:C,NONE)</f>
        <v>00000110</v>
      </c>
      <c r="G50" t="str">
        <f t="shared" si="2"/>
        <v>0-2</v>
      </c>
      <c r="H50" t="s">
        <v>54</v>
      </c>
      <c r="I50" t="s">
        <v>54</v>
      </c>
      <c r="J50" t="s">
        <v>54</v>
      </c>
      <c r="K50" t="s">
        <v>533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532</v>
      </c>
      <c r="S50">
        <v>-1</v>
      </c>
      <c r="T50">
        <v>0</v>
      </c>
      <c r="U50">
        <v>-1</v>
      </c>
      <c r="V50">
        <v>0</v>
      </c>
      <c r="W50" t="s">
        <v>70</v>
      </c>
      <c r="X50">
        <v>0</v>
      </c>
      <c r="Y50">
        <v>0</v>
      </c>
      <c r="Z50">
        <v>780</v>
      </c>
      <c r="AA50" t="s">
        <v>57</v>
      </c>
      <c r="AB50">
        <v>0</v>
      </c>
      <c r="AC50">
        <v>0</v>
      </c>
      <c r="AD50">
        <v>0</v>
      </c>
      <c r="AE50">
        <v>0</v>
      </c>
      <c r="AF50" t="s">
        <v>67</v>
      </c>
      <c r="AG50">
        <v>0</v>
      </c>
      <c r="AH50">
        <v>0</v>
      </c>
      <c r="AI50">
        <v>0</v>
      </c>
      <c r="AJ50">
        <v>0</v>
      </c>
      <c r="AK50" t="s">
        <v>60</v>
      </c>
      <c r="AL50">
        <v>0</v>
      </c>
      <c r="AM50">
        <v>0</v>
      </c>
      <c r="AN50">
        <v>0</v>
      </c>
      <c r="AO50">
        <v>0</v>
      </c>
      <c r="AP50" t="b">
        <v>0</v>
      </c>
      <c r="AQ50" t="s">
        <v>58</v>
      </c>
      <c r="AR50" t="s">
        <v>58</v>
      </c>
      <c r="AS50" t="s">
        <v>71</v>
      </c>
      <c r="AT50">
        <v>14</v>
      </c>
      <c r="AU50">
        <v>0</v>
      </c>
      <c r="AV50">
        <v>2</v>
      </c>
      <c r="AW50">
        <v>11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s">
        <v>61</v>
      </c>
      <c r="BF50" t="s">
        <v>57</v>
      </c>
      <c r="BG50" t="s">
        <v>55</v>
      </c>
      <c r="BH50" t="s">
        <v>58</v>
      </c>
      <c r="BI50" t="s">
        <v>58</v>
      </c>
    </row>
    <row r="51" spans="1:61" x14ac:dyDescent="0.25">
      <c r="A51" t="str" cm="1">
        <f t="array" ref="A51">_xlfn.IFS(AS51="RegularSeason",C51,AS51&lt;&gt;"RegularSeason",R51)</f>
        <v>00101101010010100000000000011011</v>
      </c>
      <c r="B51" t="str" cm="1">
        <f t="array" ref="B51">_xlfn.IFS(AS51="RegularSeason",D51,AS51&lt;&gt;"RegularSeason",K51)</f>
        <v>00101101010010100000000000000111</v>
      </c>
      <c r="C51" t="str">
        <f t="shared" si="0"/>
        <v>00101101010010100000000000010001</v>
      </c>
      <c r="D51" t="str">
        <f t="shared" si="1"/>
        <v>00101101010010100000000000011010</v>
      </c>
      <c r="E51" t="str" cm="1">
        <f t="array" ref="E51">_xlfn.XLOOKUP(_xlfn.XLOOKUP(G51,New!A:A,New!M:M,NONE),TeamIdentity!A:A,TeamIdentity!C:C,NONE)</f>
        <v>00010001</v>
      </c>
      <c r="F51" t="str" cm="1">
        <f t="array" ref="F51">_xlfn.XLOOKUP(_xlfn.XLOOKUP(G51,New!A:A,New!F:F,NONE),TeamIdentity!A:A,TeamIdentity!C:C,NONE)</f>
        <v>00011010</v>
      </c>
      <c r="G51" t="str">
        <f t="shared" si="2"/>
        <v>2-8</v>
      </c>
      <c r="H51" t="s">
        <v>54</v>
      </c>
      <c r="I51" t="s">
        <v>54</v>
      </c>
      <c r="J51" t="s">
        <v>54</v>
      </c>
      <c r="K51" t="s">
        <v>538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512</v>
      </c>
      <c r="S51">
        <v>-1</v>
      </c>
      <c r="T51">
        <v>0</v>
      </c>
      <c r="U51">
        <v>-1</v>
      </c>
      <c r="V51">
        <v>0</v>
      </c>
      <c r="W51" t="s">
        <v>70</v>
      </c>
      <c r="X51">
        <v>0</v>
      </c>
      <c r="Y51">
        <v>0</v>
      </c>
      <c r="Z51">
        <v>1140</v>
      </c>
      <c r="AA51" t="s">
        <v>57</v>
      </c>
      <c r="AB51">
        <v>0</v>
      </c>
      <c r="AC51">
        <v>0</v>
      </c>
      <c r="AD51">
        <v>0</v>
      </c>
      <c r="AE51">
        <v>0</v>
      </c>
      <c r="AF51" t="s">
        <v>67</v>
      </c>
      <c r="AG51">
        <v>0</v>
      </c>
      <c r="AH51">
        <v>0</v>
      </c>
      <c r="AI51">
        <v>0</v>
      </c>
      <c r="AJ51">
        <v>0</v>
      </c>
      <c r="AK51" t="s">
        <v>69</v>
      </c>
      <c r="AL51">
        <v>0</v>
      </c>
      <c r="AM51">
        <v>0</v>
      </c>
      <c r="AN51">
        <v>0</v>
      </c>
      <c r="AO51">
        <v>0</v>
      </c>
      <c r="AP51" t="b">
        <v>0</v>
      </c>
      <c r="AQ51" t="s">
        <v>58</v>
      </c>
      <c r="AR51" t="s">
        <v>58</v>
      </c>
      <c r="AS51" t="s">
        <v>66</v>
      </c>
      <c r="AT51">
        <v>14</v>
      </c>
      <c r="AU51">
        <v>2</v>
      </c>
      <c r="AV51">
        <v>8</v>
      </c>
      <c r="AW51">
        <v>11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s">
        <v>61</v>
      </c>
      <c r="BF51" t="s">
        <v>57</v>
      </c>
      <c r="BG51" t="s">
        <v>55</v>
      </c>
      <c r="BH51" t="s">
        <v>58</v>
      </c>
      <c r="BI51" t="s">
        <v>58</v>
      </c>
    </row>
    <row r="52" spans="1:61" x14ac:dyDescent="0.25">
      <c r="A52" t="str" cm="1">
        <f t="array" ref="A52">_xlfn.IFS(AS52="RegularSeason",C52,AS52&lt;&gt;"RegularSeason",R52)</f>
        <v>00101101010010100000000000001010</v>
      </c>
      <c r="B52" t="str" cm="1">
        <f t="array" ref="B52">_xlfn.IFS(AS52="RegularSeason",D52,AS52&lt;&gt;"RegularSeason",K52)</f>
        <v>00101101010010100000000000010111</v>
      </c>
      <c r="C52" t="str">
        <f t="shared" si="0"/>
        <v>00101101010010100000000000001010</v>
      </c>
      <c r="D52" t="str">
        <f t="shared" si="1"/>
        <v>00101101010010100000000000010111</v>
      </c>
      <c r="E52" t="str" cm="1">
        <f t="array" ref="E52">_xlfn.XLOOKUP(_xlfn.XLOOKUP(G52,New!A:A,New!M:M,NONE),TeamIdentity!A:A,TeamIdentity!C:C,NONE)</f>
        <v>00001010</v>
      </c>
      <c r="F52" t="str" cm="1">
        <f t="array" ref="F52">_xlfn.XLOOKUP(_xlfn.XLOOKUP(G52,New!A:A,New!F:F,NONE),TeamIdentity!A:A,TeamIdentity!C:C,NONE)</f>
        <v>00010111</v>
      </c>
      <c r="G52" t="str">
        <f t="shared" si="2"/>
        <v>0-3</v>
      </c>
      <c r="H52" t="s">
        <v>54</v>
      </c>
      <c r="I52" t="s">
        <v>54</v>
      </c>
      <c r="J52" t="s">
        <v>54</v>
      </c>
      <c r="K52" t="s">
        <v>542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518</v>
      </c>
      <c r="S52">
        <v>-1</v>
      </c>
      <c r="T52">
        <v>0</v>
      </c>
      <c r="U52">
        <v>-1</v>
      </c>
      <c r="V52">
        <v>0</v>
      </c>
      <c r="W52" t="s">
        <v>70</v>
      </c>
      <c r="X52">
        <v>0</v>
      </c>
      <c r="Y52">
        <v>0</v>
      </c>
      <c r="Z52">
        <v>780</v>
      </c>
      <c r="AA52" t="s">
        <v>57</v>
      </c>
      <c r="AB52">
        <v>0</v>
      </c>
      <c r="AC52">
        <v>0</v>
      </c>
      <c r="AD52">
        <v>0</v>
      </c>
      <c r="AE52">
        <v>0</v>
      </c>
      <c r="AF52" t="s">
        <v>67</v>
      </c>
      <c r="AG52">
        <v>0</v>
      </c>
      <c r="AH52">
        <v>0</v>
      </c>
      <c r="AI52">
        <v>0</v>
      </c>
      <c r="AJ52">
        <v>0</v>
      </c>
      <c r="AK52" t="s">
        <v>60</v>
      </c>
      <c r="AL52">
        <v>0</v>
      </c>
      <c r="AM52">
        <v>0</v>
      </c>
      <c r="AN52">
        <v>0</v>
      </c>
      <c r="AO52">
        <v>0</v>
      </c>
      <c r="AP52" t="b">
        <v>0</v>
      </c>
      <c r="AQ52" t="s">
        <v>58</v>
      </c>
      <c r="AR52" t="s">
        <v>58</v>
      </c>
      <c r="AS52" t="s">
        <v>71</v>
      </c>
      <c r="AT52">
        <v>14</v>
      </c>
      <c r="AU52">
        <v>0</v>
      </c>
      <c r="AV52">
        <v>3</v>
      </c>
      <c r="AW52">
        <v>11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s">
        <v>61</v>
      </c>
      <c r="BF52" t="s">
        <v>57</v>
      </c>
      <c r="BG52" t="s">
        <v>55</v>
      </c>
      <c r="BH52" t="s">
        <v>58</v>
      </c>
      <c r="BI52" t="s">
        <v>58</v>
      </c>
    </row>
    <row r="53" spans="1:61" x14ac:dyDescent="0.25">
      <c r="A53" t="str" cm="1">
        <f t="array" ref="A53">_xlfn.IFS(AS53="RegularSeason",C53,AS53&lt;&gt;"RegularSeason",R53)</f>
        <v>00101101010010100000000000001100</v>
      </c>
      <c r="B53" t="str" cm="1">
        <f t="array" ref="B53">_xlfn.IFS(AS53="RegularSeason",D53,AS53&lt;&gt;"RegularSeason",K53)</f>
        <v>00101101010010100000000000001101</v>
      </c>
      <c r="C53" t="str">
        <f t="shared" si="0"/>
        <v>00101101010010100000000000010011</v>
      </c>
      <c r="D53" t="str">
        <f t="shared" si="1"/>
        <v>00101101010010100000000000000110</v>
      </c>
      <c r="E53" t="str" cm="1">
        <f t="array" ref="E53">_xlfn.XLOOKUP(_xlfn.XLOOKUP(G53,New!A:A,New!M:M,NONE),TeamIdentity!A:A,TeamIdentity!C:C,NONE)</f>
        <v>00010011</v>
      </c>
      <c r="F53" t="str" cm="1">
        <f t="array" ref="F53">_xlfn.XLOOKUP(_xlfn.XLOOKUP(G53,New!A:A,New!F:F,NONE),TeamIdentity!A:A,TeamIdentity!C:C,NONE)</f>
        <v>00000110</v>
      </c>
      <c r="G53" t="str">
        <f t="shared" si="2"/>
        <v>2-1</v>
      </c>
      <c r="H53" t="s">
        <v>54</v>
      </c>
      <c r="I53" t="s">
        <v>54</v>
      </c>
      <c r="J53" t="s">
        <v>54</v>
      </c>
      <c r="K53" t="s">
        <v>521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540</v>
      </c>
      <c r="S53">
        <v>-1</v>
      </c>
      <c r="T53">
        <v>0</v>
      </c>
      <c r="U53">
        <v>-1</v>
      </c>
      <c r="V53">
        <v>0</v>
      </c>
      <c r="W53" t="s">
        <v>70</v>
      </c>
      <c r="X53">
        <v>0</v>
      </c>
      <c r="Y53">
        <v>0</v>
      </c>
      <c r="Z53">
        <v>1200</v>
      </c>
      <c r="AA53" t="s">
        <v>57</v>
      </c>
      <c r="AB53">
        <v>0</v>
      </c>
      <c r="AC53">
        <v>0</v>
      </c>
      <c r="AD53">
        <v>0</v>
      </c>
      <c r="AE53">
        <v>0</v>
      </c>
      <c r="AF53" t="s">
        <v>67</v>
      </c>
      <c r="AG53">
        <v>0</v>
      </c>
      <c r="AH53">
        <v>0</v>
      </c>
      <c r="AI53">
        <v>0</v>
      </c>
      <c r="AJ53">
        <v>0</v>
      </c>
      <c r="AK53" t="s">
        <v>60</v>
      </c>
      <c r="AL53">
        <v>0</v>
      </c>
      <c r="AM53">
        <v>0</v>
      </c>
      <c r="AN53">
        <v>0</v>
      </c>
      <c r="AO53">
        <v>0</v>
      </c>
      <c r="AP53" t="b">
        <v>0</v>
      </c>
      <c r="AQ53" t="s">
        <v>58</v>
      </c>
      <c r="AR53" t="s">
        <v>58</v>
      </c>
      <c r="AS53" t="s">
        <v>66</v>
      </c>
      <c r="AT53">
        <v>14</v>
      </c>
      <c r="AU53">
        <v>2</v>
      </c>
      <c r="AV53">
        <v>1</v>
      </c>
      <c r="AW53">
        <v>11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s">
        <v>61</v>
      </c>
      <c r="BF53" t="s">
        <v>57</v>
      </c>
      <c r="BG53" t="s">
        <v>55</v>
      </c>
      <c r="BH53" t="s">
        <v>58</v>
      </c>
      <c r="BI53" t="s">
        <v>58</v>
      </c>
    </row>
    <row r="54" spans="1:61" x14ac:dyDescent="0.25">
      <c r="A54" t="str" cm="1">
        <f t="array" ref="A54">_xlfn.IFS(AS54="RegularSeason",C54,AS54&lt;&gt;"RegularSeason",R54)</f>
        <v>00101101010010100000000000010000</v>
      </c>
      <c r="B54" t="str" cm="1">
        <f t="array" ref="B54">_xlfn.IFS(AS54="RegularSeason",D54,AS54&lt;&gt;"RegularSeason",K54)</f>
        <v>00101101010010100000000000001111</v>
      </c>
      <c r="C54" t="str">
        <f t="shared" si="0"/>
        <v>00101101010010100000000000010000</v>
      </c>
      <c r="D54" t="str">
        <f t="shared" si="1"/>
        <v>00101101010010100000000000001111</v>
      </c>
      <c r="E54" t="str" cm="1">
        <f t="array" ref="E54">_xlfn.XLOOKUP(_xlfn.XLOOKUP(G54,New!A:A,New!M:M,NONE),TeamIdentity!A:A,TeamIdentity!C:C,NONE)</f>
        <v>00010000</v>
      </c>
      <c r="F54" t="str" cm="1">
        <f t="array" ref="F54">_xlfn.XLOOKUP(_xlfn.XLOOKUP(G54,New!A:A,New!F:F,NONE),TeamIdentity!A:A,TeamIdentity!C:C,NONE)</f>
        <v>00001111</v>
      </c>
      <c r="G54" t="str">
        <f t="shared" si="2"/>
        <v>0-4</v>
      </c>
      <c r="H54" t="s">
        <v>54</v>
      </c>
      <c r="I54" t="s">
        <v>54</v>
      </c>
      <c r="J54" t="s">
        <v>54</v>
      </c>
      <c r="K54" t="s">
        <v>514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523</v>
      </c>
      <c r="S54">
        <v>-1</v>
      </c>
      <c r="T54">
        <v>0</v>
      </c>
      <c r="U54">
        <v>-1</v>
      </c>
      <c r="V54">
        <v>0</v>
      </c>
      <c r="W54" t="s">
        <v>70</v>
      </c>
      <c r="X54">
        <v>0</v>
      </c>
      <c r="Y54">
        <v>0</v>
      </c>
      <c r="Z54">
        <v>780</v>
      </c>
      <c r="AA54" t="s">
        <v>57</v>
      </c>
      <c r="AB54">
        <v>0</v>
      </c>
      <c r="AC54">
        <v>0</v>
      </c>
      <c r="AD54">
        <v>0</v>
      </c>
      <c r="AE54">
        <v>0</v>
      </c>
      <c r="AF54" t="s">
        <v>67</v>
      </c>
      <c r="AG54">
        <v>0</v>
      </c>
      <c r="AH54">
        <v>0</v>
      </c>
      <c r="AI54">
        <v>0</v>
      </c>
      <c r="AJ54">
        <v>0</v>
      </c>
      <c r="AK54" t="s">
        <v>60</v>
      </c>
      <c r="AL54">
        <v>0</v>
      </c>
      <c r="AM54">
        <v>0</v>
      </c>
      <c r="AN54">
        <v>0</v>
      </c>
      <c r="AO54">
        <v>0</v>
      </c>
      <c r="AP54" t="b">
        <v>0</v>
      </c>
      <c r="AQ54" t="s">
        <v>58</v>
      </c>
      <c r="AR54" t="s">
        <v>58</v>
      </c>
      <c r="AS54" t="s">
        <v>71</v>
      </c>
      <c r="AT54">
        <v>14</v>
      </c>
      <c r="AU54">
        <v>0</v>
      </c>
      <c r="AV54">
        <v>4</v>
      </c>
      <c r="AW54">
        <v>11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s">
        <v>61</v>
      </c>
      <c r="BF54" t="s">
        <v>57</v>
      </c>
      <c r="BG54" t="s">
        <v>55</v>
      </c>
      <c r="BH54" t="s">
        <v>58</v>
      </c>
      <c r="BI54" t="s">
        <v>58</v>
      </c>
    </row>
    <row r="55" spans="1:61" x14ac:dyDescent="0.25">
      <c r="A55" t="str" cm="1">
        <f t="array" ref="A55">_xlfn.IFS(AS55="RegularSeason",C55,AS55&lt;&gt;"RegularSeason",R55)</f>
        <v>00101101010010100000000000010101</v>
      </c>
      <c r="B55" t="str" cm="1">
        <f t="array" ref="B55">_xlfn.IFS(AS55="RegularSeason",D55,AS55&lt;&gt;"RegularSeason",K55)</f>
        <v>00101101010010100000000000000110</v>
      </c>
      <c r="C55" t="str">
        <f t="shared" si="0"/>
        <v>00101101010010100000000000001101</v>
      </c>
      <c r="D55" t="str">
        <f t="shared" si="1"/>
        <v>00101101010010100000000000001011</v>
      </c>
      <c r="E55" t="str" cm="1">
        <f t="array" ref="E55">_xlfn.XLOOKUP(_xlfn.XLOOKUP(G55,New!A:A,New!M:M,NONE),TeamIdentity!A:A,TeamIdentity!C:C,NONE)</f>
        <v>00001101</v>
      </c>
      <c r="F55" t="str" cm="1">
        <f t="array" ref="F55">_xlfn.XLOOKUP(_xlfn.XLOOKUP(G55,New!A:A,New!F:F,NONE),TeamIdentity!A:A,TeamIdentity!C:C,NONE)</f>
        <v>00001011</v>
      </c>
      <c r="G55" t="str">
        <f t="shared" si="2"/>
        <v>2-9</v>
      </c>
      <c r="H55" t="s">
        <v>54</v>
      </c>
      <c r="I55" t="s">
        <v>54</v>
      </c>
      <c r="J55" t="s">
        <v>54</v>
      </c>
      <c r="K55" t="s">
        <v>531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536</v>
      </c>
      <c r="S55">
        <v>-1</v>
      </c>
      <c r="T55">
        <v>0</v>
      </c>
      <c r="U55">
        <v>-1</v>
      </c>
      <c r="V55">
        <v>0</v>
      </c>
      <c r="W55" t="s">
        <v>70</v>
      </c>
      <c r="X55">
        <v>0</v>
      </c>
      <c r="Y55">
        <v>0</v>
      </c>
      <c r="Z55">
        <v>1140</v>
      </c>
      <c r="AA55" t="s">
        <v>57</v>
      </c>
      <c r="AB55">
        <v>0</v>
      </c>
      <c r="AC55">
        <v>0</v>
      </c>
      <c r="AD55">
        <v>0</v>
      </c>
      <c r="AE55">
        <v>0</v>
      </c>
      <c r="AF55" t="s">
        <v>67</v>
      </c>
      <c r="AG55">
        <v>0</v>
      </c>
      <c r="AH55">
        <v>0</v>
      </c>
      <c r="AI55">
        <v>0</v>
      </c>
      <c r="AJ55">
        <v>0</v>
      </c>
      <c r="AK55" t="s">
        <v>63</v>
      </c>
      <c r="AL55">
        <v>0</v>
      </c>
      <c r="AM55">
        <v>0</v>
      </c>
      <c r="AN55">
        <v>0</v>
      </c>
      <c r="AO55">
        <v>0</v>
      </c>
      <c r="AP55" t="b">
        <v>0</v>
      </c>
      <c r="AQ55" t="s">
        <v>58</v>
      </c>
      <c r="AR55" t="s">
        <v>58</v>
      </c>
      <c r="AS55" t="s">
        <v>66</v>
      </c>
      <c r="AT55">
        <v>14</v>
      </c>
      <c r="AU55">
        <v>2</v>
      </c>
      <c r="AV55">
        <v>9</v>
      </c>
      <c r="AW55">
        <v>11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s">
        <v>61</v>
      </c>
      <c r="BF55" t="s">
        <v>57</v>
      </c>
      <c r="BG55" t="s">
        <v>55</v>
      </c>
      <c r="BH55" t="s">
        <v>58</v>
      </c>
      <c r="BI55" t="s">
        <v>58</v>
      </c>
    </row>
    <row r="56" spans="1:61" x14ac:dyDescent="0.25">
      <c r="A56" t="str" cm="1">
        <f t="array" ref="A56">_xlfn.IFS(AS56="RegularSeason",C56,AS56&lt;&gt;"RegularSeason",R56)</f>
        <v>00101101010010100000000000100011</v>
      </c>
      <c r="B56" t="str" cm="1">
        <f t="array" ref="B56">_xlfn.IFS(AS56="RegularSeason",D56,AS56&lt;&gt;"RegularSeason",K56)</f>
        <v>00101101010010100000000000010001</v>
      </c>
      <c r="C56" t="str">
        <f t="shared" si="0"/>
        <v>00101101010010100000000000100011</v>
      </c>
      <c r="D56" t="str">
        <f t="shared" si="1"/>
        <v>00101101010010100000000000010001</v>
      </c>
      <c r="E56" t="str" cm="1">
        <f t="array" ref="E56">_xlfn.XLOOKUP(_xlfn.XLOOKUP(G56,New!A:A,New!M:M,NONE),TeamIdentity!A:A,TeamIdentity!C:C,NONE)</f>
        <v>00100011</v>
      </c>
      <c r="F56" t="str" cm="1">
        <f t="array" ref="F56">_xlfn.XLOOKUP(_xlfn.XLOOKUP(G56,New!A:A,New!F:F,NONE),TeamIdentity!A:A,TeamIdentity!C:C,NONE)</f>
        <v>00010001</v>
      </c>
      <c r="G56" t="str">
        <f t="shared" si="2"/>
        <v>1-0</v>
      </c>
      <c r="H56" t="s">
        <v>54</v>
      </c>
      <c r="I56" t="s">
        <v>54</v>
      </c>
      <c r="J56" t="s">
        <v>54</v>
      </c>
      <c r="K56" t="s">
        <v>523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526</v>
      </c>
      <c r="S56">
        <v>-1</v>
      </c>
      <c r="T56">
        <v>0</v>
      </c>
      <c r="U56">
        <v>-1</v>
      </c>
      <c r="V56">
        <v>0</v>
      </c>
      <c r="W56" t="s">
        <v>70</v>
      </c>
      <c r="X56">
        <v>0</v>
      </c>
      <c r="Y56">
        <v>0</v>
      </c>
      <c r="Z56">
        <v>780</v>
      </c>
      <c r="AA56" t="s">
        <v>57</v>
      </c>
      <c r="AB56">
        <v>0</v>
      </c>
      <c r="AC56">
        <v>0</v>
      </c>
      <c r="AD56">
        <v>0</v>
      </c>
      <c r="AE56">
        <v>0</v>
      </c>
      <c r="AF56" t="s">
        <v>67</v>
      </c>
      <c r="AG56">
        <v>0</v>
      </c>
      <c r="AH56">
        <v>0</v>
      </c>
      <c r="AI56">
        <v>0</v>
      </c>
      <c r="AJ56">
        <v>0</v>
      </c>
      <c r="AK56" t="s">
        <v>60</v>
      </c>
      <c r="AL56">
        <v>0</v>
      </c>
      <c r="AM56">
        <v>0</v>
      </c>
      <c r="AN56">
        <v>0</v>
      </c>
      <c r="AO56">
        <v>0</v>
      </c>
      <c r="AP56" t="b">
        <v>0</v>
      </c>
      <c r="AQ56" t="s">
        <v>58</v>
      </c>
      <c r="AR56" t="s">
        <v>58</v>
      </c>
      <c r="AS56" t="s">
        <v>71</v>
      </c>
      <c r="AT56">
        <v>14</v>
      </c>
      <c r="AU56">
        <v>1</v>
      </c>
      <c r="AV56">
        <v>0</v>
      </c>
      <c r="AW56">
        <v>11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s">
        <v>61</v>
      </c>
      <c r="BF56" t="s">
        <v>57</v>
      </c>
      <c r="BG56" t="s">
        <v>55</v>
      </c>
      <c r="BH56" t="s">
        <v>58</v>
      </c>
      <c r="BI56" t="s">
        <v>58</v>
      </c>
    </row>
    <row r="57" spans="1:61" x14ac:dyDescent="0.25">
      <c r="A57" t="str" cm="1">
        <f t="array" ref="A57">_xlfn.IFS(AS57="RegularSeason",C57,AS57&lt;&gt;"RegularSeason",R57)</f>
        <v>00101101010010100000000000011110</v>
      </c>
      <c r="B57" t="str" cm="1">
        <f t="array" ref="B57">_xlfn.IFS(AS57="RegularSeason",D57,AS57&lt;&gt;"RegularSeason",K57)</f>
        <v>00101101010010100000000000000010</v>
      </c>
      <c r="C57" t="str">
        <f t="shared" si="0"/>
        <v>00101101010010100000000000011110</v>
      </c>
      <c r="D57" t="str">
        <f t="shared" si="1"/>
        <v>00101101010010100000000000000010</v>
      </c>
      <c r="E57" t="str" cm="1">
        <f t="array" ref="E57">_xlfn.XLOOKUP(_xlfn.XLOOKUP(G57,New!A:A,New!M:M,NONE),TeamIdentity!A:A,TeamIdentity!C:C,NONE)</f>
        <v>00011110</v>
      </c>
      <c r="F57" t="str" cm="1">
        <f t="array" ref="F57">_xlfn.XLOOKUP(_xlfn.XLOOKUP(G57,New!A:A,New!F:F,NONE),TeamIdentity!A:A,TeamIdentity!C:C,NONE)</f>
        <v>00000010</v>
      </c>
      <c r="G57" t="str">
        <f t="shared" si="2"/>
        <v>0-5</v>
      </c>
      <c r="H57" t="s">
        <v>54</v>
      </c>
      <c r="I57" t="s">
        <v>54</v>
      </c>
      <c r="J57" t="s">
        <v>54</v>
      </c>
      <c r="K57" t="s">
        <v>520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535</v>
      </c>
      <c r="S57">
        <v>-1</v>
      </c>
      <c r="T57">
        <v>0</v>
      </c>
      <c r="U57">
        <v>-1</v>
      </c>
      <c r="V57">
        <v>0</v>
      </c>
      <c r="W57" t="s">
        <v>70</v>
      </c>
      <c r="X57">
        <v>0</v>
      </c>
      <c r="Y57">
        <v>0</v>
      </c>
      <c r="Z57">
        <v>780</v>
      </c>
      <c r="AA57" t="s">
        <v>57</v>
      </c>
      <c r="AB57">
        <v>0</v>
      </c>
      <c r="AC57">
        <v>0</v>
      </c>
      <c r="AD57">
        <v>0</v>
      </c>
      <c r="AE57">
        <v>0</v>
      </c>
      <c r="AF57" t="s">
        <v>67</v>
      </c>
      <c r="AG57">
        <v>0</v>
      </c>
      <c r="AH57">
        <v>0</v>
      </c>
      <c r="AI57">
        <v>0</v>
      </c>
      <c r="AJ57">
        <v>0</v>
      </c>
      <c r="AK57" t="s">
        <v>60</v>
      </c>
      <c r="AL57">
        <v>0</v>
      </c>
      <c r="AM57">
        <v>0</v>
      </c>
      <c r="AN57">
        <v>0</v>
      </c>
      <c r="AO57">
        <v>0</v>
      </c>
      <c r="AP57" t="b">
        <v>0</v>
      </c>
      <c r="AQ57" t="s">
        <v>58</v>
      </c>
      <c r="AR57" t="s">
        <v>58</v>
      </c>
      <c r="AS57" t="s">
        <v>71</v>
      </c>
      <c r="AT57">
        <v>14</v>
      </c>
      <c r="AU57">
        <v>0</v>
      </c>
      <c r="AV57">
        <v>5</v>
      </c>
      <c r="AW57">
        <v>11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s">
        <v>61</v>
      </c>
      <c r="BF57" t="s">
        <v>57</v>
      </c>
      <c r="BG57" t="s">
        <v>55</v>
      </c>
      <c r="BH57" t="s">
        <v>58</v>
      </c>
      <c r="BI57" t="s">
        <v>58</v>
      </c>
    </row>
    <row r="58" spans="1:61" x14ac:dyDescent="0.25">
      <c r="A58" t="str" cm="1">
        <f t="array" ref="A58">_xlfn.IFS(AS58="RegularSeason",C58,AS58&lt;&gt;"RegularSeason",R58)</f>
        <v>00101101010010100000000000100011</v>
      </c>
      <c r="B58" t="str" cm="1">
        <f t="array" ref="B58">_xlfn.IFS(AS58="RegularSeason",D58,AS58&lt;&gt;"RegularSeason",K58)</f>
        <v>00101101010010100000000000100001</v>
      </c>
      <c r="C58" t="str">
        <f t="shared" si="0"/>
        <v>00101101010010100000000000100011</v>
      </c>
      <c r="D58" t="str">
        <f t="shared" si="1"/>
        <v>00101101010010100000000000100001</v>
      </c>
      <c r="E58" t="str" cm="1">
        <f t="array" ref="E58">_xlfn.XLOOKUP(_xlfn.XLOOKUP(G58,New!A:A,New!M:M,NONE),TeamIdentity!A:A,TeamIdentity!C:C,NONE)</f>
        <v>00100011</v>
      </c>
      <c r="F58" t="str" cm="1">
        <f t="array" ref="F58">_xlfn.XLOOKUP(_xlfn.XLOOKUP(G58,New!A:A,New!F:F,NONE),TeamIdentity!A:A,TeamIdentity!C:C,NONE)</f>
        <v>00100001</v>
      </c>
      <c r="G58" t="str">
        <f t="shared" si="2"/>
        <v>0-8</v>
      </c>
      <c r="H58" t="s">
        <v>54</v>
      </c>
      <c r="I58" t="s">
        <v>54</v>
      </c>
      <c r="J58" t="s">
        <v>54</v>
      </c>
      <c r="K58" t="s">
        <v>524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528</v>
      </c>
      <c r="S58">
        <v>-1</v>
      </c>
      <c r="T58">
        <v>0</v>
      </c>
      <c r="U58">
        <v>-1</v>
      </c>
      <c r="V58">
        <v>0</v>
      </c>
      <c r="W58" t="s">
        <v>70</v>
      </c>
      <c r="X58">
        <v>0</v>
      </c>
      <c r="Y58">
        <v>0</v>
      </c>
      <c r="Z58">
        <v>965</v>
      </c>
      <c r="AA58" t="s">
        <v>57</v>
      </c>
      <c r="AB58">
        <v>0</v>
      </c>
      <c r="AC58">
        <v>0</v>
      </c>
      <c r="AD58">
        <v>0</v>
      </c>
      <c r="AE58">
        <v>0</v>
      </c>
      <c r="AF58" t="s">
        <v>67</v>
      </c>
      <c r="AG58">
        <v>0</v>
      </c>
      <c r="AH58">
        <v>0</v>
      </c>
      <c r="AI58">
        <v>0</v>
      </c>
      <c r="AJ58">
        <v>0</v>
      </c>
      <c r="AK58" t="s">
        <v>60</v>
      </c>
      <c r="AL58">
        <v>0</v>
      </c>
      <c r="AM58">
        <v>0</v>
      </c>
      <c r="AN58">
        <v>0</v>
      </c>
      <c r="AO58">
        <v>0</v>
      </c>
      <c r="AP58" t="b">
        <v>0</v>
      </c>
      <c r="AQ58" t="s">
        <v>58</v>
      </c>
      <c r="AR58" t="s">
        <v>58</v>
      </c>
      <c r="AS58" t="s">
        <v>71</v>
      </c>
      <c r="AT58">
        <v>14</v>
      </c>
      <c r="AU58">
        <v>0</v>
      </c>
      <c r="AV58">
        <v>8</v>
      </c>
      <c r="AW58">
        <v>11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s">
        <v>61</v>
      </c>
      <c r="BF58" t="s">
        <v>57</v>
      </c>
      <c r="BG58" t="s">
        <v>55</v>
      </c>
      <c r="BH58" t="s">
        <v>58</v>
      </c>
      <c r="BI58" t="s">
        <v>58</v>
      </c>
    </row>
    <row r="59" spans="1:61" x14ac:dyDescent="0.25">
      <c r="A59" t="str" cm="1">
        <f t="array" ref="A59">_xlfn.IFS(AS59="RegularSeason",C59,AS59&lt;&gt;"RegularSeason",R59)</f>
        <v>00101101010010100000000000011100</v>
      </c>
      <c r="B59" t="str" cm="1">
        <f t="array" ref="B59">_xlfn.IFS(AS59="RegularSeason",D59,AS59&lt;&gt;"RegularSeason",K59)</f>
        <v>00101101010010100000000000001011</v>
      </c>
      <c r="C59" t="str">
        <f t="shared" si="0"/>
        <v>00101101010010100000000000011100</v>
      </c>
      <c r="D59" t="str">
        <f t="shared" si="1"/>
        <v>00101101010010100000000000001011</v>
      </c>
      <c r="E59" t="str" cm="1">
        <f t="array" ref="E59">_xlfn.XLOOKUP(_xlfn.XLOOKUP(G59,New!A:A,New!M:M,NONE),TeamIdentity!A:A,TeamIdentity!C:C,NONE)</f>
        <v>00011100</v>
      </c>
      <c r="F59" t="str" cm="1">
        <f t="array" ref="F59">_xlfn.XLOOKUP(_xlfn.XLOOKUP(G59,New!A:A,New!F:F,NONE),TeamIdentity!A:A,TeamIdentity!C:C,NONE)</f>
        <v>00001011</v>
      </c>
      <c r="G59" t="str">
        <f t="shared" si="2"/>
        <v>0-14</v>
      </c>
      <c r="H59" t="s">
        <v>54</v>
      </c>
      <c r="I59" t="s">
        <v>54</v>
      </c>
      <c r="J59" t="s">
        <v>54</v>
      </c>
      <c r="K59" t="s">
        <v>527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538</v>
      </c>
      <c r="S59">
        <v>-1</v>
      </c>
      <c r="T59">
        <v>0</v>
      </c>
      <c r="U59">
        <v>-1</v>
      </c>
      <c r="V59">
        <v>0</v>
      </c>
      <c r="W59" t="s">
        <v>70</v>
      </c>
      <c r="X59">
        <v>0</v>
      </c>
      <c r="Y59">
        <v>0</v>
      </c>
      <c r="Z59">
        <v>1335</v>
      </c>
      <c r="AA59" t="s">
        <v>57</v>
      </c>
      <c r="AB59">
        <v>0</v>
      </c>
      <c r="AC59">
        <v>0</v>
      </c>
      <c r="AD59">
        <v>0</v>
      </c>
      <c r="AE59">
        <v>0</v>
      </c>
      <c r="AF59" t="s">
        <v>65</v>
      </c>
      <c r="AG59">
        <v>0</v>
      </c>
      <c r="AH59">
        <v>0</v>
      </c>
      <c r="AI59">
        <v>0</v>
      </c>
      <c r="AJ59">
        <v>0</v>
      </c>
      <c r="AK59" t="s">
        <v>65</v>
      </c>
      <c r="AL59">
        <v>0</v>
      </c>
      <c r="AM59">
        <v>0</v>
      </c>
      <c r="AN59">
        <v>0</v>
      </c>
      <c r="AO59">
        <v>0</v>
      </c>
      <c r="AP59" t="b">
        <v>0</v>
      </c>
      <c r="AQ59" t="s">
        <v>58</v>
      </c>
      <c r="AR59" t="s">
        <v>58</v>
      </c>
      <c r="AS59" t="s">
        <v>71</v>
      </c>
      <c r="AT59">
        <v>14</v>
      </c>
      <c r="AU59">
        <v>0</v>
      </c>
      <c r="AV59">
        <v>14</v>
      </c>
      <c r="AW59">
        <v>11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s">
        <v>61</v>
      </c>
      <c r="BF59" t="s">
        <v>57</v>
      </c>
      <c r="BG59" t="s">
        <v>55</v>
      </c>
      <c r="BH59" t="s">
        <v>58</v>
      </c>
      <c r="BI59" t="s">
        <v>58</v>
      </c>
    </row>
    <row r="60" spans="1:61" x14ac:dyDescent="0.25">
      <c r="A60" t="str" cm="1">
        <f t="array" ref="A60">_xlfn.IFS(AS60="RegularSeason",C60,AS60&lt;&gt;"RegularSeason",R60)</f>
        <v>00101101010010100000000000000100</v>
      </c>
      <c r="B60" t="str" cm="1">
        <f t="array" ref="B60">_xlfn.IFS(AS60="RegularSeason",D60,AS60&lt;&gt;"RegularSeason",K60)</f>
        <v>00101101010010100000000000100000</v>
      </c>
      <c r="C60" t="str">
        <f t="shared" si="0"/>
        <v>00101101010010100000000000000111</v>
      </c>
      <c r="D60" t="str">
        <f t="shared" si="1"/>
        <v>00101101010010100000000000000000</v>
      </c>
      <c r="E60" t="str" cm="1">
        <f t="array" ref="E60">_xlfn.XLOOKUP(_xlfn.XLOOKUP(G60,New!A:A,New!M:M,NONE),TeamIdentity!A:A,TeamIdentity!C:C,NONE)</f>
        <v>00000111</v>
      </c>
      <c r="F60" t="str" cm="1">
        <f t="array" ref="F60">_xlfn.XLOOKUP(_xlfn.XLOOKUP(G60,New!A:A,New!F:F,NONE),TeamIdentity!A:A,TeamIdentity!C:C,NONE)</f>
        <v>00000000</v>
      </c>
      <c r="G60" t="str">
        <f t="shared" si="2"/>
        <v>2-13</v>
      </c>
      <c r="H60" t="s">
        <v>54</v>
      </c>
      <c r="I60" t="s">
        <v>54</v>
      </c>
      <c r="J60" t="s">
        <v>54</v>
      </c>
      <c r="K60" t="s">
        <v>527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539</v>
      </c>
      <c r="S60">
        <v>-1</v>
      </c>
      <c r="T60">
        <v>0</v>
      </c>
      <c r="U60">
        <v>-1</v>
      </c>
      <c r="V60">
        <v>0</v>
      </c>
      <c r="W60" t="s">
        <v>70</v>
      </c>
      <c r="X60">
        <v>0</v>
      </c>
      <c r="Y60">
        <v>0</v>
      </c>
      <c r="Z60">
        <v>1320</v>
      </c>
      <c r="AA60" t="s">
        <v>57</v>
      </c>
      <c r="AB60">
        <v>0</v>
      </c>
      <c r="AC60">
        <v>0</v>
      </c>
      <c r="AD60">
        <v>0</v>
      </c>
      <c r="AE60">
        <v>0</v>
      </c>
      <c r="AF60" t="s">
        <v>67</v>
      </c>
      <c r="AG60">
        <v>0</v>
      </c>
      <c r="AH60">
        <v>0</v>
      </c>
      <c r="AI60">
        <v>0</v>
      </c>
      <c r="AJ60">
        <v>0</v>
      </c>
      <c r="AK60" t="s">
        <v>63</v>
      </c>
      <c r="AL60">
        <v>0</v>
      </c>
      <c r="AM60">
        <v>0</v>
      </c>
      <c r="AN60">
        <v>0</v>
      </c>
      <c r="AO60">
        <v>0</v>
      </c>
      <c r="AP60" t="b">
        <v>0</v>
      </c>
      <c r="AQ60" t="s">
        <v>58</v>
      </c>
      <c r="AR60" t="s">
        <v>58</v>
      </c>
      <c r="AS60" t="s">
        <v>66</v>
      </c>
      <c r="AT60">
        <v>14</v>
      </c>
      <c r="AU60">
        <v>2</v>
      </c>
      <c r="AV60">
        <v>13</v>
      </c>
      <c r="AW60">
        <v>11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s">
        <v>61</v>
      </c>
      <c r="BF60" t="s">
        <v>57</v>
      </c>
      <c r="BG60" t="s">
        <v>55</v>
      </c>
      <c r="BH60" t="s">
        <v>58</v>
      </c>
      <c r="BI60" t="s">
        <v>58</v>
      </c>
    </row>
    <row r="61" spans="1:61" x14ac:dyDescent="0.25">
      <c r="A61" t="str" cm="1">
        <f t="array" ref="A61">_xlfn.IFS(AS61="RegularSeason",C61,AS61&lt;&gt;"RegularSeason",R61)</f>
        <v>00101101010010100000000000100010</v>
      </c>
      <c r="B61" t="str" cm="1">
        <f t="array" ref="B61">_xlfn.IFS(AS61="RegularSeason",D61,AS61&lt;&gt;"RegularSeason",K61)</f>
        <v>00101101010010100000000000010101</v>
      </c>
      <c r="C61" t="str">
        <f t="shared" si="0"/>
        <v>00101101010010100000000000100010</v>
      </c>
      <c r="D61" t="str">
        <f t="shared" si="1"/>
        <v>00101101010010100000000000010101</v>
      </c>
      <c r="E61" t="str" cm="1">
        <f t="array" ref="E61">_xlfn.XLOOKUP(_xlfn.XLOOKUP(G61,New!A:A,New!M:M,NONE),TeamIdentity!A:A,TeamIdentity!C:C,NONE)</f>
        <v>00100010</v>
      </c>
      <c r="F61" t="str" cm="1">
        <f t="array" ref="F61">_xlfn.XLOOKUP(_xlfn.XLOOKUP(G61,New!A:A,New!F:F,NONE),TeamIdentity!A:A,TeamIdentity!C:C,NONE)</f>
        <v>00010101</v>
      </c>
      <c r="G61" t="str">
        <f t="shared" si="2"/>
        <v>0-6</v>
      </c>
      <c r="H61" t="s">
        <v>54</v>
      </c>
      <c r="I61" t="s">
        <v>54</v>
      </c>
      <c r="J61" t="s">
        <v>54</v>
      </c>
      <c r="K61" t="s">
        <v>512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522</v>
      </c>
      <c r="S61">
        <v>-1</v>
      </c>
      <c r="T61">
        <v>0</v>
      </c>
      <c r="U61">
        <v>-1</v>
      </c>
      <c r="V61">
        <v>0</v>
      </c>
      <c r="W61" t="s">
        <v>70</v>
      </c>
      <c r="X61">
        <v>0</v>
      </c>
      <c r="Y61">
        <v>0</v>
      </c>
      <c r="Z61">
        <v>780</v>
      </c>
      <c r="AA61" t="s">
        <v>57</v>
      </c>
      <c r="AB61">
        <v>0</v>
      </c>
      <c r="AC61">
        <v>0</v>
      </c>
      <c r="AD61">
        <v>0</v>
      </c>
      <c r="AE61">
        <v>0</v>
      </c>
      <c r="AF61" t="s">
        <v>67</v>
      </c>
      <c r="AG61">
        <v>0</v>
      </c>
      <c r="AH61">
        <v>0</v>
      </c>
      <c r="AI61">
        <v>0</v>
      </c>
      <c r="AJ61">
        <v>0</v>
      </c>
      <c r="AK61" t="s">
        <v>60</v>
      </c>
      <c r="AL61">
        <v>0</v>
      </c>
      <c r="AM61">
        <v>0</v>
      </c>
      <c r="AN61">
        <v>0</v>
      </c>
      <c r="AO61">
        <v>0</v>
      </c>
      <c r="AP61" t="b">
        <v>0</v>
      </c>
      <c r="AQ61" t="s">
        <v>58</v>
      </c>
      <c r="AR61" t="s">
        <v>58</v>
      </c>
      <c r="AS61" t="s">
        <v>71</v>
      </c>
      <c r="AT61">
        <v>14</v>
      </c>
      <c r="AU61">
        <v>0</v>
      </c>
      <c r="AV61">
        <v>6</v>
      </c>
      <c r="AW61">
        <v>11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s">
        <v>61</v>
      </c>
      <c r="BF61" t="s">
        <v>57</v>
      </c>
      <c r="BG61" t="s">
        <v>55</v>
      </c>
      <c r="BH61" t="s">
        <v>58</v>
      </c>
      <c r="BI61" t="s">
        <v>58</v>
      </c>
    </row>
    <row r="62" spans="1:61" x14ac:dyDescent="0.25">
      <c r="A62" t="str" cm="1">
        <f t="array" ref="A62">_xlfn.IFS(AS62="RegularSeason",C62,AS62&lt;&gt;"RegularSeason",R62)</f>
        <v>00101101010010100000000000100000</v>
      </c>
      <c r="B62" t="str" cm="1">
        <f t="array" ref="B62">_xlfn.IFS(AS62="RegularSeason",D62,AS62&lt;&gt;"RegularSeason",K62)</f>
        <v>00101101010010100000000000000010</v>
      </c>
      <c r="C62" t="str">
        <f t="shared" si="0"/>
        <v>00101101010010100000000000100000</v>
      </c>
      <c r="D62" t="str">
        <f t="shared" si="1"/>
        <v>00101101010010100000000000000010</v>
      </c>
      <c r="E62" t="str" cm="1">
        <f t="array" ref="E62">_xlfn.XLOOKUP(_xlfn.XLOOKUP(G62,New!A:A,New!M:M,NONE),TeamIdentity!A:A,TeamIdentity!C:C,NONE)</f>
        <v>00100000</v>
      </c>
      <c r="F62" t="str" cm="1">
        <f t="array" ref="F62">_xlfn.XLOOKUP(_xlfn.XLOOKUP(G62,New!A:A,New!F:F,NONE),TeamIdentity!A:A,TeamIdentity!C:C,NONE)</f>
        <v>00000010</v>
      </c>
      <c r="G62" t="str">
        <f t="shared" si="2"/>
        <v>1-13</v>
      </c>
      <c r="H62" t="s">
        <v>54</v>
      </c>
      <c r="I62" t="s">
        <v>54</v>
      </c>
      <c r="J62" t="s">
        <v>54</v>
      </c>
      <c r="K62" t="s">
        <v>514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519</v>
      </c>
      <c r="S62">
        <v>-1</v>
      </c>
      <c r="T62">
        <v>0</v>
      </c>
      <c r="U62">
        <v>-1</v>
      </c>
      <c r="V62">
        <v>0</v>
      </c>
      <c r="W62" t="s">
        <v>70</v>
      </c>
      <c r="X62">
        <v>0</v>
      </c>
      <c r="Y62">
        <v>0</v>
      </c>
      <c r="Z62">
        <v>1220</v>
      </c>
      <c r="AA62" t="s">
        <v>57</v>
      </c>
      <c r="AB62">
        <v>0</v>
      </c>
      <c r="AC62">
        <v>0</v>
      </c>
      <c r="AD62">
        <v>0</v>
      </c>
      <c r="AE62">
        <v>0</v>
      </c>
      <c r="AF62" t="s">
        <v>60</v>
      </c>
      <c r="AG62">
        <v>0</v>
      </c>
      <c r="AH62">
        <v>0</v>
      </c>
      <c r="AI62">
        <v>0</v>
      </c>
      <c r="AJ62">
        <v>0</v>
      </c>
      <c r="AK62" t="s">
        <v>60</v>
      </c>
      <c r="AL62">
        <v>0</v>
      </c>
      <c r="AM62">
        <v>0</v>
      </c>
      <c r="AN62">
        <v>0</v>
      </c>
      <c r="AO62">
        <v>0</v>
      </c>
      <c r="AP62" t="b">
        <v>0</v>
      </c>
      <c r="AQ62" t="s">
        <v>58</v>
      </c>
      <c r="AR62" t="s">
        <v>58</v>
      </c>
      <c r="AS62" t="s">
        <v>71</v>
      </c>
      <c r="AT62">
        <v>14</v>
      </c>
      <c r="AU62">
        <v>1</v>
      </c>
      <c r="AV62">
        <v>13</v>
      </c>
      <c r="AW62">
        <v>11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s">
        <v>61</v>
      </c>
      <c r="BF62" t="s">
        <v>57</v>
      </c>
      <c r="BG62" t="s">
        <v>55</v>
      </c>
      <c r="BH62" t="s">
        <v>58</v>
      </c>
      <c r="BI62" t="s">
        <v>58</v>
      </c>
    </row>
    <row r="63" spans="1:61" x14ac:dyDescent="0.25">
      <c r="A63" t="str" cm="1">
        <f t="array" ref="A63">_xlfn.IFS(AS63="RegularSeason",C63,AS63&lt;&gt;"RegularSeason",R63)</f>
        <v>00101101010010100000000000010110</v>
      </c>
      <c r="B63" t="str" cm="1">
        <f t="array" ref="B63">_xlfn.IFS(AS63="RegularSeason",D63,AS63&lt;&gt;"RegularSeason",K63)</f>
        <v>00101101010010100000000000010000</v>
      </c>
      <c r="C63" t="str">
        <f t="shared" si="0"/>
        <v>00101101010010100000000000010111</v>
      </c>
      <c r="D63" t="str">
        <f t="shared" si="1"/>
        <v>00101101010010100000000000001110</v>
      </c>
      <c r="E63" t="str" cm="1">
        <f t="array" ref="E63">_xlfn.XLOOKUP(_xlfn.XLOOKUP(G63,New!A:A,New!M:M,NONE),TeamIdentity!A:A,TeamIdentity!C:C,NONE)</f>
        <v>00010111</v>
      </c>
      <c r="F63" t="str" cm="1">
        <f t="array" ref="F63">_xlfn.XLOOKUP(_xlfn.XLOOKUP(G63,New!A:A,New!F:F,NONE),TeamIdentity!A:A,TeamIdentity!C:C,NONE)</f>
        <v>00001110</v>
      </c>
      <c r="G63" t="str">
        <f t="shared" si="2"/>
        <v>1-2</v>
      </c>
      <c r="H63" t="s">
        <v>54</v>
      </c>
      <c r="I63" t="s">
        <v>54</v>
      </c>
      <c r="J63" t="s">
        <v>54</v>
      </c>
      <c r="K63" t="s">
        <v>519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522</v>
      </c>
      <c r="S63">
        <v>-1</v>
      </c>
      <c r="T63">
        <v>0</v>
      </c>
      <c r="U63">
        <v>-1</v>
      </c>
      <c r="V63">
        <v>0</v>
      </c>
      <c r="W63" t="s">
        <v>70</v>
      </c>
      <c r="X63">
        <v>0</v>
      </c>
      <c r="Y63">
        <v>0</v>
      </c>
      <c r="Z63">
        <v>1200</v>
      </c>
      <c r="AA63" t="s">
        <v>57</v>
      </c>
      <c r="AB63">
        <v>0</v>
      </c>
      <c r="AC63">
        <v>0</v>
      </c>
      <c r="AD63">
        <v>0</v>
      </c>
      <c r="AE63">
        <v>0</v>
      </c>
      <c r="AF63" t="s">
        <v>67</v>
      </c>
      <c r="AG63">
        <v>0</v>
      </c>
      <c r="AH63">
        <v>0</v>
      </c>
      <c r="AI63">
        <v>0</v>
      </c>
      <c r="AJ63">
        <v>0</v>
      </c>
      <c r="AK63" t="s">
        <v>60</v>
      </c>
      <c r="AL63">
        <v>0</v>
      </c>
      <c r="AM63">
        <v>0</v>
      </c>
      <c r="AN63">
        <v>0</v>
      </c>
      <c r="AO63">
        <v>0</v>
      </c>
      <c r="AP63" t="b">
        <v>0</v>
      </c>
      <c r="AQ63" t="s">
        <v>58</v>
      </c>
      <c r="AR63" t="s">
        <v>58</v>
      </c>
      <c r="AS63" t="s">
        <v>66</v>
      </c>
      <c r="AT63">
        <v>14</v>
      </c>
      <c r="AU63">
        <v>1</v>
      </c>
      <c r="AV63">
        <v>2</v>
      </c>
      <c r="AW63">
        <v>11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s">
        <v>61</v>
      </c>
      <c r="BF63" t="s">
        <v>57</v>
      </c>
      <c r="BG63" t="s">
        <v>55</v>
      </c>
      <c r="BH63" t="s">
        <v>58</v>
      </c>
      <c r="BI63" t="s">
        <v>58</v>
      </c>
    </row>
    <row r="64" spans="1:61" x14ac:dyDescent="0.25">
      <c r="A64" t="str" cm="1">
        <f t="array" ref="A64">_xlfn.IFS(AS64="RegularSeason",C64,AS64&lt;&gt;"RegularSeason",R64)</f>
        <v>00101101010010100000000000010001</v>
      </c>
      <c r="B64" t="str" cm="1">
        <f t="array" ref="B64">_xlfn.IFS(AS64="RegularSeason",D64,AS64&lt;&gt;"RegularSeason",K64)</f>
        <v>00101101010010100000000000001100</v>
      </c>
      <c r="C64" t="str">
        <f t="shared" si="0"/>
        <v>00101101010010100000000000010001</v>
      </c>
      <c r="D64" t="str">
        <f t="shared" si="1"/>
        <v>00101101010010100000000000001100</v>
      </c>
      <c r="E64" t="str" cm="1">
        <f t="array" ref="E64">_xlfn.XLOOKUP(_xlfn.XLOOKUP(G64,New!A:A,New!M:M,NONE),TeamIdentity!A:A,TeamIdentity!C:C,NONE)</f>
        <v>00010001</v>
      </c>
      <c r="F64" t="str" cm="1">
        <f t="array" ref="F64">_xlfn.XLOOKUP(_xlfn.XLOOKUP(G64,New!A:A,New!F:F,NONE),TeamIdentity!A:A,TeamIdentity!C:C,NONE)</f>
        <v>00001100</v>
      </c>
      <c r="G64" t="str">
        <f t="shared" si="2"/>
        <v>0-10</v>
      </c>
      <c r="H64" t="s">
        <v>54</v>
      </c>
      <c r="I64" t="s">
        <v>54</v>
      </c>
      <c r="J64" t="s">
        <v>54</v>
      </c>
      <c r="K64" t="s">
        <v>516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531</v>
      </c>
      <c r="S64">
        <v>-1</v>
      </c>
      <c r="T64">
        <v>0</v>
      </c>
      <c r="U64">
        <v>-1</v>
      </c>
      <c r="V64">
        <v>0</v>
      </c>
      <c r="W64" t="s">
        <v>70</v>
      </c>
      <c r="X64">
        <v>0</v>
      </c>
      <c r="Y64">
        <v>0</v>
      </c>
      <c r="Z64">
        <v>975</v>
      </c>
      <c r="AA64" t="s">
        <v>57</v>
      </c>
      <c r="AB64">
        <v>0</v>
      </c>
      <c r="AC64">
        <v>0</v>
      </c>
      <c r="AD64">
        <v>0</v>
      </c>
      <c r="AE64">
        <v>0</v>
      </c>
      <c r="AF64" t="s">
        <v>67</v>
      </c>
      <c r="AG64">
        <v>0</v>
      </c>
      <c r="AH64">
        <v>0</v>
      </c>
      <c r="AI64">
        <v>0</v>
      </c>
      <c r="AJ64">
        <v>0</v>
      </c>
      <c r="AK64" t="s">
        <v>60</v>
      </c>
      <c r="AL64">
        <v>0</v>
      </c>
      <c r="AM64">
        <v>0</v>
      </c>
      <c r="AN64">
        <v>0</v>
      </c>
      <c r="AO64">
        <v>0</v>
      </c>
      <c r="AP64" t="b">
        <v>0</v>
      </c>
      <c r="AQ64" t="s">
        <v>58</v>
      </c>
      <c r="AR64" t="s">
        <v>58</v>
      </c>
      <c r="AS64" t="s">
        <v>71</v>
      </c>
      <c r="AT64">
        <v>14</v>
      </c>
      <c r="AU64">
        <v>0</v>
      </c>
      <c r="AV64">
        <v>10</v>
      </c>
      <c r="AW64">
        <v>11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s">
        <v>61</v>
      </c>
      <c r="BF64" t="s">
        <v>57</v>
      </c>
      <c r="BG64" t="s">
        <v>55</v>
      </c>
      <c r="BH64" t="s">
        <v>58</v>
      </c>
      <c r="BI64" t="s">
        <v>58</v>
      </c>
    </row>
    <row r="65" spans="1:61" x14ac:dyDescent="0.25">
      <c r="A65" t="str" cm="1">
        <f t="array" ref="A65">_xlfn.IFS(AS65="RegularSeason",C65,AS65&lt;&gt;"RegularSeason",R65)</f>
        <v>00101101010010100000000000011011</v>
      </c>
      <c r="B65" t="str" cm="1">
        <f t="array" ref="B65">_xlfn.IFS(AS65="RegularSeason",D65,AS65&lt;&gt;"RegularSeason",K65)</f>
        <v>00101101010010100000000000100010</v>
      </c>
      <c r="C65" t="str">
        <f t="shared" si="0"/>
        <v>00101101010010100000000000011011</v>
      </c>
      <c r="D65" t="str">
        <f t="shared" si="1"/>
        <v>00101101010010100000000000100010</v>
      </c>
      <c r="E65" t="str" cm="1">
        <f t="array" ref="E65">_xlfn.XLOOKUP(_xlfn.XLOOKUP(G65,New!A:A,New!M:M,NONE),TeamIdentity!A:A,TeamIdentity!C:C,NONE)</f>
        <v>00011011</v>
      </c>
      <c r="F65" t="str" cm="1">
        <f t="array" ref="F65">_xlfn.XLOOKUP(_xlfn.XLOOKUP(G65,New!A:A,New!F:F,NONE),TeamIdentity!A:A,TeamIdentity!C:C,NONE)</f>
        <v>00100010</v>
      </c>
      <c r="G65" t="str">
        <f t="shared" si="2"/>
        <v>1-8</v>
      </c>
      <c r="H65" t="s">
        <v>54</v>
      </c>
      <c r="I65" t="s">
        <v>54</v>
      </c>
      <c r="J65" t="s">
        <v>54</v>
      </c>
      <c r="K65" t="s">
        <v>512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537</v>
      </c>
      <c r="S65">
        <v>-1</v>
      </c>
      <c r="T65">
        <v>0</v>
      </c>
      <c r="U65">
        <v>-1</v>
      </c>
      <c r="V65">
        <v>0</v>
      </c>
      <c r="W65" t="s">
        <v>70</v>
      </c>
      <c r="X65">
        <v>0</v>
      </c>
      <c r="Y65">
        <v>0</v>
      </c>
      <c r="Z65">
        <v>965</v>
      </c>
      <c r="AA65" t="s">
        <v>57</v>
      </c>
      <c r="AB65">
        <v>0</v>
      </c>
      <c r="AC65">
        <v>0</v>
      </c>
      <c r="AD65">
        <v>0</v>
      </c>
      <c r="AE65">
        <v>0</v>
      </c>
      <c r="AF65" t="s">
        <v>67</v>
      </c>
      <c r="AG65">
        <v>0</v>
      </c>
      <c r="AH65">
        <v>0</v>
      </c>
      <c r="AI65">
        <v>0</v>
      </c>
      <c r="AJ65">
        <v>0</v>
      </c>
      <c r="AK65" t="s">
        <v>60</v>
      </c>
      <c r="AL65">
        <v>0</v>
      </c>
      <c r="AM65">
        <v>0</v>
      </c>
      <c r="AN65">
        <v>0</v>
      </c>
      <c r="AO65">
        <v>0</v>
      </c>
      <c r="AP65" t="b">
        <v>0</v>
      </c>
      <c r="AQ65" t="s">
        <v>58</v>
      </c>
      <c r="AR65" t="s">
        <v>58</v>
      </c>
      <c r="AS65" t="s">
        <v>71</v>
      </c>
      <c r="AT65">
        <v>14</v>
      </c>
      <c r="AU65">
        <v>1</v>
      </c>
      <c r="AV65">
        <v>8</v>
      </c>
      <c r="AW65">
        <v>11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s">
        <v>61</v>
      </c>
      <c r="BF65" t="s">
        <v>57</v>
      </c>
      <c r="BG65" t="s">
        <v>55</v>
      </c>
      <c r="BH65" t="s">
        <v>58</v>
      </c>
      <c r="BI65" t="s">
        <v>58</v>
      </c>
    </row>
    <row r="66" spans="1:61" x14ac:dyDescent="0.25">
      <c r="A66" t="str" cm="1">
        <f t="array" ref="A66">_xlfn.IFS(AS66="RegularSeason",C66,AS66&lt;&gt;"RegularSeason",R66)</f>
        <v>00101101010010100000000000010110</v>
      </c>
      <c r="B66" t="str" cm="1">
        <f t="array" ref="B66">_xlfn.IFS(AS66="RegularSeason",D66,AS66&lt;&gt;"RegularSeason",K66)</f>
        <v>00101101010010100000000000011011</v>
      </c>
      <c r="C66" t="str">
        <f t="shared" si="0"/>
        <v>00101101010010100000000000010110</v>
      </c>
      <c r="D66" t="str">
        <f t="shared" si="1"/>
        <v>00101101010010100000000000011011</v>
      </c>
      <c r="E66" t="str" cm="1">
        <f t="array" ref="E66">_xlfn.XLOOKUP(_xlfn.XLOOKUP(G66,New!A:A,New!M:M,NONE),TeamIdentity!A:A,TeamIdentity!C:C,NONE)</f>
        <v>00010110</v>
      </c>
      <c r="F66" t="str" cm="1">
        <f t="array" ref="F66">_xlfn.XLOOKUP(_xlfn.XLOOKUP(G66,New!A:A,New!F:F,NONE),TeamIdentity!A:A,TeamIdentity!C:C,NONE)</f>
        <v>00011011</v>
      </c>
      <c r="G66" t="str">
        <f t="shared" si="2"/>
        <v>2-0</v>
      </c>
      <c r="H66" t="s">
        <v>54</v>
      </c>
      <c r="I66" t="s">
        <v>54</v>
      </c>
      <c r="J66" t="s">
        <v>54</v>
      </c>
      <c r="K66" t="s">
        <v>522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535</v>
      </c>
      <c r="S66">
        <v>-1</v>
      </c>
      <c r="T66">
        <v>0</v>
      </c>
      <c r="U66">
        <v>-1</v>
      </c>
      <c r="V66">
        <v>0</v>
      </c>
      <c r="W66" t="s">
        <v>70</v>
      </c>
      <c r="X66">
        <v>0</v>
      </c>
      <c r="Y66">
        <v>0</v>
      </c>
      <c r="Z66">
        <v>780</v>
      </c>
      <c r="AA66" t="s">
        <v>57</v>
      </c>
      <c r="AB66">
        <v>0</v>
      </c>
      <c r="AC66">
        <v>0</v>
      </c>
      <c r="AD66">
        <v>0</v>
      </c>
      <c r="AE66">
        <v>0</v>
      </c>
      <c r="AF66" t="s">
        <v>67</v>
      </c>
      <c r="AG66">
        <v>0</v>
      </c>
      <c r="AH66">
        <v>0</v>
      </c>
      <c r="AI66">
        <v>0</v>
      </c>
      <c r="AJ66">
        <v>0</v>
      </c>
      <c r="AK66" t="s">
        <v>60</v>
      </c>
      <c r="AL66">
        <v>0</v>
      </c>
      <c r="AM66">
        <v>0</v>
      </c>
      <c r="AN66">
        <v>0</v>
      </c>
      <c r="AO66">
        <v>0</v>
      </c>
      <c r="AP66" t="b">
        <v>0</v>
      </c>
      <c r="AQ66" t="s">
        <v>58</v>
      </c>
      <c r="AR66" t="s">
        <v>58</v>
      </c>
      <c r="AS66" t="s">
        <v>71</v>
      </c>
      <c r="AT66">
        <v>14</v>
      </c>
      <c r="AU66">
        <v>2</v>
      </c>
      <c r="AV66">
        <v>0</v>
      </c>
      <c r="AW66">
        <v>11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s">
        <v>61</v>
      </c>
      <c r="BF66" t="s">
        <v>57</v>
      </c>
      <c r="BG66" t="s">
        <v>55</v>
      </c>
      <c r="BH66" t="s">
        <v>58</v>
      </c>
      <c r="BI66" t="s">
        <v>58</v>
      </c>
    </row>
    <row r="67" spans="1:61" x14ac:dyDescent="0.25">
      <c r="A67" t="str" cm="1">
        <f t="array" ref="A67">_xlfn.IFS(AS67="RegularSeason",C67,AS67&lt;&gt;"RegularSeason",R67)</f>
        <v>00101101010010100000000000001011</v>
      </c>
      <c r="B67" t="str" cm="1">
        <f t="array" ref="B67">_xlfn.IFS(AS67="RegularSeason",D67,AS67&lt;&gt;"RegularSeason",K67)</f>
        <v>00101101010010100000000000011110</v>
      </c>
      <c r="C67" t="str">
        <f t="shared" ref="C67:C130" si="3">_xlfn.CONCAT(LEFT(R67,24),E67)</f>
        <v>00101101010010100000000000001011</v>
      </c>
      <c r="D67" t="str">
        <f t="shared" ref="D67:D130" si="4">_xlfn.CONCAT(LEFT(K67,24),F67)</f>
        <v>00101101010010100000000000011110</v>
      </c>
      <c r="E67" t="str" cm="1">
        <f t="array" ref="E67">_xlfn.XLOOKUP(_xlfn.XLOOKUP(G67,New!A:A,New!M:M,NONE),TeamIdentity!A:A,TeamIdentity!C:C,NONE)</f>
        <v>00001011</v>
      </c>
      <c r="F67" t="str" cm="1">
        <f t="array" ref="F67">_xlfn.XLOOKUP(_xlfn.XLOOKUP(G67,New!A:A,New!F:F,NONE),TeamIdentity!A:A,TeamIdentity!C:C,NONE)</f>
        <v>00011110</v>
      </c>
      <c r="G67" t="str">
        <f t="shared" ref="G67:G130" si="5">_xlfn.CONCAT(AU67,"-",AV67)</f>
        <v>1-1</v>
      </c>
      <c r="H67" t="s">
        <v>54</v>
      </c>
      <c r="I67" t="s">
        <v>54</v>
      </c>
      <c r="J67" t="s">
        <v>54</v>
      </c>
      <c r="K67" t="s">
        <v>540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524</v>
      </c>
      <c r="S67">
        <v>-1</v>
      </c>
      <c r="T67">
        <v>0</v>
      </c>
      <c r="U67">
        <v>-1</v>
      </c>
      <c r="V67">
        <v>0</v>
      </c>
      <c r="W67" t="s">
        <v>70</v>
      </c>
      <c r="X67">
        <v>0</v>
      </c>
      <c r="Y67">
        <v>0</v>
      </c>
      <c r="Z67">
        <v>780</v>
      </c>
      <c r="AA67" t="s">
        <v>57</v>
      </c>
      <c r="AB67">
        <v>0</v>
      </c>
      <c r="AC67">
        <v>0</v>
      </c>
      <c r="AD67">
        <v>0</v>
      </c>
      <c r="AE67">
        <v>0</v>
      </c>
      <c r="AF67" t="s">
        <v>67</v>
      </c>
      <c r="AG67">
        <v>0</v>
      </c>
      <c r="AH67">
        <v>0</v>
      </c>
      <c r="AI67">
        <v>0</v>
      </c>
      <c r="AJ67">
        <v>0</v>
      </c>
      <c r="AK67" t="s">
        <v>60</v>
      </c>
      <c r="AL67">
        <v>0</v>
      </c>
      <c r="AM67">
        <v>0</v>
      </c>
      <c r="AN67">
        <v>0</v>
      </c>
      <c r="AO67">
        <v>0</v>
      </c>
      <c r="AP67" t="b">
        <v>0</v>
      </c>
      <c r="AQ67" t="s">
        <v>58</v>
      </c>
      <c r="AR67" t="s">
        <v>58</v>
      </c>
      <c r="AS67" t="s">
        <v>71</v>
      </c>
      <c r="AT67">
        <v>14</v>
      </c>
      <c r="AU67">
        <v>1</v>
      </c>
      <c r="AV67">
        <v>1</v>
      </c>
      <c r="AW67">
        <v>11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s">
        <v>61</v>
      </c>
      <c r="BF67" t="s">
        <v>57</v>
      </c>
      <c r="BG67" t="s">
        <v>55</v>
      </c>
      <c r="BH67" t="s">
        <v>58</v>
      </c>
      <c r="BI67" t="s">
        <v>58</v>
      </c>
    </row>
    <row r="68" spans="1:61" x14ac:dyDescent="0.25">
      <c r="A68" t="str" cm="1">
        <f t="array" ref="A68">_xlfn.IFS(AS68="RegularSeason",C68,AS68&lt;&gt;"RegularSeason",R68)</f>
        <v>00101101010010100000000000100100</v>
      </c>
      <c r="B68" t="str" cm="1">
        <f t="array" ref="B68">_xlfn.IFS(AS68="RegularSeason",D68,AS68&lt;&gt;"RegularSeason",K68)</f>
        <v>00101101010010100000000000001010</v>
      </c>
      <c r="C68" t="str">
        <f t="shared" si="3"/>
        <v>00101101010010100000000000100100</v>
      </c>
      <c r="D68" t="str">
        <f t="shared" si="4"/>
        <v>00101101010010100000000000001010</v>
      </c>
      <c r="E68" t="str" cm="1">
        <f t="array" ref="E68">_xlfn.XLOOKUP(_xlfn.XLOOKUP(G68,New!A:A,New!M:M,NONE),TeamIdentity!A:A,TeamIdentity!C:C,NONE)</f>
        <v>00100100</v>
      </c>
      <c r="F68" t="str" cm="1">
        <f t="array" ref="F68">_xlfn.XLOOKUP(_xlfn.XLOOKUP(G68,New!A:A,New!F:F,NONE),TeamIdentity!A:A,TeamIdentity!C:C,NONE)</f>
        <v>00001010</v>
      </c>
      <c r="G68" t="str">
        <f t="shared" si="5"/>
        <v>1-10</v>
      </c>
      <c r="H68" t="s">
        <v>54</v>
      </c>
      <c r="I68" t="s">
        <v>54</v>
      </c>
      <c r="J68" t="s">
        <v>54</v>
      </c>
      <c r="K68" t="s">
        <v>534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533</v>
      </c>
      <c r="S68">
        <v>-1</v>
      </c>
      <c r="T68">
        <v>0</v>
      </c>
      <c r="U68">
        <v>-1</v>
      </c>
      <c r="V68">
        <v>0</v>
      </c>
      <c r="W68" t="s">
        <v>70</v>
      </c>
      <c r="X68">
        <v>0</v>
      </c>
      <c r="Y68">
        <v>0</v>
      </c>
      <c r="Z68">
        <v>975</v>
      </c>
      <c r="AA68" t="s">
        <v>57</v>
      </c>
      <c r="AB68">
        <v>0</v>
      </c>
      <c r="AC68">
        <v>0</v>
      </c>
      <c r="AD68">
        <v>0</v>
      </c>
      <c r="AE68">
        <v>0</v>
      </c>
      <c r="AF68" t="s">
        <v>67</v>
      </c>
      <c r="AG68">
        <v>0</v>
      </c>
      <c r="AH68">
        <v>0</v>
      </c>
      <c r="AI68">
        <v>0</v>
      </c>
      <c r="AJ68">
        <v>0</v>
      </c>
      <c r="AK68" t="s">
        <v>60</v>
      </c>
      <c r="AL68">
        <v>0</v>
      </c>
      <c r="AM68">
        <v>0</v>
      </c>
      <c r="AN68">
        <v>0</v>
      </c>
      <c r="AO68">
        <v>0</v>
      </c>
      <c r="AP68" t="b">
        <v>0</v>
      </c>
      <c r="AQ68" t="s">
        <v>58</v>
      </c>
      <c r="AR68" t="s">
        <v>58</v>
      </c>
      <c r="AS68" t="s">
        <v>71</v>
      </c>
      <c r="AT68">
        <v>14</v>
      </c>
      <c r="AU68">
        <v>1</v>
      </c>
      <c r="AV68">
        <v>10</v>
      </c>
      <c r="AW68">
        <v>11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s">
        <v>61</v>
      </c>
      <c r="BF68" t="s">
        <v>57</v>
      </c>
      <c r="BG68" t="s">
        <v>55</v>
      </c>
      <c r="BH68" t="s">
        <v>58</v>
      </c>
      <c r="BI68" t="s">
        <v>58</v>
      </c>
    </row>
    <row r="69" spans="1:61" x14ac:dyDescent="0.25">
      <c r="A69" t="str" cm="1">
        <f t="array" ref="A69">_xlfn.IFS(AS69="RegularSeason",C69,AS69&lt;&gt;"RegularSeason",R69)</f>
        <v>00101101010010100000000000010011</v>
      </c>
      <c r="B69" t="str" cm="1">
        <f t="array" ref="B69">_xlfn.IFS(AS69="RegularSeason",D69,AS69&lt;&gt;"RegularSeason",K69)</f>
        <v>00101101010010100000000000001101</v>
      </c>
      <c r="C69" t="str">
        <f t="shared" si="3"/>
        <v>00101101010010100000000000010011</v>
      </c>
      <c r="D69" t="str">
        <f t="shared" si="4"/>
        <v>00101101010010100000000000001101</v>
      </c>
      <c r="E69" t="str" cm="1">
        <f t="array" ref="E69">_xlfn.XLOOKUP(_xlfn.XLOOKUP(G69,New!A:A,New!M:M,NONE),TeamIdentity!A:A,TeamIdentity!C:C,NONE)</f>
        <v>00010011</v>
      </c>
      <c r="F69" t="str" cm="1">
        <f t="array" ref="F69">_xlfn.XLOOKUP(_xlfn.XLOOKUP(G69,New!A:A,New!F:F,NONE),TeamIdentity!A:A,TeamIdentity!C:C,NONE)</f>
        <v>00001101</v>
      </c>
      <c r="G69" t="str">
        <f t="shared" si="5"/>
        <v>1-14</v>
      </c>
      <c r="H69" t="s">
        <v>54</v>
      </c>
      <c r="I69" t="s">
        <v>54</v>
      </c>
      <c r="J69" t="s">
        <v>54</v>
      </c>
      <c r="K69" t="s">
        <v>530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520</v>
      </c>
      <c r="S69">
        <v>-1</v>
      </c>
      <c r="T69">
        <v>0</v>
      </c>
      <c r="U69">
        <v>-1</v>
      </c>
      <c r="V69">
        <v>0</v>
      </c>
      <c r="W69" t="s">
        <v>70</v>
      </c>
      <c r="X69">
        <v>0</v>
      </c>
      <c r="Y69">
        <v>0</v>
      </c>
      <c r="Z69">
        <v>1230</v>
      </c>
      <c r="AA69" t="s">
        <v>57</v>
      </c>
      <c r="AB69">
        <v>0</v>
      </c>
      <c r="AC69">
        <v>0</v>
      </c>
      <c r="AD69">
        <v>0</v>
      </c>
      <c r="AE69">
        <v>0</v>
      </c>
      <c r="AF69" t="s">
        <v>65</v>
      </c>
      <c r="AG69">
        <v>0</v>
      </c>
      <c r="AH69">
        <v>0</v>
      </c>
      <c r="AI69">
        <v>0</v>
      </c>
      <c r="AJ69">
        <v>0</v>
      </c>
      <c r="AK69" t="s">
        <v>65</v>
      </c>
      <c r="AL69">
        <v>0</v>
      </c>
      <c r="AM69">
        <v>0</v>
      </c>
      <c r="AN69">
        <v>0</v>
      </c>
      <c r="AO69">
        <v>0</v>
      </c>
      <c r="AP69" t="b">
        <v>0</v>
      </c>
      <c r="AQ69" t="s">
        <v>58</v>
      </c>
      <c r="AR69" t="s">
        <v>58</v>
      </c>
      <c r="AS69" t="s">
        <v>71</v>
      </c>
      <c r="AT69">
        <v>14</v>
      </c>
      <c r="AU69">
        <v>1</v>
      </c>
      <c r="AV69">
        <v>14</v>
      </c>
      <c r="AW69">
        <v>11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s">
        <v>61</v>
      </c>
      <c r="BF69" t="s">
        <v>57</v>
      </c>
      <c r="BG69" t="s">
        <v>55</v>
      </c>
      <c r="BH69" t="s">
        <v>58</v>
      </c>
      <c r="BI69" t="s">
        <v>58</v>
      </c>
    </row>
    <row r="70" spans="1:61" x14ac:dyDescent="0.25">
      <c r="A70" t="str" cm="1">
        <f t="array" ref="A70">_xlfn.IFS(AS70="RegularSeason",C70,AS70&lt;&gt;"RegularSeason",R70)</f>
        <v>00101101010010100000000000001110</v>
      </c>
      <c r="B70" t="str" cm="1">
        <f t="array" ref="B70">_xlfn.IFS(AS70="RegularSeason",D70,AS70&lt;&gt;"RegularSeason",K70)</f>
        <v>00101101010010100000000000010011</v>
      </c>
      <c r="C70" t="str">
        <f t="shared" si="3"/>
        <v>00101101010010100000000000001110</v>
      </c>
      <c r="D70" t="str">
        <f t="shared" si="4"/>
        <v>00101101010010100000000000010011</v>
      </c>
      <c r="E70" t="str" cm="1">
        <f t="array" ref="E70">_xlfn.XLOOKUP(_xlfn.XLOOKUP(G70,New!A:A,New!M:M,NONE),TeamIdentity!A:A,TeamIdentity!C:C,NONE)</f>
        <v>00001110</v>
      </c>
      <c r="F70" t="str" cm="1">
        <f t="array" ref="F70">_xlfn.XLOOKUP(_xlfn.XLOOKUP(G70,New!A:A,New!F:F,NONE),TeamIdentity!A:A,TeamIdentity!C:C,NONE)</f>
        <v>00010011</v>
      </c>
      <c r="G70" t="str">
        <f t="shared" si="5"/>
        <v>0-15</v>
      </c>
      <c r="H70" t="s">
        <v>54</v>
      </c>
      <c r="I70" t="s">
        <v>54</v>
      </c>
      <c r="J70" t="s">
        <v>54</v>
      </c>
      <c r="K70" t="s">
        <v>539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541</v>
      </c>
      <c r="S70">
        <v>-1</v>
      </c>
      <c r="T70">
        <v>0</v>
      </c>
      <c r="U70">
        <v>-1</v>
      </c>
      <c r="V70">
        <v>0</v>
      </c>
      <c r="W70" t="s">
        <v>70</v>
      </c>
      <c r="X70">
        <v>0</v>
      </c>
      <c r="Y70">
        <v>0</v>
      </c>
      <c r="Z70">
        <v>1230</v>
      </c>
      <c r="AA70" t="s">
        <v>57</v>
      </c>
      <c r="AB70">
        <v>0</v>
      </c>
      <c r="AC70">
        <v>0</v>
      </c>
      <c r="AD70">
        <v>0</v>
      </c>
      <c r="AE70">
        <v>0</v>
      </c>
      <c r="AF70" t="s">
        <v>68</v>
      </c>
      <c r="AG70">
        <v>0</v>
      </c>
      <c r="AH70">
        <v>0</v>
      </c>
      <c r="AI70">
        <v>0</v>
      </c>
      <c r="AJ70">
        <v>0</v>
      </c>
      <c r="AK70" t="s">
        <v>68</v>
      </c>
      <c r="AL70">
        <v>0</v>
      </c>
      <c r="AM70">
        <v>0</v>
      </c>
      <c r="AN70">
        <v>0</v>
      </c>
      <c r="AO70">
        <v>0</v>
      </c>
      <c r="AP70" t="b">
        <v>0</v>
      </c>
      <c r="AQ70" t="s">
        <v>58</v>
      </c>
      <c r="AR70" t="s">
        <v>58</v>
      </c>
      <c r="AS70" t="s">
        <v>71</v>
      </c>
      <c r="AT70">
        <v>14</v>
      </c>
      <c r="AU70">
        <v>0</v>
      </c>
      <c r="AV70">
        <v>15</v>
      </c>
      <c r="AW70">
        <v>11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s">
        <v>61</v>
      </c>
      <c r="BF70" t="s">
        <v>57</v>
      </c>
      <c r="BG70" t="s">
        <v>55</v>
      </c>
      <c r="BH70" t="s">
        <v>58</v>
      </c>
      <c r="BI70" t="s">
        <v>58</v>
      </c>
    </row>
    <row r="71" spans="1:61" x14ac:dyDescent="0.25">
      <c r="A71" t="str" cm="1">
        <f t="array" ref="A71">_xlfn.IFS(AS71="RegularSeason",C71,AS71&lt;&gt;"RegularSeason",R71)</f>
        <v>00101101010010100000000000010111</v>
      </c>
      <c r="B71" t="str" cm="1">
        <f t="array" ref="B71">_xlfn.IFS(AS71="RegularSeason",D71,AS71&lt;&gt;"RegularSeason",K71)</f>
        <v>00101101010010100000000000001110</v>
      </c>
      <c r="C71" t="str">
        <f t="shared" si="3"/>
        <v>00101101010010100000000000010111</v>
      </c>
      <c r="D71" t="str">
        <f t="shared" si="4"/>
        <v>00101101010010100000000000001110</v>
      </c>
      <c r="E71" t="str" cm="1">
        <f t="array" ref="E71">_xlfn.XLOOKUP(_xlfn.XLOOKUP(G71,New!A:A,New!M:M,NONE),TeamIdentity!A:A,TeamIdentity!C:C,NONE)</f>
        <v>00010111</v>
      </c>
      <c r="F71" t="str" cm="1">
        <f t="array" ref="F71">_xlfn.XLOOKUP(_xlfn.XLOOKUP(G71,New!A:A,New!F:F,NONE),TeamIdentity!A:A,TeamIdentity!C:C,NONE)</f>
        <v>00001110</v>
      </c>
      <c r="G71" t="str">
        <f t="shared" si="5"/>
        <v>1-2</v>
      </c>
      <c r="H71" t="s">
        <v>54</v>
      </c>
      <c r="I71" t="s">
        <v>54</v>
      </c>
      <c r="J71" t="s">
        <v>54</v>
      </c>
      <c r="K71" t="s">
        <v>536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516</v>
      </c>
      <c r="S71">
        <v>-1</v>
      </c>
      <c r="T71">
        <v>0</v>
      </c>
      <c r="U71">
        <v>-1</v>
      </c>
      <c r="V71">
        <v>0</v>
      </c>
      <c r="W71" t="s">
        <v>70</v>
      </c>
      <c r="X71">
        <v>0</v>
      </c>
      <c r="Y71">
        <v>0</v>
      </c>
      <c r="Z71">
        <v>780</v>
      </c>
      <c r="AA71" t="s">
        <v>57</v>
      </c>
      <c r="AB71">
        <v>0</v>
      </c>
      <c r="AC71">
        <v>0</v>
      </c>
      <c r="AD71">
        <v>0</v>
      </c>
      <c r="AE71">
        <v>0</v>
      </c>
      <c r="AF71" t="s">
        <v>67</v>
      </c>
      <c r="AG71">
        <v>0</v>
      </c>
      <c r="AH71">
        <v>0</v>
      </c>
      <c r="AI71">
        <v>0</v>
      </c>
      <c r="AJ71">
        <v>0</v>
      </c>
      <c r="AK71" t="s">
        <v>60</v>
      </c>
      <c r="AL71">
        <v>0</v>
      </c>
      <c r="AM71">
        <v>0</v>
      </c>
      <c r="AN71">
        <v>0</v>
      </c>
      <c r="AO71">
        <v>0</v>
      </c>
      <c r="AP71" t="b">
        <v>0</v>
      </c>
      <c r="AQ71" t="s">
        <v>58</v>
      </c>
      <c r="AR71" t="s">
        <v>58</v>
      </c>
      <c r="AS71" t="s">
        <v>71</v>
      </c>
      <c r="AT71">
        <v>14</v>
      </c>
      <c r="AU71">
        <v>1</v>
      </c>
      <c r="AV71">
        <v>2</v>
      </c>
      <c r="AW71">
        <v>11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s">
        <v>61</v>
      </c>
      <c r="BF71" t="s">
        <v>57</v>
      </c>
      <c r="BG71" t="s">
        <v>55</v>
      </c>
      <c r="BH71" t="s">
        <v>58</v>
      </c>
      <c r="BI71" t="s">
        <v>58</v>
      </c>
    </row>
    <row r="72" spans="1:61" x14ac:dyDescent="0.25">
      <c r="A72" t="str" cm="1">
        <f t="array" ref="A72">_xlfn.IFS(AS72="RegularSeason",C72,AS72&lt;&gt;"RegularSeason",R72)</f>
        <v>00101101010010100000000000011110</v>
      </c>
      <c r="B72" t="str" cm="1">
        <f t="array" ref="B72">_xlfn.IFS(AS72="RegularSeason",D72,AS72&lt;&gt;"RegularSeason",K72)</f>
        <v>00101101010010100000000000010101</v>
      </c>
      <c r="C72" t="str">
        <f t="shared" si="3"/>
        <v>00101101010010100000000000011110</v>
      </c>
      <c r="D72" t="str">
        <f t="shared" si="4"/>
        <v>00101101010010100000000000010101</v>
      </c>
      <c r="E72" t="str" cm="1">
        <f t="array" ref="E72">_xlfn.XLOOKUP(_xlfn.XLOOKUP(G72,New!A:A,New!M:M,NONE),TeamIdentity!A:A,TeamIdentity!C:C,NONE)</f>
        <v>00011110</v>
      </c>
      <c r="F72" t="str" cm="1">
        <f t="array" ref="F72">_xlfn.XLOOKUP(_xlfn.XLOOKUP(G72,New!A:A,New!F:F,NONE),TeamIdentity!A:A,TeamIdentity!C:C,NONE)</f>
        <v>00010101</v>
      </c>
      <c r="G72" t="str">
        <f t="shared" si="5"/>
        <v>2-14</v>
      </c>
      <c r="H72" t="s">
        <v>54</v>
      </c>
      <c r="I72" t="s">
        <v>54</v>
      </c>
      <c r="J72" t="s">
        <v>54</v>
      </c>
      <c r="K72" t="s">
        <v>524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512</v>
      </c>
      <c r="S72">
        <v>-1</v>
      </c>
      <c r="T72">
        <v>0</v>
      </c>
      <c r="U72">
        <v>-1</v>
      </c>
      <c r="V72">
        <v>0</v>
      </c>
      <c r="W72" t="s">
        <v>70</v>
      </c>
      <c r="X72">
        <v>0</v>
      </c>
      <c r="Y72">
        <v>0</v>
      </c>
      <c r="Z72">
        <v>1230</v>
      </c>
      <c r="AA72" t="s">
        <v>57</v>
      </c>
      <c r="AB72">
        <v>0</v>
      </c>
      <c r="AC72">
        <v>0</v>
      </c>
      <c r="AD72">
        <v>0</v>
      </c>
      <c r="AE72">
        <v>0</v>
      </c>
      <c r="AF72" t="s">
        <v>65</v>
      </c>
      <c r="AG72">
        <v>0</v>
      </c>
      <c r="AH72">
        <v>0</v>
      </c>
      <c r="AI72">
        <v>0</v>
      </c>
      <c r="AJ72">
        <v>0</v>
      </c>
      <c r="AK72" t="s">
        <v>65</v>
      </c>
      <c r="AL72">
        <v>0</v>
      </c>
      <c r="AM72">
        <v>0</v>
      </c>
      <c r="AN72">
        <v>0</v>
      </c>
      <c r="AO72">
        <v>0</v>
      </c>
      <c r="AP72" t="b">
        <v>0</v>
      </c>
      <c r="AQ72" t="s">
        <v>58</v>
      </c>
      <c r="AR72" t="s">
        <v>58</v>
      </c>
      <c r="AS72" t="s">
        <v>71</v>
      </c>
      <c r="AT72">
        <v>14</v>
      </c>
      <c r="AU72">
        <v>2</v>
      </c>
      <c r="AV72">
        <v>14</v>
      </c>
      <c r="AW72">
        <v>11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s">
        <v>61</v>
      </c>
      <c r="BF72" t="s">
        <v>57</v>
      </c>
      <c r="BG72" t="s">
        <v>55</v>
      </c>
      <c r="BH72" t="s">
        <v>58</v>
      </c>
      <c r="BI72" t="s">
        <v>58</v>
      </c>
    </row>
    <row r="73" spans="1:61" x14ac:dyDescent="0.25">
      <c r="A73" t="str" cm="1">
        <f t="array" ref="A73">_xlfn.IFS(AS73="RegularSeason",C73,AS73&lt;&gt;"RegularSeason",R73)</f>
        <v>00101101010010100000000000000100</v>
      </c>
      <c r="B73" t="str" cm="1">
        <f t="array" ref="B73">_xlfn.IFS(AS73="RegularSeason",D73,AS73&lt;&gt;"RegularSeason",K73)</f>
        <v>00101101010010100000000000011100</v>
      </c>
      <c r="C73" t="str">
        <f t="shared" si="3"/>
        <v>00101101010010100000000000000100</v>
      </c>
      <c r="D73" t="str">
        <f t="shared" si="4"/>
        <v>00101101010010100000000000011100</v>
      </c>
      <c r="E73" t="str" cm="1">
        <f t="array" ref="E73">_xlfn.XLOOKUP(_xlfn.XLOOKUP(G73,New!A:A,New!M:M,NONE),TeamIdentity!A:A,TeamIdentity!C:C,NONE)</f>
        <v>00000100</v>
      </c>
      <c r="F73" t="str" cm="1">
        <f t="array" ref="F73">_xlfn.XLOOKUP(_xlfn.XLOOKUP(G73,New!A:A,New!F:F,NONE),TeamIdentity!A:A,TeamIdentity!C:C,NONE)</f>
        <v>00011100</v>
      </c>
      <c r="G73" t="str">
        <f t="shared" si="5"/>
        <v>1-3</v>
      </c>
      <c r="H73" t="s">
        <v>54</v>
      </c>
      <c r="I73" t="s">
        <v>54</v>
      </c>
      <c r="J73" t="s">
        <v>54</v>
      </c>
      <c r="K73" t="s">
        <v>531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517</v>
      </c>
      <c r="S73">
        <v>-1</v>
      </c>
      <c r="T73">
        <v>0</v>
      </c>
      <c r="U73">
        <v>-1</v>
      </c>
      <c r="V73">
        <v>0</v>
      </c>
      <c r="W73" t="s">
        <v>70</v>
      </c>
      <c r="X73">
        <v>0</v>
      </c>
      <c r="Y73">
        <v>0</v>
      </c>
      <c r="Z73">
        <v>780</v>
      </c>
      <c r="AA73" t="s">
        <v>57</v>
      </c>
      <c r="AB73">
        <v>0</v>
      </c>
      <c r="AC73">
        <v>0</v>
      </c>
      <c r="AD73">
        <v>0</v>
      </c>
      <c r="AE73">
        <v>0</v>
      </c>
      <c r="AF73" t="s">
        <v>67</v>
      </c>
      <c r="AG73">
        <v>0</v>
      </c>
      <c r="AH73">
        <v>0</v>
      </c>
      <c r="AI73">
        <v>0</v>
      </c>
      <c r="AJ73">
        <v>0</v>
      </c>
      <c r="AK73" t="s">
        <v>60</v>
      </c>
      <c r="AL73">
        <v>0</v>
      </c>
      <c r="AM73">
        <v>0</v>
      </c>
      <c r="AN73">
        <v>0</v>
      </c>
      <c r="AO73">
        <v>0</v>
      </c>
      <c r="AP73" t="b">
        <v>0</v>
      </c>
      <c r="AQ73" t="s">
        <v>58</v>
      </c>
      <c r="AR73" t="s">
        <v>58</v>
      </c>
      <c r="AS73" t="s">
        <v>71</v>
      </c>
      <c r="AT73">
        <v>14</v>
      </c>
      <c r="AU73">
        <v>1</v>
      </c>
      <c r="AV73">
        <v>3</v>
      </c>
      <c r="AW73">
        <v>11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s">
        <v>61</v>
      </c>
      <c r="BF73" t="s">
        <v>57</v>
      </c>
      <c r="BG73" t="s">
        <v>55</v>
      </c>
      <c r="BH73" t="s">
        <v>58</v>
      </c>
      <c r="BI73" t="s">
        <v>58</v>
      </c>
    </row>
    <row r="74" spans="1:61" x14ac:dyDescent="0.25">
      <c r="A74" t="str" cm="1">
        <f t="array" ref="A74">_xlfn.IFS(AS74="RegularSeason",C74,AS74&lt;&gt;"RegularSeason",R74)</f>
        <v>00101101010010100000000000000111</v>
      </c>
      <c r="B74" t="str" cm="1">
        <f t="array" ref="B74">_xlfn.IFS(AS74="RegularSeason",D74,AS74&lt;&gt;"RegularSeason",K74)</f>
        <v>00101101010010100000000000011101</v>
      </c>
      <c r="C74" t="str">
        <f t="shared" si="3"/>
        <v>00101101010010100000000000000111</v>
      </c>
      <c r="D74" t="str">
        <f t="shared" si="4"/>
        <v>00101101010010100000000000011101</v>
      </c>
      <c r="E74" t="str" cm="1">
        <f t="array" ref="E74">_xlfn.XLOOKUP(_xlfn.XLOOKUP(G74,New!A:A,New!M:M,NONE),TeamIdentity!A:A,TeamIdentity!C:C,NONE)</f>
        <v>00000111</v>
      </c>
      <c r="F74" t="str" cm="1">
        <f t="array" ref="F74">_xlfn.XLOOKUP(_xlfn.XLOOKUP(G74,New!A:A,New!F:F,NONE),TeamIdentity!A:A,TeamIdentity!C:C,NONE)</f>
        <v>00011101</v>
      </c>
      <c r="G74" t="str">
        <f t="shared" si="5"/>
        <v>1-15</v>
      </c>
      <c r="H74" t="s">
        <v>54</v>
      </c>
      <c r="I74" t="s">
        <v>54</v>
      </c>
      <c r="J74" t="s">
        <v>54</v>
      </c>
      <c r="K74" t="s">
        <v>542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521</v>
      </c>
      <c r="S74">
        <v>-1</v>
      </c>
      <c r="T74">
        <v>0</v>
      </c>
      <c r="U74">
        <v>-1</v>
      </c>
      <c r="V74">
        <v>0</v>
      </c>
      <c r="W74" t="s">
        <v>70</v>
      </c>
      <c r="X74">
        <v>0</v>
      </c>
      <c r="Y74">
        <v>0</v>
      </c>
      <c r="Z74">
        <v>1220</v>
      </c>
      <c r="AA74" t="s">
        <v>57</v>
      </c>
      <c r="AB74">
        <v>0</v>
      </c>
      <c r="AC74">
        <v>0</v>
      </c>
      <c r="AD74">
        <v>0</v>
      </c>
      <c r="AE74">
        <v>0</v>
      </c>
      <c r="AF74" t="s">
        <v>68</v>
      </c>
      <c r="AG74">
        <v>0</v>
      </c>
      <c r="AH74">
        <v>0</v>
      </c>
      <c r="AI74">
        <v>0</v>
      </c>
      <c r="AJ74">
        <v>0</v>
      </c>
      <c r="AK74" t="s">
        <v>68</v>
      </c>
      <c r="AL74">
        <v>0</v>
      </c>
      <c r="AM74">
        <v>0</v>
      </c>
      <c r="AN74">
        <v>0</v>
      </c>
      <c r="AO74">
        <v>0</v>
      </c>
      <c r="AP74" t="b">
        <v>0</v>
      </c>
      <c r="AQ74" t="s">
        <v>58</v>
      </c>
      <c r="AR74" t="s">
        <v>58</v>
      </c>
      <c r="AS74" t="s">
        <v>71</v>
      </c>
      <c r="AT74">
        <v>14</v>
      </c>
      <c r="AU74">
        <v>1</v>
      </c>
      <c r="AV74">
        <v>15</v>
      </c>
      <c r="AW74">
        <v>11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s">
        <v>61</v>
      </c>
      <c r="BF74" t="s">
        <v>57</v>
      </c>
      <c r="BG74" t="s">
        <v>55</v>
      </c>
      <c r="BH74" t="s">
        <v>58</v>
      </c>
      <c r="BI74" t="s">
        <v>58</v>
      </c>
    </row>
    <row r="75" spans="1:61" x14ac:dyDescent="0.25">
      <c r="A75" t="str" cm="1">
        <f t="array" ref="A75">_xlfn.IFS(AS75="RegularSeason",C75,AS75&lt;&gt;"RegularSeason",R75)</f>
        <v>00101101010010100000000000011101</v>
      </c>
      <c r="B75" t="str" cm="1">
        <f t="array" ref="B75">_xlfn.IFS(AS75="RegularSeason",D75,AS75&lt;&gt;"RegularSeason",K75)</f>
        <v>00101101010010100000000000000101</v>
      </c>
      <c r="C75" t="str">
        <f t="shared" si="3"/>
        <v>00101101010010100000000000011101</v>
      </c>
      <c r="D75" t="str">
        <f t="shared" si="4"/>
        <v>00101101010010100000000000000101</v>
      </c>
      <c r="E75" t="str" cm="1">
        <f t="array" ref="E75">_xlfn.XLOOKUP(_xlfn.XLOOKUP(G75,New!A:A,New!M:M,NONE),TeamIdentity!A:A,TeamIdentity!C:C,NONE)</f>
        <v>00011101</v>
      </c>
      <c r="F75" t="str" cm="1">
        <f t="array" ref="F75">_xlfn.XLOOKUP(_xlfn.XLOOKUP(G75,New!A:A,New!F:F,NONE),TeamIdentity!A:A,TeamIdentity!C:C,NONE)</f>
        <v>00000101</v>
      </c>
      <c r="G75" t="str">
        <f t="shared" si="5"/>
        <v>0-11</v>
      </c>
      <c r="H75" t="s">
        <v>54</v>
      </c>
      <c r="I75" t="s">
        <v>54</v>
      </c>
      <c r="J75" t="s">
        <v>54</v>
      </c>
      <c r="K75" t="s">
        <v>529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525</v>
      </c>
      <c r="S75">
        <v>-1</v>
      </c>
      <c r="T75">
        <v>0</v>
      </c>
      <c r="U75">
        <v>-1</v>
      </c>
      <c r="V75">
        <v>0</v>
      </c>
      <c r="W75" t="s">
        <v>70</v>
      </c>
      <c r="X75">
        <v>0</v>
      </c>
      <c r="Y75">
        <v>0</v>
      </c>
      <c r="Z75">
        <v>975</v>
      </c>
      <c r="AA75" t="s">
        <v>57</v>
      </c>
      <c r="AB75">
        <v>0</v>
      </c>
      <c r="AC75">
        <v>0</v>
      </c>
      <c r="AD75">
        <v>0</v>
      </c>
      <c r="AE75">
        <v>0</v>
      </c>
      <c r="AF75" t="s">
        <v>67</v>
      </c>
      <c r="AG75">
        <v>0</v>
      </c>
      <c r="AH75">
        <v>0</v>
      </c>
      <c r="AI75">
        <v>0</v>
      </c>
      <c r="AJ75">
        <v>0</v>
      </c>
      <c r="AK75" t="s">
        <v>60</v>
      </c>
      <c r="AL75">
        <v>0</v>
      </c>
      <c r="AM75">
        <v>0</v>
      </c>
      <c r="AN75">
        <v>0</v>
      </c>
      <c r="AO75">
        <v>0</v>
      </c>
      <c r="AP75" t="b">
        <v>0</v>
      </c>
      <c r="AQ75" t="s">
        <v>58</v>
      </c>
      <c r="AR75" t="s">
        <v>58</v>
      </c>
      <c r="AS75" t="s">
        <v>71</v>
      </c>
      <c r="AT75">
        <v>14</v>
      </c>
      <c r="AU75">
        <v>0</v>
      </c>
      <c r="AV75">
        <v>11</v>
      </c>
      <c r="AW75">
        <v>11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s">
        <v>61</v>
      </c>
      <c r="BF75" t="s">
        <v>57</v>
      </c>
      <c r="BG75" t="s">
        <v>55</v>
      </c>
      <c r="BH75" t="s">
        <v>58</v>
      </c>
      <c r="BI75" t="s">
        <v>58</v>
      </c>
    </row>
    <row r="76" spans="1:61" x14ac:dyDescent="0.25">
      <c r="A76" t="str" cm="1">
        <f t="array" ref="A76">_xlfn.IFS(AS76="RegularSeason",C76,AS76&lt;&gt;"RegularSeason",R76)</f>
        <v>00101101010010100000000000011010</v>
      </c>
      <c r="B76" t="str" cm="1">
        <f t="array" ref="B76">_xlfn.IFS(AS76="RegularSeason",D76,AS76&lt;&gt;"RegularSeason",K76)</f>
        <v>00101101010010100000000000010110</v>
      </c>
      <c r="C76" t="str">
        <f t="shared" si="3"/>
        <v>00101101010010100000000000011010</v>
      </c>
      <c r="D76" t="str">
        <f t="shared" si="4"/>
        <v>00101101010010100000000000010110</v>
      </c>
      <c r="E76" t="str" cm="1">
        <f t="array" ref="E76">_xlfn.XLOOKUP(_xlfn.XLOOKUP(G76,New!A:A,New!M:M,NONE),TeamIdentity!A:A,TeamIdentity!C:C,NONE)</f>
        <v>00011010</v>
      </c>
      <c r="F76" t="str" cm="1">
        <f t="array" ref="F76">_xlfn.XLOOKUP(_xlfn.XLOOKUP(G76,New!A:A,New!F:F,NONE),TeamIdentity!A:A,TeamIdentity!C:C,NONE)</f>
        <v>00010110</v>
      </c>
      <c r="G76" t="str">
        <f t="shared" si="5"/>
        <v>1-4</v>
      </c>
      <c r="H76" t="s">
        <v>54</v>
      </c>
      <c r="I76" t="s">
        <v>54</v>
      </c>
      <c r="J76" t="s">
        <v>54</v>
      </c>
      <c r="K76" t="s">
        <v>515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511</v>
      </c>
      <c r="S76">
        <v>-1</v>
      </c>
      <c r="T76">
        <v>0</v>
      </c>
      <c r="U76">
        <v>-1</v>
      </c>
      <c r="V76">
        <v>0</v>
      </c>
      <c r="W76" t="s">
        <v>70</v>
      </c>
      <c r="X76">
        <v>0</v>
      </c>
      <c r="Y76">
        <v>0</v>
      </c>
      <c r="Z76">
        <v>780</v>
      </c>
      <c r="AA76" t="s">
        <v>57</v>
      </c>
      <c r="AB76">
        <v>0</v>
      </c>
      <c r="AC76">
        <v>0</v>
      </c>
      <c r="AD76">
        <v>0</v>
      </c>
      <c r="AE76">
        <v>0</v>
      </c>
      <c r="AF76" t="s">
        <v>67</v>
      </c>
      <c r="AG76">
        <v>0</v>
      </c>
      <c r="AH76">
        <v>0</v>
      </c>
      <c r="AI76">
        <v>0</v>
      </c>
      <c r="AJ76">
        <v>0</v>
      </c>
      <c r="AK76" t="s">
        <v>60</v>
      </c>
      <c r="AL76">
        <v>0</v>
      </c>
      <c r="AM76">
        <v>0</v>
      </c>
      <c r="AN76">
        <v>0</v>
      </c>
      <c r="AO76">
        <v>0</v>
      </c>
      <c r="AP76" t="b">
        <v>0</v>
      </c>
      <c r="AQ76" t="s">
        <v>58</v>
      </c>
      <c r="AR76" t="s">
        <v>58</v>
      </c>
      <c r="AS76" t="s">
        <v>71</v>
      </c>
      <c r="AT76">
        <v>14</v>
      </c>
      <c r="AU76">
        <v>1</v>
      </c>
      <c r="AV76">
        <v>4</v>
      </c>
      <c r="AW76">
        <v>11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s">
        <v>61</v>
      </c>
      <c r="BF76" t="s">
        <v>57</v>
      </c>
      <c r="BG76" t="s">
        <v>55</v>
      </c>
      <c r="BH76" t="s">
        <v>58</v>
      </c>
      <c r="BI76" t="s">
        <v>58</v>
      </c>
    </row>
    <row r="77" spans="1:61" x14ac:dyDescent="0.25">
      <c r="A77" t="str" cm="1">
        <f t="array" ref="A77">_xlfn.IFS(AS77="RegularSeason",C77,AS77&lt;&gt;"RegularSeason",R77)</f>
        <v>00101101010010100000000000000011</v>
      </c>
      <c r="B77" t="str" cm="1">
        <f t="array" ref="B77">_xlfn.IFS(AS77="RegularSeason",D77,AS77&lt;&gt;"RegularSeason",K77)</f>
        <v>00101101010010100000000000011011</v>
      </c>
      <c r="C77" t="str">
        <f t="shared" si="3"/>
        <v>00101101010010100000000000000011</v>
      </c>
      <c r="D77" t="str">
        <f t="shared" si="4"/>
        <v>00101101010010100000000000011011</v>
      </c>
      <c r="E77" t="str" cm="1">
        <f t="array" ref="E77">_xlfn.XLOOKUP(_xlfn.XLOOKUP(G77,New!A:A,New!M:M,NONE),TeamIdentity!A:A,TeamIdentity!C:C,NONE)</f>
        <v>00000011</v>
      </c>
      <c r="F77" t="str" cm="1">
        <f t="array" ref="F77">_xlfn.XLOOKUP(_xlfn.XLOOKUP(G77,New!A:A,New!F:F,NONE),TeamIdentity!A:A,TeamIdentity!C:C,NONE)</f>
        <v>00011011</v>
      </c>
      <c r="G77" t="str">
        <f t="shared" si="5"/>
        <v>0-12</v>
      </c>
      <c r="H77" t="s">
        <v>54</v>
      </c>
      <c r="I77" t="s">
        <v>54</v>
      </c>
      <c r="J77" t="s">
        <v>54</v>
      </c>
      <c r="K77" t="s">
        <v>530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536</v>
      </c>
      <c r="S77">
        <v>-1</v>
      </c>
      <c r="T77">
        <v>0</v>
      </c>
      <c r="U77">
        <v>-1</v>
      </c>
      <c r="V77">
        <v>0</v>
      </c>
      <c r="W77" t="s">
        <v>70</v>
      </c>
      <c r="X77">
        <v>0</v>
      </c>
      <c r="Y77">
        <v>0</v>
      </c>
      <c r="Z77">
        <v>1220</v>
      </c>
      <c r="AA77" t="s">
        <v>57</v>
      </c>
      <c r="AB77">
        <v>0</v>
      </c>
      <c r="AC77">
        <v>0</v>
      </c>
      <c r="AD77">
        <v>0</v>
      </c>
      <c r="AE77">
        <v>0</v>
      </c>
      <c r="AF77" t="s">
        <v>60</v>
      </c>
      <c r="AG77">
        <v>0</v>
      </c>
      <c r="AH77">
        <v>0</v>
      </c>
      <c r="AI77">
        <v>0</v>
      </c>
      <c r="AJ77">
        <v>0</v>
      </c>
      <c r="AK77" t="s">
        <v>60</v>
      </c>
      <c r="AL77">
        <v>0</v>
      </c>
      <c r="AM77">
        <v>0</v>
      </c>
      <c r="AN77">
        <v>0</v>
      </c>
      <c r="AO77">
        <v>0</v>
      </c>
      <c r="AP77" t="b">
        <v>0</v>
      </c>
      <c r="AQ77" t="s">
        <v>58</v>
      </c>
      <c r="AR77" t="s">
        <v>58</v>
      </c>
      <c r="AS77" t="s">
        <v>71</v>
      </c>
      <c r="AT77">
        <v>14</v>
      </c>
      <c r="AU77">
        <v>0</v>
      </c>
      <c r="AV77">
        <v>12</v>
      </c>
      <c r="AW77">
        <v>11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s">
        <v>61</v>
      </c>
      <c r="BF77" t="s">
        <v>57</v>
      </c>
      <c r="BG77" t="s">
        <v>55</v>
      </c>
      <c r="BH77" t="s">
        <v>58</v>
      </c>
      <c r="BI77" t="s">
        <v>58</v>
      </c>
    </row>
    <row r="78" spans="1:61" x14ac:dyDescent="0.25">
      <c r="A78" t="str" cm="1">
        <f t="array" ref="A78">_xlfn.IFS(AS78="RegularSeason",C78,AS78&lt;&gt;"RegularSeason",R78)</f>
        <v>00101101010010100000000000000000</v>
      </c>
      <c r="B78" t="str" cm="1">
        <f t="array" ref="B78">_xlfn.IFS(AS78="RegularSeason",D78,AS78&lt;&gt;"RegularSeason",K78)</f>
        <v>00101101010010100000000000100000</v>
      </c>
      <c r="C78" t="str">
        <f t="shared" si="3"/>
        <v>00101101010010100000000000000000</v>
      </c>
      <c r="D78" t="str">
        <f t="shared" si="4"/>
        <v>00101101010010100000000000100000</v>
      </c>
      <c r="E78" t="str" cm="1">
        <f t="array" ref="E78">_xlfn.XLOOKUP(_xlfn.XLOOKUP(G78,New!A:A,New!M:M,NONE),TeamIdentity!A:A,TeamIdentity!C:C,NONE)</f>
        <v>00000000</v>
      </c>
      <c r="F78" t="str" cm="1">
        <f t="array" ref="F78">_xlfn.XLOOKUP(_xlfn.XLOOKUP(G78,New!A:A,New!F:F,NONE),TeamIdentity!A:A,TeamIdentity!C:C,NONE)</f>
        <v>00100000</v>
      </c>
      <c r="G78" t="str">
        <f t="shared" si="5"/>
        <v>0-7</v>
      </c>
      <c r="H78" t="s">
        <v>54</v>
      </c>
      <c r="I78" t="s">
        <v>54</v>
      </c>
      <c r="J78" t="s">
        <v>54</v>
      </c>
      <c r="K78" t="s">
        <v>519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521</v>
      </c>
      <c r="S78">
        <v>-1</v>
      </c>
      <c r="T78">
        <v>0</v>
      </c>
      <c r="U78">
        <v>-1</v>
      </c>
      <c r="V78">
        <v>0</v>
      </c>
      <c r="W78" t="s">
        <v>70</v>
      </c>
      <c r="X78">
        <v>0</v>
      </c>
      <c r="Y78">
        <v>0</v>
      </c>
      <c r="Z78">
        <v>780</v>
      </c>
      <c r="AA78" t="s">
        <v>57</v>
      </c>
      <c r="AB78">
        <v>0</v>
      </c>
      <c r="AC78">
        <v>0</v>
      </c>
      <c r="AD78">
        <v>0</v>
      </c>
      <c r="AE78">
        <v>0</v>
      </c>
      <c r="AF78" t="s">
        <v>67</v>
      </c>
      <c r="AG78">
        <v>0</v>
      </c>
      <c r="AH78">
        <v>0</v>
      </c>
      <c r="AI78">
        <v>0</v>
      </c>
      <c r="AJ78">
        <v>0</v>
      </c>
      <c r="AK78" t="s">
        <v>60</v>
      </c>
      <c r="AL78">
        <v>0</v>
      </c>
      <c r="AM78">
        <v>0</v>
      </c>
      <c r="AN78">
        <v>0</v>
      </c>
      <c r="AO78">
        <v>0</v>
      </c>
      <c r="AP78" t="b">
        <v>0</v>
      </c>
      <c r="AQ78" t="s">
        <v>58</v>
      </c>
      <c r="AR78" t="s">
        <v>58</v>
      </c>
      <c r="AS78" t="s">
        <v>71</v>
      </c>
      <c r="AT78">
        <v>14</v>
      </c>
      <c r="AU78">
        <v>0</v>
      </c>
      <c r="AV78">
        <v>7</v>
      </c>
      <c r="AW78">
        <v>11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s">
        <v>61</v>
      </c>
      <c r="BF78" t="s">
        <v>57</v>
      </c>
      <c r="BG78" t="s">
        <v>55</v>
      </c>
      <c r="BH78" t="s">
        <v>58</v>
      </c>
      <c r="BI78" t="s">
        <v>58</v>
      </c>
    </row>
    <row r="79" spans="1:61" x14ac:dyDescent="0.25">
      <c r="A79" t="str" cm="1">
        <f t="array" ref="A79">_xlfn.IFS(AS79="RegularSeason",C79,AS79&lt;&gt;"RegularSeason",R79)</f>
        <v>00101101010010100000000000100001</v>
      </c>
      <c r="B79" t="str" cm="1">
        <f t="array" ref="B79">_xlfn.IFS(AS79="RegularSeason",D79,AS79&lt;&gt;"RegularSeason",K79)</f>
        <v>00101101010010100000000000001100</v>
      </c>
      <c r="C79" t="str">
        <f t="shared" si="3"/>
        <v>00101101010010100000000000100001</v>
      </c>
      <c r="D79" t="str">
        <f t="shared" si="4"/>
        <v>00101101010010100000000000001100</v>
      </c>
      <c r="E79" t="str" cm="1">
        <f t="array" ref="E79">_xlfn.XLOOKUP(_xlfn.XLOOKUP(G79,New!A:A,New!M:M,NONE),TeamIdentity!A:A,TeamIdentity!C:C,NONE)</f>
        <v>00100001</v>
      </c>
      <c r="F79" t="str" cm="1">
        <f t="array" ref="F79">_xlfn.XLOOKUP(_xlfn.XLOOKUP(G79,New!A:A,New!F:F,NONE),TeamIdentity!A:A,TeamIdentity!C:C,NONE)</f>
        <v>00001100</v>
      </c>
      <c r="G79" t="str">
        <f t="shared" si="5"/>
        <v>1-5</v>
      </c>
      <c r="H79" t="s">
        <v>54</v>
      </c>
      <c r="I79" t="s">
        <v>54</v>
      </c>
      <c r="J79" t="s">
        <v>54</v>
      </c>
      <c r="K79" t="s">
        <v>541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513</v>
      </c>
      <c r="S79">
        <v>-1</v>
      </c>
      <c r="T79">
        <v>0</v>
      </c>
      <c r="U79">
        <v>-1</v>
      </c>
      <c r="V79">
        <v>0</v>
      </c>
      <c r="W79" t="s">
        <v>70</v>
      </c>
      <c r="X79">
        <v>0</v>
      </c>
      <c r="Y79">
        <v>0</v>
      </c>
      <c r="Z79">
        <v>780</v>
      </c>
      <c r="AA79" t="s">
        <v>57</v>
      </c>
      <c r="AB79">
        <v>0</v>
      </c>
      <c r="AC79">
        <v>0</v>
      </c>
      <c r="AD79">
        <v>0</v>
      </c>
      <c r="AE79">
        <v>0</v>
      </c>
      <c r="AF79" t="s">
        <v>67</v>
      </c>
      <c r="AG79">
        <v>0</v>
      </c>
      <c r="AH79">
        <v>0</v>
      </c>
      <c r="AI79">
        <v>0</v>
      </c>
      <c r="AJ79">
        <v>0</v>
      </c>
      <c r="AK79" t="s">
        <v>60</v>
      </c>
      <c r="AL79">
        <v>0</v>
      </c>
      <c r="AM79">
        <v>0</v>
      </c>
      <c r="AN79">
        <v>0</v>
      </c>
      <c r="AO79">
        <v>0</v>
      </c>
      <c r="AP79" t="b">
        <v>0</v>
      </c>
      <c r="AQ79" t="s">
        <v>58</v>
      </c>
      <c r="AR79" t="s">
        <v>58</v>
      </c>
      <c r="AS79" t="s">
        <v>71</v>
      </c>
      <c r="AT79">
        <v>14</v>
      </c>
      <c r="AU79">
        <v>1</v>
      </c>
      <c r="AV79">
        <v>5</v>
      </c>
      <c r="AW79">
        <v>11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s">
        <v>61</v>
      </c>
      <c r="BF79" t="s">
        <v>57</v>
      </c>
      <c r="BG79" t="s">
        <v>55</v>
      </c>
      <c r="BH79" t="s">
        <v>58</v>
      </c>
      <c r="BI79" t="s">
        <v>58</v>
      </c>
    </row>
    <row r="80" spans="1:61" x14ac:dyDescent="0.25">
      <c r="A80" t="str" cm="1">
        <f t="array" ref="A80">_xlfn.IFS(AS80="RegularSeason",C80,AS80&lt;&gt;"RegularSeason",R80)</f>
        <v>00101101010010100000000000011111</v>
      </c>
      <c r="B80" t="str" cm="1">
        <f t="array" ref="B80">_xlfn.IFS(AS80="RegularSeason",D80,AS80&lt;&gt;"RegularSeason",K80)</f>
        <v>00101101010010100000000000011001</v>
      </c>
      <c r="C80" t="str">
        <f t="shared" si="3"/>
        <v>00101101010010100000000000011111</v>
      </c>
      <c r="D80" t="str">
        <f t="shared" si="4"/>
        <v>00101101010010100000000000011001</v>
      </c>
      <c r="E80" t="str" cm="1">
        <f t="array" ref="E80">_xlfn.XLOOKUP(_xlfn.XLOOKUP(G80,New!A:A,New!M:M,NONE),TeamIdentity!A:A,TeamIdentity!C:C,NONE)</f>
        <v>00011111</v>
      </c>
      <c r="F80" t="str" cm="1">
        <f t="array" ref="F80">_xlfn.XLOOKUP(_xlfn.XLOOKUP(G80,New!A:A,New!F:F,NONE),TeamIdentity!A:A,TeamIdentity!C:C,NONE)</f>
        <v>00011001</v>
      </c>
      <c r="G80" t="str">
        <f t="shared" si="5"/>
        <v>1-11</v>
      </c>
      <c r="H80" t="s">
        <v>54</v>
      </c>
      <c r="I80" t="s">
        <v>54</v>
      </c>
      <c r="J80" t="s">
        <v>54</v>
      </c>
      <c r="K80" t="s">
        <v>528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522</v>
      </c>
      <c r="S80">
        <v>-1</v>
      </c>
      <c r="T80">
        <v>0</v>
      </c>
      <c r="U80">
        <v>-1</v>
      </c>
      <c r="V80">
        <v>0</v>
      </c>
      <c r="W80" t="s">
        <v>70</v>
      </c>
      <c r="X80">
        <v>0</v>
      </c>
      <c r="Y80">
        <v>0</v>
      </c>
      <c r="Z80">
        <v>975</v>
      </c>
      <c r="AA80" t="s">
        <v>57</v>
      </c>
      <c r="AB80">
        <v>0</v>
      </c>
      <c r="AC80">
        <v>0</v>
      </c>
      <c r="AD80">
        <v>0</v>
      </c>
      <c r="AE80">
        <v>0</v>
      </c>
      <c r="AF80" t="s">
        <v>67</v>
      </c>
      <c r="AG80">
        <v>0</v>
      </c>
      <c r="AH80">
        <v>0</v>
      </c>
      <c r="AI80">
        <v>0</v>
      </c>
      <c r="AJ80">
        <v>0</v>
      </c>
      <c r="AK80" t="s">
        <v>60</v>
      </c>
      <c r="AL80">
        <v>0</v>
      </c>
      <c r="AM80">
        <v>0</v>
      </c>
      <c r="AN80">
        <v>0</v>
      </c>
      <c r="AO80">
        <v>0</v>
      </c>
      <c r="AP80" t="b">
        <v>0</v>
      </c>
      <c r="AQ80" t="s">
        <v>58</v>
      </c>
      <c r="AR80" t="s">
        <v>58</v>
      </c>
      <c r="AS80" t="s">
        <v>71</v>
      </c>
      <c r="AT80">
        <v>14</v>
      </c>
      <c r="AU80">
        <v>1</v>
      </c>
      <c r="AV80">
        <v>11</v>
      </c>
      <c r="AW80">
        <v>11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s">
        <v>61</v>
      </c>
      <c r="BF80" t="s">
        <v>57</v>
      </c>
      <c r="BG80" t="s">
        <v>55</v>
      </c>
      <c r="BH80" t="s">
        <v>58</v>
      </c>
      <c r="BI80" t="s">
        <v>58</v>
      </c>
    </row>
    <row r="81" spans="1:61" x14ac:dyDescent="0.25">
      <c r="A81" t="str" cm="1">
        <f t="array" ref="A81">_xlfn.IFS(AS81="RegularSeason",C81,AS81&lt;&gt;"RegularSeason",R81)</f>
        <v>00101101010010100000000000001011</v>
      </c>
      <c r="B81" t="str" cm="1">
        <f t="array" ref="B81">_xlfn.IFS(AS81="RegularSeason",D81,AS81&lt;&gt;"RegularSeason",K81)</f>
        <v>00101101010010100000000000100100</v>
      </c>
      <c r="C81" t="str">
        <f t="shared" si="3"/>
        <v>00101101010010100000000000001011</v>
      </c>
      <c r="D81" t="str">
        <f t="shared" si="4"/>
        <v>00101101010010100000000000100100</v>
      </c>
      <c r="E81" t="str" cm="1">
        <f t="array" ref="E81">_xlfn.XLOOKUP(_xlfn.XLOOKUP(G81,New!A:A,New!M:M,NONE),TeamIdentity!A:A,TeamIdentity!C:C,NONE)</f>
        <v>00001011</v>
      </c>
      <c r="F81" t="str" cm="1">
        <f t="array" ref="F81">_xlfn.XLOOKUP(_xlfn.XLOOKUP(G81,New!A:A,New!F:F,NONE),TeamIdentity!A:A,TeamIdentity!C:C,NONE)</f>
        <v>00100100</v>
      </c>
      <c r="G81" t="str">
        <f t="shared" si="5"/>
        <v>3-10</v>
      </c>
      <c r="H81" t="s">
        <v>54</v>
      </c>
      <c r="I81" t="s">
        <v>54</v>
      </c>
      <c r="J81" t="s">
        <v>54</v>
      </c>
      <c r="K81" t="s">
        <v>512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539</v>
      </c>
      <c r="S81">
        <v>-1</v>
      </c>
      <c r="T81">
        <v>0</v>
      </c>
      <c r="U81">
        <v>-1</v>
      </c>
      <c r="V81">
        <v>0</v>
      </c>
      <c r="W81" t="s">
        <v>70</v>
      </c>
      <c r="X81">
        <v>0</v>
      </c>
      <c r="Y81">
        <v>0</v>
      </c>
      <c r="Z81">
        <v>975</v>
      </c>
      <c r="AA81" t="s">
        <v>57</v>
      </c>
      <c r="AB81">
        <v>0</v>
      </c>
      <c r="AC81">
        <v>0</v>
      </c>
      <c r="AD81">
        <v>0</v>
      </c>
      <c r="AE81">
        <v>0</v>
      </c>
      <c r="AF81" t="s">
        <v>67</v>
      </c>
      <c r="AG81">
        <v>0</v>
      </c>
      <c r="AH81">
        <v>0</v>
      </c>
      <c r="AI81">
        <v>0</v>
      </c>
      <c r="AJ81">
        <v>0</v>
      </c>
      <c r="AK81" t="s">
        <v>60</v>
      </c>
      <c r="AL81">
        <v>0</v>
      </c>
      <c r="AM81">
        <v>0</v>
      </c>
      <c r="AN81">
        <v>0</v>
      </c>
      <c r="AO81">
        <v>0</v>
      </c>
      <c r="AP81" t="b">
        <v>0</v>
      </c>
      <c r="AQ81" t="s">
        <v>58</v>
      </c>
      <c r="AR81" t="s">
        <v>58</v>
      </c>
      <c r="AS81" t="s">
        <v>71</v>
      </c>
      <c r="AT81">
        <v>14</v>
      </c>
      <c r="AU81">
        <v>3</v>
      </c>
      <c r="AV81">
        <v>10</v>
      </c>
      <c r="AW81">
        <v>11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s">
        <v>61</v>
      </c>
      <c r="BF81" t="s">
        <v>57</v>
      </c>
      <c r="BG81" t="s">
        <v>55</v>
      </c>
      <c r="BH81" t="s">
        <v>58</v>
      </c>
      <c r="BI81" t="s">
        <v>58</v>
      </c>
    </row>
    <row r="82" spans="1:61" x14ac:dyDescent="0.25">
      <c r="A82" t="str" cm="1">
        <f t="array" ref="A82">_xlfn.IFS(AS82="RegularSeason",C82,AS82&lt;&gt;"RegularSeason",R82)</f>
        <v>00101101010010100000000000011010</v>
      </c>
      <c r="B82" t="str" cm="1">
        <f t="array" ref="B82">_xlfn.IFS(AS82="RegularSeason",D82,AS82&lt;&gt;"RegularSeason",K82)</f>
        <v>00101101010010100000000000011001</v>
      </c>
      <c r="C82" t="str">
        <f t="shared" si="3"/>
        <v>00101101010010100000000000011010</v>
      </c>
      <c r="D82" t="str">
        <f t="shared" si="4"/>
        <v>00101101010010100000000000011001</v>
      </c>
      <c r="E82" t="str" cm="1">
        <f t="array" ref="E82">_xlfn.XLOOKUP(_xlfn.XLOOKUP(G82,New!A:A,New!M:M,NONE),TeamIdentity!A:A,TeamIdentity!C:C,NONE)</f>
        <v>00011010</v>
      </c>
      <c r="F82" t="str" cm="1">
        <f t="array" ref="F82">_xlfn.XLOOKUP(_xlfn.XLOOKUP(G82,New!A:A,New!F:F,NONE),TeamIdentity!A:A,TeamIdentity!C:C,NONE)</f>
        <v>00011001</v>
      </c>
      <c r="G82" t="str">
        <f t="shared" si="5"/>
        <v>3-8</v>
      </c>
      <c r="H82" t="s">
        <v>54</v>
      </c>
      <c r="I82" t="s">
        <v>54</v>
      </c>
      <c r="J82" t="s">
        <v>54</v>
      </c>
      <c r="K82" t="s">
        <v>520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538</v>
      </c>
      <c r="S82">
        <v>-1</v>
      </c>
      <c r="T82">
        <v>0</v>
      </c>
      <c r="U82">
        <v>-1</v>
      </c>
      <c r="V82">
        <v>0</v>
      </c>
      <c r="W82" t="s">
        <v>70</v>
      </c>
      <c r="X82">
        <v>0</v>
      </c>
      <c r="Y82">
        <v>0</v>
      </c>
      <c r="Z82">
        <v>965</v>
      </c>
      <c r="AA82" t="s">
        <v>57</v>
      </c>
      <c r="AB82">
        <v>0</v>
      </c>
      <c r="AC82">
        <v>0</v>
      </c>
      <c r="AD82">
        <v>0</v>
      </c>
      <c r="AE82">
        <v>0</v>
      </c>
      <c r="AF82" t="s">
        <v>67</v>
      </c>
      <c r="AG82">
        <v>0</v>
      </c>
      <c r="AH82">
        <v>0</v>
      </c>
      <c r="AI82">
        <v>0</v>
      </c>
      <c r="AJ82">
        <v>0</v>
      </c>
      <c r="AK82" t="s">
        <v>60</v>
      </c>
      <c r="AL82">
        <v>0</v>
      </c>
      <c r="AM82">
        <v>0</v>
      </c>
      <c r="AN82">
        <v>0</v>
      </c>
      <c r="AO82">
        <v>0</v>
      </c>
      <c r="AP82" t="b">
        <v>0</v>
      </c>
      <c r="AQ82" t="s">
        <v>58</v>
      </c>
      <c r="AR82" t="s">
        <v>58</v>
      </c>
      <c r="AS82" t="s">
        <v>71</v>
      </c>
      <c r="AT82">
        <v>14</v>
      </c>
      <c r="AU82">
        <v>3</v>
      </c>
      <c r="AV82">
        <v>8</v>
      </c>
      <c r="AW82">
        <v>11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s">
        <v>61</v>
      </c>
      <c r="BF82" t="s">
        <v>57</v>
      </c>
      <c r="BG82" t="s">
        <v>55</v>
      </c>
      <c r="BH82" t="s">
        <v>58</v>
      </c>
      <c r="BI82" t="s">
        <v>58</v>
      </c>
    </row>
    <row r="83" spans="1:61" x14ac:dyDescent="0.25">
      <c r="A83" t="str" cm="1">
        <f t="array" ref="A83">_xlfn.IFS(AS83="RegularSeason",C83,AS83&lt;&gt;"RegularSeason",R83)</f>
        <v>00101101010010100000000000001111</v>
      </c>
      <c r="B83" t="str" cm="1">
        <f t="array" ref="B83">_xlfn.IFS(AS83="RegularSeason",D83,AS83&lt;&gt;"RegularSeason",K83)</f>
        <v>00101101010010100000000000000011</v>
      </c>
      <c r="C83" t="str">
        <f t="shared" si="3"/>
        <v>00101101010010100000000000001111</v>
      </c>
      <c r="D83" t="str">
        <f t="shared" si="4"/>
        <v>00101101010010100000000000000011</v>
      </c>
      <c r="E83" t="str" cm="1">
        <f t="array" ref="E83">_xlfn.XLOOKUP(_xlfn.XLOOKUP(G83,New!A:A,New!M:M,NONE),TeamIdentity!A:A,TeamIdentity!C:C,NONE)</f>
        <v>00001111</v>
      </c>
      <c r="F83" t="str" cm="1">
        <f t="array" ref="F83">_xlfn.XLOOKUP(_xlfn.XLOOKUP(G83,New!A:A,New!F:F,NONE),TeamIdentity!A:A,TeamIdentity!C:C,NONE)</f>
        <v>00000011</v>
      </c>
      <c r="G83" t="str">
        <f t="shared" si="5"/>
        <v>1-6</v>
      </c>
      <c r="H83" t="s">
        <v>54</v>
      </c>
      <c r="I83" t="s">
        <v>54</v>
      </c>
      <c r="J83" t="s">
        <v>54</v>
      </c>
      <c r="K83" t="s">
        <v>538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532</v>
      </c>
      <c r="S83">
        <v>-1</v>
      </c>
      <c r="T83">
        <v>0</v>
      </c>
      <c r="U83">
        <v>-1</v>
      </c>
      <c r="V83">
        <v>0</v>
      </c>
      <c r="W83" t="s">
        <v>70</v>
      </c>
      <c r="X83">
        <v>0</v>
      </c>
      <c r="Y83">
        <v>0</v>
      </c>
      <c r="Z83">
        <v>780</v>
      </c>
      <c r="AA83" t="s">
        <v>57</v>
      </c>
      <c r="AB83">
        <v>0</v>
      </c>
      <c r="AC83">
        <v>0</v>
      </c>
      <c r="AD83">
        <v>0</v>
      </c>
      <c r="AE83">
        <v>0</v>
      </c>
      <c r="AF83" t="s">
        <v>67</v>
      </c>
      <c r="AG83">
        <v>0</v>
      </c>
      <c r="AH83">
        <v>0</v>
      </c>
      <c r="AI83">
        <v>0</v>
      </c>
      <c r="AJ83">
        <v>0</v>
      </c>
      <c r="AK83" t="s">
        <v>60</v>
      </c>
      <c r="AL83">
        <v>0</v>
      </c>
      <c r="AM83">
        <v>0</v>
      </c>
      <c r="AN83">
        <v>0</v>
      </c>
      <c r="AO83">
        <v>0</v>
      </c>
      <c r="AP83" t="b">
        <v>0</v>
      </c>
      <c r="AQ83" t="s">
        <v>58</v>
      </c>
      <c r="AR83" t="s">
        <v>58</v>
      </c>
      <c r="AS83" t="s">
        <v>71</v>
      </c>
      <c r="AT83">
        <v>14</v>
      </c>
      <c r="AU83">
        <v>1</v>
      </c>
      <c r="AV83">
        <v>6</v>
      </c>
      <c r="AW83">
        <v>11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s">
        <v>61</v>
      </c>
      <c r="BF83" t="s">
        <v>57</v>
      </c>
      <c r="BG83" t="s">
        <v>55</v>
      </c>
      <c r="BH83" t="s">
        <v>58</v>
      </c>
      <c r="BI83" t="s">
        <v>58</v>
      </c>
    </row>
    <row r="84" spans="1:61" x14ac:dyDescent="0.25">
      <c r="A84" t="str" cm="1">
        <f t="array" ref="A84">_xlfn.IFS(AS84="RegularSeason",C84,AS84&lt;&gt;"RegularSeason",R84)</f>
        <v>00101101010010100000000000010011</v>
      </c>
      <c r="B84" t="str" cm="1">
        <f t="array" ref="B84">_xlfn.IFS(AS84="RegularSeason",D84,AS84&lt;&gt;"RegularSeason",K84)</f>
        <v>00101101010010100000000000000110</v>
      </c>
      <c r="C84" t="str">
        <f t="shared" si="3"/>
        <v>00101101010010100000000000010011</v>
      </c>
      <c r="D84" t="str">
        <f t="shared" si="4"/>
        <v>00101101010010100000000000000110</v>
      </c>
      <c r="E84" t="str" cm="1">
        <f t="array" ref="E84">_xlfn.XLOOKUP(_xlfn.XLOOKUP(G84,New!A:A,New!M:M,NONE),TeamIdentity!A:A,TeamIdentity!C:C,NONE)</f>
        <v>00010011</v>
      </c>
      <c r="F84" t="str" cm="1">
        <f t="array" ref="F84">_xlfn.XLOOKUP(_xlfn.XLOOKUP(G84,New!A:A,New!F:F,NONE),TeamIdentity!A:A,TeamIdentity!C:C,NONE)</f>
        <v>00000110</v>
      </c>
      <c r="G84" t="str">
        <f t="shared" si="5"/>
        <v>2-1</v>
      </c>
      <c r="H84" t="s">
        <v>54</v>
      </c>
      <c r="I84" t="s">
        <v>54</v>
      </c>
      <c r="J84" t="s">
        <v>54</v>
      </c>
      <c r="K84" t="s">
        <v>515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537</v>
      </c>
      <c r="S84">
        <v>-1</v>
      </c>
      <c r="T84">
        <v>0</v>
      </c>
      <c r="U84">
        <v>-1</v>
      </c>
      <c r="V84">
        <v>0</v>
      </c>
      <c r="W84" t="s">
        <v>70</v>
      </c>
      <c r="X84">
        <v>0</v>
      </c>
      <c r="Y84">
        <v>0</v>
      </c>
      <c r="Z84">
        <v>780</v>
      </c>
      <c r="AA84" t="s">
        <v>57</v>
      </c>
      <c r="AB84">
        <v>0</v>
      </c>
      <c r="AC84">
        <v>0</v>
      </c>
      <c r="AD84">
        <v>0</v>
      </c>
      <c r="AE84">
        <v>0</v>
      </c>
      <c r="AF84" t="s">
        <v>67</v>
      </c>
      <c r="AG84">
        <v>0</v>
      </c>
      <c r="AH84">
        <v>0</v>
      </c>
      <c r="AI84">
        <v>0</v>
      </c>
      <c r="AJ84">
        <v>0</v>
      </c>
      <c r="AK84" t="s">
        <v>60</v>
      </c>
      <c r="AL84">
        <v>0</v>
      </c>
      <c r="AM84">
        <v>0</v>
      </c>
      <c r="AN84">
        <v>0</v>
      </c>
      <c r="AO84">
        <v>0</v>
      </c>
      <c r="AP84" t="b">
        <v>0</v>
      </c>
      <c r="AQ84" t="s">
        <v>58</v>
      </c>
      <c r="AR84" t="s">
        <v>58</v>
      </c>
      <c r="AS84" t="s">
        <v>71</v>
      </c>
      <c r="AT84">
        <v>14</v>
      </c>
      <c r="AU84">
        <v>2</v>
      </c>
      <c r="AV84">
        <v>1</v>
      </c>
      <c r="AW84">
        <v>11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s">
        <v>61</v>
      </c>
      <c r="BF84" t="s">
        <v>57</v>
      </c>
      <c r="BG84" t="s">
        <v>55</v>
      </c>
      <c r="BH84" t="s">
        <v>58</v>
      </c>
      <c r="BI84" t="s">
        <v>58</v>
      </c>
    </row>
    <row r="85" spans="1:61" x14ac:dyDescent="0.25">
      <c r="A85" t="str" cm="1">
        <f t="array" ref="A85">_xlfn.IFS(AS85="RegularSeason",C85,AS85&lt;&gt;"RegularSeason",R85)</f>
        <v>00101101010010100000000000100001</v>
      </c>
      <c r="B85" t="str" cm="1">
        <f t="array" ref="B85">_xlfn.IFS(AS85="RegularSeason",D85,AS85&lt;&gt;"RegularSeason",K85)</f>
        <v>00101101010010100000000000000010</v>
      </c>
      <c r="C85" t="str">
        <f t="shared" si="3"/>
        <v>00101101010010100000000000100001</v>
      </c>
      <c r="D85" t="str">
        <f t="shared" si="4"/>
        <v>00101101010010100000000000000010</v>
      </c>
      <c r="E85" t="str" cm="1">
        <f t="array" ref="E85">_xlfn.XLOOKUP(_xlfn.XLOOKUP(G85,New!A:A,New!M:M,NONE),TeamIdentity!A:A,TeamIdentity!C:C,NONE)</f>
        <v>00100001</v>
      </c>
      <c r="F85" t="str" cm="1">
        <f t="array" ref="F85">_xlfn.XLOOKUP(_xlfn.XLOOKUP(G85,New!A:A,New!F:F,NONE),TeamIdentity!A:A,TeamIdentity!C:C,NONE)</f>
        <v>00000010</v>
      </c>
      <c r="G85" t="str">
        <f t="shared" si="5"/>
        <v>2-15</v>
      </c>
      <c r="H85" t="s">
        <v>54</v>
      </c>
      <c r="I85" t="s">
        <v>54</v>
      </c>
      <c r="J85" t="s">
        <v>54</v>
      </c>
      <c r="K85" t="s">
        <v>526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529</v>
      </c>
      <c r="S85">
        <v>-1</v>
      </c>
      <c r="T85">
        <v>0</v>
      </c>
      <c r="U85">
        <v>-1</v>
      </c>
      <c r="V85">
        <v>0</v>
      </c>
      <c r="W85" t="s">
        <v>70</v>
      </c>
      <c r="X85">
        <v>0</v>
      </c>
      <c r="Y85">
        <v>0</v>
      </c>
      <c r="Z85">
        <v>1220</v>
      </c>
      <c r="AA85" t="s">
        <v>57</v>
      </c>
      <c r="AB85">
        <v>0</v>
      </c>
      <c r="AC85">
        <v>0</v>
      </c>
      <c r="AD85">
        <v>0</v>
      </c>
      <c r="AE85">
        <v>0</v>
      </c>
      <c r="AF85" t="s">
        <v>68</v>
      </c>
      <c r="AG85">
        <v>0</v>
      </c>
      <c r="AH85">
        <v>0</v>
      </c>
      <c r="AI85">
        <v>0</v>
      </c>
      <c r="AJ85">
        <v>0</v>
      </c>
      <c r="AK85" t="s">
        <v>68</v>
      </c>
      <c r="AL85">
        <v>0</v>
      </c>
      <c r="AM85">
        <v>0</v>
      </c>
      <c r="AN85">
        <v>0</v>
      </c>
      <c r="AO85">
        <v>0</v>
      </c>
      <c r="AP85" t="b">
        <v>0</v>
      </c>
      <c r="AQ85" t="s">
        <v>58</v>
      </c>
      <c r="AR85" t="s">
        <v>58</v>
      </c>
      <c r="AS85" t="s">
        <v>71</v>
      </c>
      <c r="AT85">
        <v>14</v>
      </c>
      <c r="AU85">
        <v>2</v>
      </c>
      <c r="AV85">
        <v>15</v>
      </c>
      <c r="AW85">
        <v>11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s">
        <v>61</v>
      </c>
      <c r="BF85" t="s">
        <v>57</v>
      </c>
      <c r="BG85" t="s">
        <v>55</v>
      </c>
      <c r="BH85" t="s">
        <v>58</v>
      </c>
      <c r="BI85" t="s">
        <v>58</v>
      </c>
    </row>
    <row r="86" spans="1:61" x14ac:dyDescent="0.25">
      <c r="A86" t="str" cm="1">
        <f t="array" ref="A86">_xlfn.IFS(AS86="RegularSeason",C86,AS86&lt;&gt;"RegularSeason",R86)</f>
        <v>00101101010010100000000000000101</v>
      </c>
      <c r="B86" t="str" cm="1">
        <f t="array" ref="B86">_xlfn.IFS(AS86="RegularSeason",D86,AS86&lt;&gt;"RegularSeason",K86)</f>
        <v>00101101010010100000000000100011</v>
      </c>
      <c r="C86" t="str">
        <f t="shared" si="3"/>
        <v>00101101010010100000000000000101</v>
      </c>
      <c r="D86" t="str">
        <f t="shared" si="4"/>
        <v>00101101010010100000000000100011</v>
      </c>
      <c r="E86" t="str" cm="1">
        <f t="array" ref="E86">_xlfn.XLOOKUP(_xlfn.XLOOKUP(G86,New!A:A,New!M:M,NONE),TeamIdentity!A:A,TeamIdentity!C:C,NONE)</f>
        <v>00000101</v>
      </c>
      <c r="F86" t="str" cm="1">
        <f t="array" ref="F86">_xlfn.XLOOKUP(_xlfn.XLOOKUP(G86,New!A:A,New!F:F,NONE),TeamIdentity!A:A,TeamIdentity!C:C,NONE)</f>
        <v>00100011</v>
      </c>
      <c r="G86" t="str">
        <f t="shared" si="5"/>
        <v>2-2</v>
      </c>
      <c r="H86" t="s">
        <v>54</v>
      </c>
      <c r="I86" t="s">
        <v>54</v>
      </c>
      <c r="J86" t="s">
        <v>54</v>
      </c>
      <c r="K86" t="s">
        <v>531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514</v>
      </c>
      <c r="S86">
        <v>-1</v>
      </c>
      <c r="T86">
        <v>0</v>
      </c>
      <c r="U86">
        <v>-1</v>
      </c>
      <c r="V86">
        <v>0</v>
      </c>
      <c r="W86" t="s">
        <v>70</v>
      </c>
      <c r="X86">
        <v>0</v>
      </c>
      <c r="Y86">
        <v>0</v>
      </c>
      <c r="Z86">
        <v>780</v>
      </c>
      <c r="AA86" t="s">
        <v>57</v>
      </c>
      <c r="AB86">
        <v>0</v>
      </c>
      <c r="AC86">
        <v>0</v>
      </c>
      <c r="AD86">
        <v>0</v>
      </c>
      <c r="AE86">
        <v>0</v>
      </c>
      <c r="AF86" t="s">
        <v>67</v>
      </c>
      <c r="AG86">
        <v>0</v>
      </c>
      <c r="AH86">
        <v>0</v>
      </c>
      <c r="AI86">
        <v>0</v>
      </c>
      <c r="AJ86">
        <v>0</v>
      </c>
      <c r="AK86" t="s">
        <v>60</v>
      </c>
      <c r="AL86">
        <v>0</v>
      </c>
      <c r="AM86">
        <v>0</v>
      </c>
      <c r="AN86">
        <v>0</v>
      </c>
      <c r="AO86">
        <v>0</v>
      </c>
      <c r="AP86" t="b">
        <v>0</v>
      </c>
      <c r="AQ86" t="s">
        <v>58</v>
      </c>
      <c r="AR86" t="s">
        <v>58</v>
      </c>
      <c r="AS86" t="s">
        <v>71</v>
      </c>
      <c r="AT86">
        <v>14</v>
      </c>
      <c r="AU86">
        <v>2</v>
      </c>
      <c r="AV86">
        <v>2</v>
      </c>
      <c r="AW86">
        <v>11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s">
        <v>61</v>
      </c>
      <c r="BF86" t="s">
        <v>57</v>
      </c>
      <c r="BG86" t="s">
        <v>55</v>
      </c>
      <c r="BH86" t="s">
        <v>58</v>
      </c>
      <c r="BI86" t="s">
        <v>58</v>
      </c>
    </row>
    <row r="87" spans="1:61" x14ac:dyDescent="0.25">
      <c r="A87" t="str" cm="1">
        <f t="array" ref="A87">_xlfn.IFS(AS87="RegularSeason",C87,AS87&lt;&gt;"RegularSeason",R87)</f>
        <v>00101101010010100000000000100010</v>
      </c>
      <c r="B87" t="str" cm="1">
        <f t="array" ref="B87">_xlfn.IFS(AS87="RegularSeason",D87,AS87&lt;&gt;"RegularSeason",K87)</f>
        <v>00101101010010100000000000000100</v>
      </c>
      <c r="C87" t="str">
        <f t="shared" si="3"/>
        <v>00101101010010100000000000100010</v>
      </c>
      <c r="D87" t="str">
        <f t="shared" si="4"/>
        <v>00101101010010100000000000000100</v>
      </c>
      <c r="E87" t="str" cm="1">
        <f t="array" ref="E87">_xlfn.XLOOKUP(_xlfn.XLOOKUP(G87,New!A:A,New!M:M,NONE),TeamIdentity!A:A,TeamIdentity!C:C,NONE)</f>
        <v>00100010</v>
      </c>
      <c r="F87" t="str" cm="1">
        <f t="array" ref="F87">_xlfn.XLOOKUP(_xlfn.XLOOKUP(G87,New!A:A,New!F:F,NONE),TeamIdentity!A:A,TeamIdentity!C:C,NONE)</f>
        <v>00000100</v>
      </c>
      <c r="G87" t="str">
        <f t="shared" si="5"/>
        <v>2-3</v>
      </c>
      <c r="H87" t="s">
        <v>54</v>
      </c>
      <c r="I87" t="s">
        <v>54</v>
      </c>
      <c r="J87" t="s">
        <v>54</v>
      </c>
      <c r="K87" t="s">
        <v>539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516</v>
      </c>
      <c r="S87">
        <v>-1</v>
      </c>
      <c r="T87">
        <v>0</v>
      </c>
      <c r="U87">
        <v>-1</v>
      </c>
      <c r="V87">
        <v>0</v>
      </c>
      <c r="W87" t="s">
        <v>70</v>
      </c>
      <c r="X87">
        <v>0</v>
      </c>
      <c r="Y87">
        <v>0</v>
      </c>
      <c r="Z87">
        <v>780</v>
      </c>
      <c r="AA87" t="s">
        <v>57</v>
      </c>
      <c r="AB87">
        <v>0</v>
      </c>
      <c r="AC87">
        <v>0</v>
      </c>
      <c r="AD87">
        <v>0</v>
      </c>
      <c r="AE87">
        <v>0</v>
      </c>
      <c r="AF87" t="s">
        <v>67</v>
      </c>
      <c r="AG87">
        <v>0</v>
      </c>
      <c r="AH87">
        <v>0</v>
      </c>
      <c r="AI87">
        <v>0</v>
      </c>
      <c r="AJ87">
        <v>0</v>
      </c>
      <c r="AK87" t="s">
        <v>60</v>
      </c>
      <c r="AL87">
        <v>0</v>
      </c>
      <c r="AM87">
        <v>0</v>
      </c>
      <c r="AN87">
        <v>0</v>
      </c>
      <c r="AO87">
        <v>0</v>
      </c>
      <c r="AP87" t="b">
        <v>0</v>
      </c>
      <c r="AQ87" t="s">
        <v>58</v>
      </c>
      <c r="AR87" t="s">
        <v>58</v>
      </c>
      <c r="AS87" t="s">
        <v>71</v>
      </c>
      <c r="AT87">
        <v>14</v>
      </c>
      <c r="AU87">
        <v>2</v>
      </c>
      <c r="AV87">
        <v>3</v>
      </c>
      <c r="AW87">
        <v>11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s">
        <v>61</v>
      </c>
      <c r="BF87" t="s">
        <v>57</v>
      </c>
      <c r="BG87" t="s">
        <v>55</v>
      </c>
      <c r="BH87" t="s">
        <v>58</v>
      </c>
      <c r="BI87" t="s">
        <v>58</v>
      </c>
    </row>
    <row r="88" spans="1:61" x14ac:dyDescent="0.25">
      <c r="A88" t="str" cm="1">
        <f t="array" ref="A88">_xlfn.IFS(AS88="RegularSeason",C88,AS88&lt;&gt;"RegularSeason",R88)</f>
        <v>00101101010010100000000000000010</v>
      </c>
      <c r="B88" t="str" cm="1">
        <f t="array" ref="B88">_xlfn.IFS(AS88="RegularSeason",D88,AS88&lt;&gt;"RegularSeason",K88)</f>
        <v>00101101010010100000000000000000</v>
      </c>
      <c r="C88" t="str">
        <f t="shared" si="3"/>
        <v>00101101010010100000000000000010</v>
      </c>
      <c r="D88" t="str">
        <f t="shared" si="4"/>
        <v>00101101010010100000000000000000</v>
      </c>
      <c r="E88" t="str" cm="1">
        <f t="array" ref="E88">_xlfn.XLOOKUP(_xlfn.XLOOKUP(G88,New!A:A,New!M:M,NONE),TeamIdentity!A:A,TeamIdentity!C:C,NONE)</f>
        <v>00000010</v>
      </c>
      <c r="F88" t="str" cm="1">
        <f t="array" ref="F88">_xlfn.XLOOKUP(_xlfn.XLOOKUP(G88,New!A:A,New!F:F,NONE),TeamIdentity!A:A,TeamIdentity!C:C,NONE)</f>
        <v>00000000</v>
      </c>
      <c r="G88" t="str">
        <f t="shared" si="5"/>
        <v>3-0</v>
      </c>
      <c r="H88" t="s">
        <v>54</v>
      </c>
      <c r="I88" t="s">
        <v>54</v>
      </c>
      <c r="J88" t="s">
        <v>54</v>
      </c>
      <c r="K88" t="s">
        <v>513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529</v>
      </c>
      <c r="S88">
        <v>-1</v>
      </c>
      <c r="T88">
        <v>0</v>
      </c>
      <c r="U88">
        <v>-1</v>
      </c>
      <c r="V88">
        <v>0</v>
      </c>
      <c r="W88" t="s">
        <v>70</v>
      </c>
      <c r="X88">
        <v>0</v>
      </c>
      <c r="Y88">
        <v>0</v>
      </c>
      <c r="Z88">
        <v>780</v>
      </c>
      <c r="AA88" t="s">
        <v>57</v>
      </c>
      <c r="AB88">
        <v>0</v>
      </c>
      <c r="AC88">
        <v>0</v>
      </c>
      <c r="AD88">
        <v>0</v>
      </c>
      <c r="AE88">
        <v>0</v>
      </c>
      <c r="AF88" t="s">
        <v>67</v>
      </c>
      <c r="AG88">
        <v>0</v>
      </c>
      <c r="AH88">
        <v>0</v>
      </c>
      <c r="AI88">
        <v>0</v>
      </c>
      <c r="AJ88">
        <v>0</v>
      </c>
      <c r="AK88" t="s">
        <v>60</v>
      </c>
      <c r="AL88">
        <v>0</v>
      </c>
      <c r="AM88">
        <v>0</v>
      </c>
      <c r="AN88">
        <v>0</v>
      </c>
      <c r="AO88">
        <v>0</v>
      </c>
      <c r="AP88" t="b">
        <v>0</v>
      </c>
      <c r="AQ88" t="s">
        <v>58</v>
      </c>
      <c r="AR88" t="s">
        <v>58</v>
      </c>
      <c r="AS88" t="s">
        <v>71</v>
      </c>
      <c r="AT88">
        <v>14</v>
      </c>
      <c r="AU88">
        <v>3</v>
      </c>
      <c r="AV88">
        <v>0</v>
      </c>
      <c r="AW88">
        <v>11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s">
        <v>61</v>
      </c>
      <c r="BF88" t="s">
        <v>57</v>
      </c>
      <c r="BG88" t="s">
        <v>55</v>
      </c>
      <c r="BH88" t="s">
        <v>58</v>
      </c>
      <c r="BI88" t="s">
        <v>58</v>
      </c>
    </row>
    <row r="89" spans="1:61" x14ac:dyDescent="0.25">
      <c r="A89" t="str" cm="1">
        <f t="array" ref="A89">_xlfn.IFS(AS89="RegularSeason",C89,AS89&lt;&gt;"RegularSeason",R89)</f>
        <v>00101101010010100000000000000001</v>
      </c>
      <c r="B89" t="str" cm="1">
        <f t="array" ref="B89">_xlfn.IFS(AS89="RegularSeason",D89,AS89&lt;&gt;"RegularSeason",K89)</f>
        <v>00101101010010100000000000001010</v>
      </c>
      <c r="C89" t="str">
        <f t="shared" si="3"/>
        <v>00101101010010100000000000000001</v>
      </c>
      <c r="D89" t="str">
        <f t="shared" si="4"/>
        <v>00101101010010100000000000001010</v>
      </c>
      <c r="E89" t="str" cm="1">
        <f t="array" ref="E89">_xlfn.XLOOKUP(_xlfn.XLOOKUP(G89,New!A:A,New!M:M,NONE),TeamIdentity!A:A,TeamIdentity!C:C,NONE)</f>
        <v>00000001</v>
      </c>
      <c r="F89" t="str" cm="1">
        <f t="array" ref="F89">_xlfn.XLOOKUP(_xlfn.XLOOKUP(G89,New!A:A,New!F:F,NONE),TeamIdentity!A:A,TeamIdentity!C:C,NONE)</f>
        <v>00001010</v>
      </c>
      <c r="G89" t="str">
        <f t="shared" si="5"/>
        <v>2-4</v>
      </c>
      <c r="H89" t="s">
        <v>54</v>
      </c>
      <c r="I89" t="s">
        <v>54</v>
      </c>
      <c r="J89" t="s">
        <v>54</v>
      </c>
      <c r="K89" t="s">
        <v>532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540</v>
      </c>
      <c r="S89">
        <v>-1</v>
      </c>
      <c r="T89">
        <v>0</v>
      </c>
      <c r="U89">
        <v>-1</v>
      </c>
      <c r="V89">
        <v>0</v>
      </c>
      <c r="W89" t="s">
        <v>70</v>
      </c>
      <c r="X89">
        <v>0</v>
      </c>
      <c r="Y89">
        <v>0</v>
      </c>
      <c r="Z89">
        <v>780</v>
      </c>
      <c r="AA89" t="s">
        <v>57</v>
      </c>
      <c r="AB89">
        <v>0</v>
      </c>
      <c r="AC89">
        <v>0</v>
      </c>
      <c r="AD89">
        <v>0</v>
      </c>
      <c r="AE89">
        <v>0</v>
      </c>
      <c r="AF89" t="s">
        <v>67</v>
      </c>
      <c r="AG89">
        <v>0</v>
      </c>
      <c r="AH89">
        <v>0</v>
      </c>
      <c r="AI89">
        <v>0</v>
      </c>
      <c r="AJ89">
        <v>0</v>
      </c>
      <c r="AK89" t="s">
        <v>60</v>
      </c>
      <c r="AL89">
        <v>0</v>
      </c>
      <c r="AM89">
        <v>0</v>
      </c>
      <c r="AN89">
        <v>0</v>
      </c>
      <c r="AO89">
        <v>0</v>
      </c>
      <c r="AP89" t="b">
        <v>0</v>
      </c>
      <c r="AQ89" t="s">
        <v>58</v>
      </c>
      <c r="AR89" t="s">
        <v>58</v>
      </c>
      <c r="AS89" t="s">
        <v>71</v>
      </c>
      <c r="AT89">
        <v>14</v>
      </c>
      <c r="AU89">
        <v>2</v>
      </c>
      <c r="AV89">
        <v>4</v>
      </c>
      <c r="AW89">
        <v>11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s">
        <v>61</v>
      </c>
      <c r="BF89" t="s">
        <v>57</v>
      </c>
      <c r="BG89" t="s">
        <v>55</v>
      </c>
      <c r="BH89" t="s">
        <v>58</v>
      </c>
      <c r="BI89" t="s">
        <v>58</v>
      </c>
    </row>
    <row r="90" spans="1:61" x14ac:dyDescent="0.25">
      <c r="A90" t="str" cm="1">
        <f t="array" ref="A90">_xlfn.IFS(AS90="RegularSeason",C90,AS90&lt;&gt;"RegularSeason",R90)</f>
        <v>00101101010010100000000000000001</v>
      </c>
      <c r="B90" t="str" cm="1">
        <f t="array" ref="B90">_xlfn.IFS(AS90="RegularSeason",D90,AS90&lt;&gt;"RegularSeason",K90)</f>
        <v>00101101010010100000000000000101</v>
      </c>
      <c r="C90" t="str">
        <f t="shared" si="3"/>
        <v>00101101010010100000000000000001</v>
      </c>
      <c r="D90" t="str">
        <f t="shared" si="4"/>
        <v>00101101010010100000000000000101</v>
      </c>
      <c r="E90" t="str" cm="1">
        <f t="array" ref="E90">_xlfn.XLOOKUP(_xlfn.XLOOKUP(G90,New!A:A,New!M:M,NONE),TeamIdentity!A:A,TeamIdentity!C:C,NONE)</f>
        <v>00000001</v>
      </c>
      <c r="F90" t="str" cm="1">
        <f t="array" ref="F90">_xlfn.XLOOKUP(_xlfn.XLOOKUP(G90,New!A:A,New!F:F,NONE),TeamIdentity!A:A,TeamIdentity!C:C,NONE)</f>
        <v>00000101</v>
      </c>
      <c r="G90" t="str">
        <f t="shared" si="5"/>
        <v>1-7</v>
      </c>
      <c r="H90" t="s">
        <v>54</v>
      </c>
      <c r="I90" t="s">
        <v>54</v>
      </c>
      <c r="J90" t="s">
        <v>54</v>
      </c>
      <c r="K90" t="s">
        <v>527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518</v>
      </c>
      <c r="S90">
        <v>-1</v>
      </c>
      <c r="T90">
        <v>0</v>
      </c>
      <c r="U90">
        <v>-1</v>
      </c>
      <c r="V90">
        <v>0</v>
      </c>
      <c r="W90" t="s">
        <v>70</v>
      </c>
      <c r="X90">
        <v>0</v>
      </c>
      <c r="Y90">
        <v>0</v>
      </c>
      <c r="Z90">
        <v>780</v>
      </c>
      <c r="AA90" t="s">
        <v>57</v>
      </c>
      <c r="AB90">
        <v>0</v>
      </c>
      <c r="AC90">
        <v>0</v>
      </c>
      <c r="AD90">
        <v>0</v>
      </c>
      <c r="AE90">
        <v>0</v>
      </c>
      <c r="AF90" t="s">
        <v>67</v>
      </c>
      <c r="AG90">
        <v>0</v>
      </c>
      <c r="AH90">
        <v>0</v>
      </c>
      <c r="AI90">
        <v>0</v>
      </c>
      <c r="AJ90">
        <v>0</v>
      </c>
      <c r="AK90" t="s">
        <v>60</v>
      </c>
      <c r="AL90">
        <v>0</v>
      </c>
      <c r="AM90">
        <v>0</v>
      </c>
      <c r="AN90">
        <v>0</v>
      </c>
      <c r="AO90">
        <v>0</v>
      </c>
      <c r="AP90" t="b">
        <v>0</v>
      </c>
      <c r="AQ90" t="s">
        <v>58</v>
      </c>
      <c r="AR90" t="s">
        <v>58</v>
      </c>
      <c r="AS90" t="s">
        <v>71</v>
      </c>
      <c r="AT90">
        <v>14</v>
      </c>
      <c r="AU90">
        <v>1</v>
      </c>
      <c r="AV90">
        <v>7</v>
      </c>
      <c r="AW90">
        <v>11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s">
        <v>61</v>
      </c>
      <c r="BF90" t="s">
        <v>57</v>
      </c>
      <c r="BG90" t="s">
        <v>55</v>
      </c>
      <c r="BH90" t="s">
        <v>58</v>
      </c>
      <c r="BI90" t="s">
        <v>58</v>
      </c>
    </row>
    <row r="91" spans="1:61" x14ac:dyDescent="0.25">
      <c r="A91" t="str" cm="1">
        <f t="array" ref="A91">_xlfn.IFS(AS91="RegularSeason",C91,AS91&lt;&gt;"RegularSeason",R91)</f>
        <v>00101101010010100000000000010000</v>
      </c>
      <c r="B91" t="str" cm="1">
        <f t="array" ref="B91">_xlfn.IFS(AS91="RegularSeason",D91,AS91&lt;&gt;"RegularSeason",K91)</f>
        <v>00101101010010100000000000000111</v>
      </c>
      <c r="C91" t="str">
        <f t="shared" si="3"/>
        <v>00101101010010100000000000010000</v>
      </c>
      <c r="D91" t="str">
        <f t="shared" si="4"/>
        <v>00101101010010100000000000000111</v>
      </c>
      <c r="E91" t="str" cm="1">
        <f t="array" ref="E91">_xlfn.XLOOKUP(_xlfn.XLOOKUP(G91,New!A:A,New!M:M,NONE),TeamIdentity!A:A,TeamIdentity!C:C,NONE)</f>
        <v>00010000</v>
      </c>
      <c r="F91" t="str" cm="1">
        <f t="array" ref="F91">_xlfn.XLOOKUP(_xlfn.XLOOKUP(G91,New!A:A,New!F:F,NONE),TeamIdentity!A:A,TeamIdentity!C:C,NONE)</f>
        <v>00000111</v>
      </c>
      <c r="G91" t="str">
        <f t="shared" si="5"/>
        <v>3-15</v>
      </c>
      <c r="H91" t="s">
        <v>54</v>
      </c>
      <c r="I91" t="s">
        <v>54</v>
      </c>
      <c r="J91" t="s">
        <v>54</v>
      </c>
      <c r="K91" t="s">
        <v>511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526</v>
      </c>
      <c r="S91">
        <v>-1</v>
      </c>
      <c r="T91">
        <v>0</v>
      </c>
      <c r="U91">
        <v>-1</v>
      </c>
      <c r="V91">
        <v>0</v>
      </c>
      <c r="W91" t="s">
        <v>70</v>
      </c>
      <c r="X91">
        <v>0</v>
      </c>
      <c r="Y91">
        <v>0</v>
      </c>
      <c r="Z91">
        <v>1220</v>
      </c>
      <c r="AA91" t="s">
        <v>57</v>
      </c>
      <c r="AB91">
        <v>0</v>
      </c>
      <c r="AC91">
        <v>0</v>
      </c>
      <c r="AD91">
        <v>0</v>
      </c>
      <c r="AE91">
        <v>0</v>
      </c>
      <c r="AF91" t="s">
        <v>68</v>
      </c>
      <c r="AG91">
        <v>0</v>
      </c>
      <c r="AH91">
        <v>0</v>
      </c>
      <c r="AI91">
        <v>0</v>
      </c>
      <c r="AJ91">
        <v>0</v>
      </c>
      <c r="AK91" t="s">
        <v>68</v>
      </c>
      <c r="AL91">
        <v>0</v>
      </c>
      <c r="AM91">
        <v>0</v>
      </c>
      <c r="AN91">
        <v>0</v>
      </c>
      <c r="AO91">
        <v>0</v>
      </c>
      <c r="AP91" t="b">
        <v>0</v>
      </c>
      <c r="AQ91" t="s">
        <v>58</v>
      </c>
      <c r="AR91" t="s">
        <v>58</v>
      </c>
      <c r="AS91" t="s">
        <v>71</v>
      </c>
      <c r="AT91">
        <v>14</v>
      </c>
      <c r="AU91">
        <v>3</v>
      </c>
      <c r="AV91">
        <v>15</v>
      </c>
      <c r="AW91">
        <v>11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s">
        <v>61</v>
      </c>
      <c r="BF91" t="s">
        <v>57</v>
      </c>
      <c r="BG91" t="s">
        <v>55</v>
      </c>
      <c r="BH91" t="s">
        <v>58</v>
      </c>
      <c r="BI91" t="s">
        <v>58</v>
      </c>
    </row>
    <row r="92" spans="1:61" x14ac:dyDescent="0.25">
      <c r="A92" t="str" cm="1">
        <f t="array" ref="A92">_xlfn.IFS(AS92="RegularSeason",C92,AS92&lt;&gt;"RegularSeason",R92)</f>
        <v>00101101010010100000000000000111</v>
      </c>
      <c r="B92" t="str" cm="1">
        <f t="array" ref="B92">_xlfn.IFS(AS92="RegularSeason",D92,AS92&lt;&gt;"RegularSeason",K92)</f>
        <v>00101101010010100000000000000000</v>
      </c>
      <c r="C92" t="str">
        <f t="shared" si="3"/>
        <v>00101101010010100000000000000111</v>
      </c>
      <c r="D92" t="str">
        <f t="shared" si="4"/>
        <v>00101101010010100000000000000000</v>
      </c>
      <c r="E92" t="str" cm="1">
        <f t="array" ref="E92">_xlfn.XLOOKUP(_xlfn.XLOOKUP(G92,New!A:A,New!M:M,NONE),TeamIdentity!A:A,TeamIdentity!C:C,NONE)</f>
        <v>00000111</v>
      </c>
      <c r="F92" t="str" cm="1">
        <f t="array" ref="F92">_xlfn.XLOOKUP(_xlfn.XLOOKUP(G92,New!A:A,New!F:F,NONE),TeamIdentity!A:A,TeamIdentity!C:C,NONE)</f>
        <v>00000000</v>
      </c>
      <c r="G92" t="str">
        <f t="shared" si="5"/>
        <v>2-13</v>
      </c>
      <c r="H92" t="s">
        <v>54</v>
      </c>
      <c r="I92" t="s">
        <v>54</v>
      </c>
      <c r="J92" t="s">
        <v>54</v>
      </c>
      <c r="K92" t="s">
        <v>530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518</v>
      </c>
      <c r="S92">
        <v>-1</v>
      </c>
      <c r="T92">
        <v>0</v>
      </c>
      <c r="U92">
        <v>-1</v>
      </c>
      <c r="V92">
        <v>0</v>
      </c>
      <c r="W92" t="s">
        <v>70</v>
      </c>
      <c r="X92">
        <v>0</v>
      </c>
      <c r="Y92">
        <v>0</v>
      </c>
      <c r="Z92">
        <v>1220</v>
      </c>
      <c r="AA92" t="s">
        <v>57</v>
      </c>
      <c r="AB92">
        <v>0</v>
      </c>
      <c r="AC92">
        <v>0</v>
      </c>
      <c r="AD92">
        <v>0</v>
      </c>
      <c r="AE92">
        <v>0</v>
      </c>
      <c r="AF92" t="s">
        <v>60</v>
      </c>
      <c r="AG92">
        <v>0</v>
      </c>
      <c r="AH92">
        <v>0</v>
      </c>
      <c r="AI92">
        <v>0</v>
      </c>
      <c r="AJ92">
        <v>0</v>
      </c>
      <c r="AK92" t="s">
        <v>60</v>
      </c>
      <c r="AL92">
        <v>0</v>
      </c>
      <c r="AM92">
        <v>0</v>
      </c>
      <c r="AN92">
        <v>0</v>
      </c>
      <c r="AO92">
        <v>0</v>
      </c>
      <c r="AP92" t="b">
        <v>0</v>
      </c>
      <c r="AQ92" t="s">
        <v>58</v>
      </c>
      <c r="AR92" t="s">
        <v>58</v>
      </c>
      <c r="AS92" t="s">
        <v>71</v>
      </c>
      <c r="AT92">
        <v>14</v>
      </c>
      <c r="AU92">
        <v>2</v>
      </c>
      <c r="AV92">
        <v>13</v>
      </c>
      <c r="AW92">
        <v>11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s">
        <v>61</v>
      </c>
      <c r="BF92" t="s">
        <v>57</v>
      </c>
      <c r="BG92" t="s">
        <v>55</v>
      </c>
      <c r="BH92" t="s">
        <v>58</v>
      </c>
      <c r="BI92" t="s">
        <v>58</v>
      </c>
    </row>
    <row r="93" spans="1:61" x14ac:dyDescent="0.25">
      <c r="A93" t="str" cm="1">
        <f t="array" ref="A93">_xlfn.IFS(AS93="RegularSeason",C93,AS93&lt;&gt;"RegularSeason",R93)</f>
        <v>00101101010010100000000000001100</v>
      </c>
      <c r="B93" t="str" cm="1">
        <f t="array" ref="B93">_xlfn.IFS(AS93="RegularSeason",D93,AS93&lt;&gt;"RegularSeason",K93)</f>
        <v>00101101010010100000000000011111</v>
      </c>
      <c r="C93" t="str">
        <f t="shared" si="3"/>
        <v>00101101010010100000000000001100</v>
      </c>
      <c r="D93" t="str">
        <f t="shared" si="4"/>
        <v>00101101010010100000000000011111</v>
      </c>
      <c r="E93" t="str" cm="1">
        <f t="array" ref="E93">_xlfn.XLOOKUP(_xlfn.XLOOKUP(G93,New!A:A,New!M:M,NONE),TeamIdentity!A:A,TeamIdentity!C:C,NONE)</f>
        <v>00001100</v>
      </c>
      <c r="F93" t="str" cm="1">
        <f t="array" ref="F93">_xlfn.XLOOKUP(_xlfn.XLOOKUP(G93,New!A:A,New!F:F,NONE),TeamIdentity!A:A,TeamIdentity!C:C,NONE)</f>
        <v>00011111</v>
      </c>
      <c r="G93" t="str">
        <f t="shared" si="5"/>
        <v>2-5</v>
      </c>
      <c r="H93" t="s">
        <v>54</v>
      </c>
      <c r="I93" t="s">
        <v>54</v>
      </c>
      <c r="J93" t="s">
        <v>54</v>
      </c>
      <c r="K93" t="s">
        <v>534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511</v>
      </c>
      <c r="S93">
        <v>-1</v>
      </c>
      <c r="T93">
        <v>0</v>
      </c>
      <c r="U93">
        <v>-1</v>
      </c>
      <c r="V93">
        <v>0</v>
      </c>
      <c r="W93" t="s">
        <v>70</v>
      </c>
      <c r="X93">
        <v>0</v>
      </c>
      <c r="Y93">
        <v>0</v>
      </c>
      <c r="Z93">
        <v>780</v>
      </c>
      <c r="AA93" t="s">
        <v>57</v>
      </c>
      <c r="AB93">
        <v>0</v>
      </c>
      <c r="AC93">
        <v>0</v>
      </c>
      <c r="AD93">
        <v>0</v>
      </c>
      <c r="AE93">
        <v>0</v>
      </c>
      <c r="AF93" t="s">
        <v>67</v>
      </c>
      <c r="AG93">
        <v>0</v>
      </c>
      <c r="AH93">
        <v>0</v>
      </c>
      <c r="AI93">
        <v>0</v>
      </c>
      <c r="AJ93">
        <v>0</v>
      </c>
      <c r="AK93" t="s">
        <v>60</v>
      </c>
      <c r="AL93">
        <v>0</v>
      </c>
      <c r="AM93">
        <v>0</v>
      </c>
      <c r="AN93">
        <v>0</v>
      </c>
      <c r="AO93">
        <v>0</v>
      </c>
      <c r="AP93" t="b">
        <v>0</v>
      </c>
      <c r="AQ93" t="s">
        <v>58</v>
      </c>
      <c r="AR93" t="s">
        <v>58</v>
      </c>
      <c r="AS93" t="s">
        <v>71</v>
      </c>
      <c r="AT93">
        <v>14</v>
      </c>
      <c r="AU93">
        <v>2</v>
      </c>
      <c r="AV93">
        <v>5</v>
      </c>
      <c r="AW93">
        <v>11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s">
        <v>61</v>
      </c>
      <c r="BF93" t="s">
        <v>57</v>
      </c>
      <c r="BG93" t="s">
        <v>55</v>
      </c>
      <c r="BH93" t="s">
        <v>58</v>
      </c>
      <c r="BI93" t="s">
        <v>58</v>
      </c>
    </row>
    <row r="94" spans="1:61" x14ac:dyDescent="0.25">
      <c r="A94" t="str" cm="1">
        <f t="array" ref="A94">_xlfn.IFS(AS94="RegularSeason",C94,AS94&lt;&gt;"RegularSeason",R94)</f>
        <v>00101101010010100000000000010101</v>
      </c>
      <c r="B94" t="str" cm="1">
        <f t="array" ref="B94">_xlfn.IFS(AS94="RegularSeason",D94,AS94&lt;&gt;"RegularSeason",K94)</f>
        <v>00101101010010100000000000100011</v>
      </c>
      <c r="C94" t="str">
        <f t="shared" si="3"/>
        <v>00101101010010100000000000010101</v>
      </c>
      <c r="D94" t="str">
        <f t="shared" si="4"/>
        <v>00101101010010100000000000100011</v>
      </c>
      <c r="E94" t="str" cm="1">
        <f t="array" ref="E94">_xlfn.XLOOKUP(_xlfn.XLOOKUP(G94,New!A:A,New!M:M,NONE),TeamIdentity!A:A,TeamIdentity!C:C,NONE)</f>
        <v>00010101</v>
      </c>
      <c r="F94" t="str" cm="1">
        <f t="array" ref="F94">_xlfn.XLOOKUP(_xlfn.XLOOKUP(G94,New!A:A,New!F:F,NONE),TeamIdentity!A:A,TeamIdentity!C:C,NONE)</f>
        <v>00100011</v>
      </c>
      <c r="G94" t="str">
        <f t="shared" si="5"/>
        <v>3-14</v>
      </c>
      <c r="H94" t="s">
        <v>54</v>
      </c>
      <c r="I94" t="s">
        <v>54</v>
      </c>
      <c r="J94" t="s">
        <v>54</v>
      </c>
      <c r="K94" t="s">
        <v>519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542</v>
      </c>
      <c r="S94">
        <v>-1</v>
      </c>
      <c r="T94">
        <v>0</v>
      </c>
      <c r="U94">
        <v>-1</v>
      </c>
      <c r="V94">
        <v>0</v>
      </c>
      <c r="W94" t="s">
        <v>70</v>
      </c>
      <c r="X94">
        <v>0</v>
      </c>
      <c r="Y94">
        <v>0</v>
      </c>
      <c r="Z94">
        <v>1230</v>
      </c>
      <c r="AA94" t="s">
        <v>57</v>
      </c>
      <c r="AB94">
        <v>0</v>
      </c>
      <c r="AC94">
        <v>0</v>
      </c>
      <c r="AD94">
        <v>0</v>
      </c>
      <c r="AE94">
        <v>0</v>
      </c>
      <c r="AF94" t="s">
        <v>65</v>
      </c>
      <c r="AG94">
        <v>0</v>
      </c>
      <c r="AH94">
        <v>0</v>
      </c>
      <c r="AI94">
        <v>0</v>
      </c>
      <c r="AJ94">
        <v>0</v>
      </c>
      <c r="AK94" t="s">
        <v>65</v>
      </c>
      <c r="AL94">
        <v>0</v>
      </c>
      <c r="AM94">
        <v>0</v>
      </c>
      <c r="AN94">
        <v>0</v>
      </c>
      <c r="AO94">
        <v>0</v>
      </c>
      <c r="AP94" t="b">
        <v>0</v>
      </c>
      <c r="AQ94" t="s">
        <v>58</v>
      </c>
      <c r="AR94" t="s">
        <v>58</v>
      </c>
      <c r="AS94" t="s">
        <v>71</v>
      </c>
      <c r="AT94">
        <v>14</v>
      </c>
      <c r="AU94">
        <v>3</v>
      </c>
      <c r="AV94">
        <v>14</v>
      </c>
      <c r="AW94">
        <v>11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s">
        <v>61</v>
      </c>
      <c r="BF94" t="s">
        <v>57</v>
      </c>
      <c r="BG94" t="s">
        <v>55</v>
      </c>
      <c r="BH94" t="s">
        <v>58</v>
      </c>
      <c r="BI94" t="s">
        <v>58</v>
      </c>
    </row>
    <row r="95" spans="1:61" x14ac:dyDescent="0.25">
      <c r="A95" t="str" cm="1">
        <f t="array" ref="A95">_xlfn.IFS(AS95="RegularSeason",C95,AS95&lt;&gt;"RegularSeason",R95)</f>
        <v>00101101010010100000000000001011</v>
      </c>
      <c r="B95" t="str" cm="1">
        <f t="array" ref="B95">_xlfn.IFS(AS95="RegularSeason",D95,AS95&lt;&gt;"RegularSeason",K95)</f>
        <v>00101101010010100000000000011011</v>
      </c>
      <c r="C95" t="str">
        <f t="shared" si="3"/>
        <v>00101101010010100000000000001011</v>
      </c>
      <c r="D95" t="str">
        <f t="shared" si="4"/>
        <v>00101101010010100000000000011011</v>
      </c>
      <c r="E95" t="str" cm="1">
        <f t="array" ref="E95">_xlfn.XLOOKUP(_xlfn.XLOOKUP(G95,New!A:A,New!M:M,NONE),TeamIdentity!A:A,TeamIdentity!C:C,NONE)</f>
        <v>00001011</v>
      </c>
      <c r="F95" t="str" cm="1">
        <f t="array" ref="F95">_xlfn.XLOOKUP(_xlfn.XLOOKUP(G95,New!A:A,New!F:F,NONE),TeamIdentity!A:A,TeamIdentity!C:C,NONE)</f>
        <v>00011011</v>
      </c>
      <c r="G95" t="str">
        <f t="shared" si="5"/>
        <v>4-8</v>
      </c>
      <c r="H95" t="s">
        <v>54</v>
      </c>
      <c r="I95" t="s">
        <v>54</v>
      </c>
      <c r="J95" t="s">
        <v>54</v>
      </c>
      <c r="K95" t="s">
        <v>542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527</v>
      </c>
      <c r="S95">
        <v>-1</v>
      </c>
      <c r="T95">
        <v>0</v>
      </c>
      <c r="U95">
        <v>-1</v>
      </c>
      <c r="V95">
        <v>0</v>
      </c>
      <c r="W95" t="s">
        <v>70</v>
      </c>
      <c r="X95">
        <v>0</v>
      </c>
      <c r="Y95">
        <v>0</v>
      </c>
      <c r="Z95">
        <v>975</v>
      </c>
      <c r="AA95" t="s">
        <v>57</v>
      </c>
      <c r="AB95">
        <v>0</v>
      </c>
      <c r="AC95">
        <v>0</v>
      </c>
      <c r="AD95">
        <v>0</v>
      </c>
      <c r="AE95">
        <v>0</v>
      </c>
      <c r="AF95" t="s">
        <v>67</v>
      </c>
      <c r="AG95">
        <v>0</v>
      </c>
      <c r="AH95">
        <v>0</v>
      </c>
      <c r="AI95">
        <v>0</v>
      </c>
      <c r="AJ95">
        <v>0</v>
      </c>
      <c r="AK95" t="s">
        <v>60</v>
      </c>
      <c r="AL95">
        <v>0</v>
      </c>
      <c r="AM95">
        <v>0</v>
      </c>
      <c r="AN95">
        <v>0</v>
      </c>
      <c r="AO95">
        <v>0</v>
      </c>
      <c r="AP95" t="b">
        <v>0</v>
      </c>
      <c r="AQ95" t="s">
        <v>58</v>
      </c>
      <c r="AR95" t="s">
        <v>58</v>
      </c>
      <c r="AS95" t="s">
        <v>71</v>
      </c>
      <c r="AT95">
        <v>14</v>
      </c>
      <c r="AU95">
        <v>4</v>
      </c>
      <c r="AV95">
        <v>8</v>
      </c>
      <c r="AW95">
        <v>11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s">
        <v>61</v>
      </c>
      <c r="BF95" t="s">
        <v>57</v>
      </c>
      <c r="BG95" t="s">
        <v>55</v>
      </c>
      <c r="BH95" t="s">
        <v>58</v>
      </c>
      <c r="BI95" t="s">
        <v>58</v>
      </c>
    </row>
    <row r="96" spans="1:61" x14ac:dyDescent="0.25">
      <c r="A96" t="str" cm="1">
        <f t="array" ref="A96">_xlfn.IFS(AS96="RegularSeason",C96,AS96&lt;&gt;"RegularSeason",R96)</f>
        <v>00101101010010100000000000001111</v>
      </c>
      <c r="B96" t="str" cm="1">
        <f t="array" ref="B96">_xlfn.IFS(AS96="RegularSeason",D96,AS96&lt;&gt;"RegularSeason",K96)</f>
        <v>00101101010010100000000000001110</v>
      </c>
      <c r="C96" t="str">
        <f t="shared" si="3"/>
        <v>00101101010010100000000000001111</v>
      </c>
      <c r="D96" t="str">
        <f t="shared" si="4"/>
        <v>00101101010010100000000000001110</v>
      </c>
      <c r="E96" t="str" cm="1">
        <f t="array" ref="E96">_xlfn.XLOOKUP(_xlfn.XLOOKUP(G96,New!A:A,New!M:M,NONE),TeamIdentity!A:A,TeamIdentity!C:C,NONE)</f>
        <v>00001111</v>
      </c>
      <c r="F96" t="str" cm="1">
        <f t="array" ref="F96">_xlfn.XLOOKUP(_xlfn.XLOOKUP(G96,New!A:A,New!F:F,NONE),TeamIdentity!A:A,TeamIdentity!C:C,NONE)</f>
        <v>00001110</v>
      </c>
      <c r="G96" t="str">
        <f t="shared" si="5"/>
        <v>3-13</v>
      </c>
      <c r="H96" t="s">
        <v>54</v>
      </c>
      <c r="I96" t="s">
        <v>54</v>
      </c>
      <c r="J96" t="s">
        <v>54</v>
      </c>
      <c r="K96" t="s">
        <v>532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530</v>
      </c>
      <c r="S96">
        <v>-1</v>
      </c>
      <c r="T96">
        <v>0</v>
      </c>
      <c r="U96">
        <v>-1</v>
      </c>
      <c r="V96">
        <v>0</v>
      </c>
      <c r="W96" t="s">
        <v>70</v>
      </c>
      <c r="X96">
        <v>0</v>
      </c>
      <c r="Y96">
        <v>0</v>
      </c>
      <c r="Z96">
        <v>1220</v>
      </c>
      <c r="AA96" t="s">
        <v>57</v>
      </c>
      <c r="AB96">
        <v>0</v>
      </c>
      <c r="AC96">
        <v>0</v>
      </c>
      <c r="AD96">
        <v>0</v>
      </c>
      <c r="AE96">
        <v>0</v>
      </c>
      <c r="AF96" t="s">
        <v>60</v>
      </c>
      <c r="AG96">
        <v>0</v>
      </c>
      <c r="AH96">
        <v>0</v>
      </c>
      <c r="AI96">
        <v>0</v>
      </c>
      <c r="AJ96">
        <v>0</v>
      </c>
      <c r="AK96" t="s">
        <v>60</v>
      </c>
      <c r="AL96">
        <v>0</v>
      </c>
      <c r="AM96">
        <v>0</v>
      </c>
      <c r="AN96">
        <v>0</v>
      </c>
      <c r="AO96">
        <v>0</v>
      </c>
      <c r="AP96" t="b">
        <v>0</v>
      </c>
      <c r="AQ96" t="s">
        <v>58</v>
      </c>
      <c r="AR96" t="s">
        <v>58</v>
      </c>
      <c r="AS96" t="s">
        <v>71</v>
      </c>
      <c r="AT96">
        <v>14</v>
      </c>
      <c r="AU96">
        <v>3</v>
      </c>
      <c r="AV96">
        <v>13</v>
      </c>
      <c r="AW96">
        <v>11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s">
        <v>61</v>
      </c>
      <c r="BF96" t="s">
        <v>57</v>
      </c>
      <c r="BG96" t="s">
        <v>55</v>
      </c>
      <c r="BH96" t="s">
        <v>58</v>
      </c>
      <c r="BI96" t="s">
        <v>58</v>
      </c>
    </row>
    <row r="97" spans="1:61" x14ac:dyDescent="0.25">
      <c r="A97" t="str" cm="1">
        <f t="array" ref="A97">_xlfn.IFS(AS97="RegularSeason",C97,AS97&lt;&gt;"RegularSeason",R97)</f>
        <v>00101101010010100000000000011111</v>
      </c>
      <c r="B97" t="str" cm="1">
        <f t="array" ref="B97">_xlfn.IFS(AS97="RegularSeason",D97,AS97&lt;&gt;"RegularSeason",K97)</f>
        <v>00101101010010100000000000010001</v>
      </c>
      <c r="C97" t="str">
        <f t="shared" si="3"/>
        <v>00101101010010100000000000011111</v>
      </c>
      <c r="D97" t="str">
        <f t="shared" si="4"/>
        <v>00101101010010100000000000010001</v>
      </c>
      <c r="E97" t="str" cm="1">
        <f t="array" ref="E97">_xlfn.XLOOKUP(_xlfn.XLOOKUP(G97,New!A:A,New!M:M,NONE),TeamIdentity!A:A,TeamIdentity!C:C,NONE)</f>
        <v>00011111</v>
      </c>
      <c r="F97" t="str" cm="1">
        <f t="array" ref="F97">_xlfn.XLOOKUP(_xlfn.XLOOKUP(G97,New!A:A,New!F:F,NONE),TeamIdentity!A:A,TeamIdentity!C:C,NONE)</f>
        <v>00010001</v>
      </c>
      <c r="G97" t="str">
        <f t="shared" si="5"/>
        <v>3-1</v>
      </c>
      <c r="H97" t="s">
        <v>54</v>
      </c>
      <c r="I97" t="s">
        <v>54</v>
      </c>
      <c r="J97" t="s">
        <v>54</v>
      </c>
      <c r="K97" t="s">
        <v>527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541</v>
      </c>
      <c r="S97">
        <v>-1</v>
      </c>
      <c r="T97">
        <v>0</v>
      </c>
      <c r="U97">
        <v>-1</v>
      </c>
      <c r="V97">
        <v>0</v>
      </c>
      <c r="W97" t="s">
        <v>70</v>
      </c>
      <c r="X97">
        <v>0</v>
      </c>
      <c r="Y97">
        <v>0</v>
      </c>
      <c r="Z97">
        <v>780</v>
      </c>
      <c r="AA97" t="s">
        <v>57</v>
      </c>
      <c r="AB97">
        <v>0</v>
      </c>
      <c r="AC97">
        <v>0</v>
      </c>
      <c r="AD97">
        <v>0</v>
      </c>
      <c r="AE97">
        <v>0</v>
      </c>
      <c r="AF97" t="s">
        <v>67</v>
      </c>
      <c r="AG97">
        <v>0</v>
      </c>
      <c r="AH97">
        <v>0</v>
      </c>
      <c r="AI97">
        <v>0</v>
      </c>
      <c r="AJ97">
        <v>0</v>
      </c>
      <c r="AK97" t="s">
        <v>60</v>
      </c>
      <c r="AL97">
        <v>0</v>
      </c>
      <c r="AM97">
        <v>0</v>
      </c>
      <c r="AN97">
        <v>0</v>
      </c>
      <c r="AO97">
        <v>0</v>
      </c>
      <c r="AP97" t="b">
        <v>0</v>
      </c>
      <c r="AQ97" t="s">
        <v>58</v>
      </c>
      <c r="AR97" t="s">
        <v>58</v>
      </c>
      <c r="AS97" t="s">
        <v>71</v>
      </c>
      <c r="AT97">
        <v>14</v>
      </c>
      <c r="AU97">
        <v>3</v>
      </c>
      <c r="AV97">
        <v>1</v>
      </c>
      <c r="AW97">
        <v>11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s">
        <v>61</v>
      </c>
      <c r="BF97" t="s">
        <v>57</v>
      </c>
      <c r="BG97" t="s">
        <v>55</v>
      </c>
      <c r="BH97" t="s">
        <v>58</v>
      </c>
      <c r="BI97" t="s">
        <v>58</v>
      </c>
    </row>
    <row r="98" spans="1:61" x14ac:dyDescent="0.25">
      <c r="A98" t="str" cm="1">
        <f t="array" ref="A98">_xlfn.IFS(AS98="RegularSeason",C98,AS98&lt;&gt;"RegularSeason",R98)</f>
        <v>00101101010010100000000000100010</v>
      </c>
      <c r="B98" t="str" cm="1">
        <f t="array" ref="B98">_xlfn.IFS(AS98="RegularSeason",D98,AS98&lt;&gt;"RegularSeason",K98)</f>
        <v>00101101010010100000000000011110</v>
      </c>
      <c r="C98" t="str">
        <f t="shared" si="3"/>
        <v>00101101010010100000000000100010</v>
      </c>
      <c r="D98" t="str">
        <f t="shared" si="4"/>
        <v>00101101010010100000000000011110</v>
      </c>
      <c r="E98" t="str" cm="1">
        <f t="array" ref="E98">_xlfn.XLOOKUP(_xlfn.XLOOKUP(G98,New!A:A,New!M:M,NONE),TeamIdentity!A:A,TeamIdentity!C:C,NONE)</f>
        <v>00100010</v>
      </c>
      <c r="F98" t="str" cm="1">
        <f t="array" ref="F98">_xlfn.XLOOKUP(_xlfn.XLOOKUP(G98,New!A:A,New!F:F,NONE),TeamIdentity!A:A,TeamIdentity!C:C,NONE)</f>
        <v>00011110</v>
      </c>
      <c r="G98" t="str">
        <f t="shared" si="5"/>
        <v>3-2</v>
      </c>
      <c r="H98" t="s">
        <v>54</v>
      </c>
      <c r="I98" t="s">
        <v>54</v>
      </c>
      <c r="J98" t="s">
        <v>54</v>
      </c>
      <c r="K98" t="s">
        <v>540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534</v>
      </c>
      <c r="S98">
        <v>-1</v>
      </c>
      <c r="T98">
        <v>0</v>
      </c>
      <c r="U98">
        <v>-1</v>
      </c>
      <c r="V98">
        <v>0</v>
      </c>
      <c r="W98" t="s">
        <v>70</v>
      </c>
      <c r="X98">
        <v>0</v>
      </c>
      <c r="Y98">
        <v>0</v>
      </c>
      <c r="Z98">
        <v>780</v>
      </c>
      <c r="AA98" t="s">
        <v>57</v>
      </c>
      <c r="AB98">
        <v>0</v>
      </c>
      <c r="AC98">
        <v>0</v>
      </c>
      <c r="AD98">
        <v>0</v>
      </c>
      <c r="AE98">
        <v>0</v>
      </c>
      <c r="AF98" t="s">
        <v>67</v>
      </c>
      <c r="AG98">
        <v>0</v>
      </c>
      <c r="AH98">
        <v>0</v>
      </c>
      <c r="AI98">
        <v>0</v>
      </c>
      <c r="AJ98">
        <v>0</v>
      </c>
      <c r="AK98" t="s">
        <v>60</v>
      </c>
      <c r="AL98">
        <v>0</v>
      </c>
      <c r="AM98">
        <v>0</v>
      </c>
      <c r="AN98">
        <v>0</v>
      </c>
      <c r="AO98">
        <v>0</v>
      </c>
      <c r="AP98" t="b">
        <v>0</v>
      </c>
      <c r="AQ98" t="s">
        <v>58</v>
      </c>
      <c r="AR98" t="s">
        <v>58</v>
      </c>
      <c r="AS98" t="s">
        <v>71</v>
      </c>
      <c r="AT98">
        <v>14</v>
      </c>
      <c r="AU98">
        <v>3</v>
      </c>
      <c r="AV98">
        <v>2</v>
      </c>
      <c r="AW98">
        <v>11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s">
        <v>61</v>
      </c>
      <c r="BF98" t="s">
        <v>57</v>
      </c>
      <c r="BG98" t="s">
        <v>55</v>
      </c>
      <c r="BH98" t="s">
        <v>58</v>
      </c>
      <c r="BI98" t="s">
        <v>58</v>
      </c>
    </row>
    <row r="99" spans="1:61" x14ac:dyDescent="0.25">
      <c r="A99" t="str" cm="1">
        <f t="array" ref="A99">_xlfn.IFS(AS99="RegularSeason",C99,AS99&lt;&gt;"RegularSeason",R99)</f>
        <v>00101101010010100000000000011101</v>
      </c>
      <c r="B99" t="str" cm="1">
        <f t="array" ref="B99">_xlfn.IFS(AS99="RegularSeason",D99,AS99&lt;&gt;"RegularSeason",K99)</f>
        <v>00101101010010100000000000010000</v>
      </c>
      <c r="C99" t="str">
        <f t="shared" si="3"/>
        <v>00101101010010100000000000011101</v>
      </c>
      <c r="D99" t="str">
        <f t="shared" si="4"/>
        <v>00101101010010100000000000010000</v>
      </c>
      <c r="E99" t="str" cm="1">
        <f t="array" ref="E99">_xlfn.XLOOKUP(_xlfn.XLOOKUP(G99,New!A:A,New!M:M,NONE),TeamIdentity!A:A,TeamIdentity!C:C,NONE)</f>
        <v>00011101</v>
      </c>
      <c r="F99" t="str" cm="1">
        <f t="array" ref="F99">_xlfn.XLOOKUP(_xlfn.XLOOKUP(G99,New!A:A,New!F:F,NONE),TeamIdentity!A:A,TeamIdentity!C:C,NONE)</f>
        <v>00010000</v>
      </c>
      <c r="G99" t="str">
        <f t="shared" si="5"/>
        <v>4-0</v>
      </c>
      <c r="H99" t="s">
        <v>54</v>
      </c>
      <c r="I99" t="s">
        <v>54</v>
      </c>
      <c r="J99" t="s">
        <v>54</v>
      </c>
      <c r="K99" t="s">
        <v>538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537</v>
      </c>
      <c r="S99">
        <v>-1</v>
      </c>
      <c r="T99">
        <v>0</v>
      </c>
      <c r="U99">
        <v>-1</v>
      </c>
      <c r="V99">
        <v>0</v>
      </c>
      <c r="W99" t="s">
        <v>70</v>
      </c>
      <c r="X99">
        <v>0</v>
      </c>
      <c r="Y99">
        <v>0</v>
      </c>
      <c r="Z99">
        <v>780</v>
      </c>
      <c r="AA99" t="s">
        <v>57</v>
      </c>
      <c r="AB99">
        <v>0</v>
      </c>
      <c r="AC99">
        <v>0</v>
      </c>
      <c r="AD99">
        <v>0</v>
      </c>
      <c r="AE99">
        <v>0</v>
      </c>
      <c r="AF99" t="s">
        <v>67</v>
      </c>
      <c r="AG99">
        <v>0</v>
      </c>
      <c r="AH99">
        <v>0</v>
      </c>
      <c r="AI99">
        <v>0</v>
      </c>
      <c r="AJ99">
        <v>0</v>
      </c>
      <c r="AK99" t="s">
        <v>60</v>
      </c>
      <c r="AL99">
        <v>0</v>
      </c>
      <c r="AM99">
        <v>0</v>
      </c>
      <c r="AN99">
        <v>0</v>
      </c>
      <c r="AO99">
        <v>0</v>
      </c>
      <c r="AP99" t="b">
        <v>0</v>
      </c>
      <c r="AQ99" t="s">
        <v>58</v>
      </c>
      <c r="AR99" t="s">
        <v>58</v>
      </c>
      <c r="AS99" t="s">
        <v>71</v>
      </c>
      <c r="AT99">
        <v>14</v>
      </c>
      <c r="AU99">
        <v>4</v>
      </c>
      <c r="AV99">
        <v>0</v>
      </c>
      <c r="AW99">
        <v>11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s">
        <v>61</v>
      </c>
      <c r="BF99" t="s">
        <v>57</v>
      </c>
      <c r="BG99" t="s">
        <v>55</v>
      </c>
      <c r="BH99" t="s">
        <v>58</v>
      </c>
      <c r="BI99" t="s">
        <v>58</v>
      </c>
    </row>
    <row r="100" spans="1:61" x14ac:dyDescent="0.25">
      <c r="A100" t="str" cm="1">
        <f t="array" ref="A100">_xlfn.IFS(AS100="RegularSeason",C100,AS100&lt;&gt;"RegularSeason",R100)</f>
        <v>00101101010010100000000000010001</v>
      </c>
      <c r="B100" t="str" cm="1">
        <f t="array" ref="B100">_xlfn.IFS(AS100="RegularSeason",D100,AS100&lt;&gt;"RegularSeason",K100)</f>
        <v>00101101010010100000000000011010</v>
      </c>
      <c r="C100" t="str">
        <f t="shared" si="3"/>
        <v>00101101010010100000000000010001</v>
      </c>
      <c r="D100" t="str">
        <f t="shared" si="4"/>
        <v>00101101010010100000000000011010</v>
      </c>
      <c r="E100" t="str" cm="1">
        <f t="array" ref="E100">_xlfn.XLOOKUP(_xlfn.XLOOKUP(G100,New!A:A,New!M:M,NONE),TeamIdentity!A:A,TeamIdentity!C:C,NONE)</f>
        <v>00010001</v>
      </c>
      <c r="F100" t="str" cm="1">
        <f t="array" ref="F100">_xlfn.XLOOKUP(_xlfn.XLOOKUP(G100,New!A:A,New!F:F,NONE),TeamIdentity!A:A,TeamIdentity!C:C,NONE)</f>
        <v>00011010</v>
      </c>
      <c r="G100" t="str">
        <f t="shared" si="5"/>
        <v>2-8</v>
      </c>
      <c r="H100" t="s">
        <v>54</v>
      </c>
      <c r="I100" t="s">
        <v>54</v>
      </c>
      <c r="J100" t="s">
        <v>54</v>
      </c>
      <c r="K100" t="s">
        <v>541</v>
      </c>
      <c r="L100" t="s">
        <v>54</v>
      </c>
      <c r="M100" t="s">
        <v>54</v>
      </c>
      <c r="N100" t="s">
        <v>54</v>
      </c>
      <c r="O100" t="s">
        <v>54</v>
      </c>
      <c r="P100" t="s">
        <v>54</v>
      </c>
      <c r="Q100" t="s">
        <v>54</v>
      </c>
      <c r="R100" t="s">
        <v>533</v>
      </c>
      <c r="S100">
        <v>-1</v>
      </c>
      <c r="T100">
        <v>0</v>
      </c>
      <c r="U100">
        <v>-1</v>
      </c>
      <c r="V100">
        <v>0</v>
      </c>
      <c r="W100" t="s">
        <v>70</v>
      </c>
      <c r="X100">
        <v>0</v>
      </c>
      <c r="Y100">
        <v>0</v>
      </c>
      <c r="Z100">
        <v>965</v>
      </c>
      <c r="AA100" t="s">
        <v>57</v>
      </c>
      <c r="AB100">
        <v>0</v>
      </c>
      <c r="AC100">
        <v>0</v>
      </c>
      <c r="AD100">
        <v>0</v>
      </c>
      <c r="AE100">
        <v>0</v>
      </c>
      <c r="AF100" t="s">
        <v>67</v>
      </c>
      <c r="AG100">
        <v>0</v>
      </c>
      <c r="AH100">
        <v>0</v>
      </c>
      <c r="AI100">
        <v>0</v>
      </c>
      <c r="AJ100">
        <v>0</v>
      </c>
      <c r="AK100" t="s">
        <v>60</v>
      </c>
      <c r="AL100">
        <v>0</v>
      </c>
      <c r="AM100">
        <v>0</v>
      </c>
      <c r="AN100">
        <v>0</v>
      </c>
      <c r="AO100">
        <v>0</v>
      </c>
      <c r="AP100" t="b">
        <v>0</v>
      </c>
      <c r="AQ100" t="s">
        <v>58</v>
      </c>
      <c r="AR100" t="s">
        <v>58</v>
      </c>
      <c r="AS100" t="s">
        <v>71</v>
      </c>
      <c r="AT100">
        <v>14</v>
      </c>
      <c r="AU100">
        <v>2</v>
      </c>
      <c r="AV100">
        <v>8</v>
      </c>
      <c r="AW100">
        <v>11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s">
        <v>61</v>
      </c>
      <c r="BF100" t="s">
        <v>57</v>
      </c>
      <c r="BG100" t="s">
        <v>55</v>
      </c>
      <c r="BH100" t="s">
        <v>58</v>
      </c>
      <c r="BI100" t="s">
        <v>58</v>
      </c>
    </row>
    <row r="101" spans="1:61" x14ac:dyDescent="0.25">
      <c r="A101" t="str" cm="1">
        <f t="array" ref="A101">_xlfn.IFS(AS101="RegularSeason",C101,AS101&lt;&gt;"RegularSeason",R101)</f>
        <v>00101101010010100000000000010110</v>
      </c>
      <c r="B101" t="str" cm="1">
        <f t="array" ref="B101">_xlfn.IFS(AS101="RegularSeason",D101,AS101&lt;&gt;"RegularSeason",K101)</f>
        <v>00101101010010100000000000011100</v>
      </c>
      <c r="C101" t="str">
        <f t="shared" si="3"/>
        <v>00101101010010100000000000010110</v>
      </c>
      <c r="D101" t="str">
        <f t="shared" si="4"/>
        <v>00101101010010100000000000011100</v>
      </c>
      <c r="E101" t="str" cm="1">
        <f t="array" ref="E101">_xlfn.XLOOKUP(_xlfn.XLOOKUP(G101,New!A:A,New!M:M,NONE),TeamIdentity!A:A,TeamIdentity!C:C,NONE)</f>
        <v>00010110</v>
      </c>
      <c r="F101" t="str" cm="1">
        <f t="array" ref="F101">_xlfn.XLOOKUP(_xlfn.XLOOKUP(G101,New!A:A,New!F:F,NONE),TeamIdentity!A:A,TeamIdentity!C:C,NONE)</f>
        <v>00011100</v>
      </c>
      <c r="G101" t="str">
        <f t="shared" si="5"/>
        <v>3-3</v>
      </c>
      <c r="H101" t="s">
        <v>54</v>
      </c>
      <c r="I101" t="s">
        <v>54</v>
      </c>
      <c r="J101" t="s">
        <v>54</v>
      </c>
      <c r="K101" t="s">
        <v>523</v>
      </c>
      <c r="L101" t="s">
        <v>54</v>
      </c>
      <c r="M101" t="s">
        <v>54</v>
      </c>
      <c r="N101" t="s">
        <v>54</v>
      </c>
      <c r="O101" t="s">
        <v>54</v>
      </c>
      <c r="P101" t="s">
        <v>54</v>
      </c>
      <c r="Q101" t="s">
        <v>54</v>
      </c>
      <c r="R101" t="s">
        <v>515</v>
      </c>
      <c r="S101">
        <v>-1</v>
      </c>
      <c r="T101">
        <v>0</v>
      </c>
      <c r="U101">
        <v>-1</v>
      </c>
      <c r="V101">
        <v>0</v>
      </c>
      <c r="W101" t="s">
        <v>70</v>
      </c>
      <c r="X101">
        <v>0</v>
      </c>
      <c r="Y101">
        <v>0</v>
      </c>
      <c r="Z101">
        <v>780</v>
      </c>
      <c r="AA101" t="s">
        <v>57</v>
      </c>
      <c r="AB101">
        <v>0</v>
      </c>
      <c r="AC101">
        <v>0</v>
      </c>
      <c r="AD101">
        <v>0</v>
      </c>
      <c r="AE101">
        <v>0</v>
      </c>
      <c r="AF101" t="s">
        <v>67</v>
      </c>
      <c r="AG101">
        <v>0</v>
      </c>
      <c r="AH101">
        <v>0</v>
      </c>
      <c r="AI101">
        <v>0</v>
      </c>
      <c r="AJ101">
        <v>0</v>
      </c>
      <c r="AK101" t="s">
        <v>60</v>
      </c>
      <c r="AL101">
        <v>0</v>
      </c>
      <c r="AM101">
        <v>0</v>
      </c>
      <c r="AN101">
        <v>0</v>
      </c>
      <c r="AO101">
        <v>0</v>
      </c>
      <c r="AP101" t="b">
        <v>0</v>
      </c>
      <c r="AQ101" t="s">
        <v>58</v>
      </c>
      <c r="AR101" t="s">
        <v>58</v>
      </c>
      <c r="AS101" t="s">
        <v>71</v>
      </c>
      <c r="AT101">
        <v>14</v>
      </c>
      <c r="AU101">
        <v>3</v>
      </c>
      <c r="AV101">
        <v>3</v>
      </c>
      <c r="AW101">
        <v>11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s">
        <v>61</v>
      </c>
      <c r="BF101" t="s">
        <v>57</v>
      </c>
      <c r="BG101" t="s">
        <v>55</v>
      </c>
      <c r="BH101" t="s">
        <v>58</v>
      </c>
      <c r="BI101" t="s">
        <v>58</v>
      </c>
    </row>
    <row r="102" spans="1:61" x14ac:dyDescent="0.25">
      <c r="A102" t="str" cm="1">
        <f t="array" ref="A102">_xlfn.IFS(AS102="RegularSeason",C102,AS102&lt;&gt;"RegularSeason",R102)</f>
        <v>00101101010010100000000000001101</v>
      </c>
      <c r="B102" t="str" cm="1">
        <f t="array" ref="B102">_xlfn.IFS(AS102="RegularSeason",D102,AS102&lt;&gt;"RegularSeason",K102)</f>
        <v>00101101010010100000000000001011</v>
      </c>
      <c r="C102" t="str">
        <f t="shared" si="3"/>
        <v>00101101010010100000000000001101</v>
      </c>
      <c r="D102" t="str">
        <f t="shared" si="4"/>
        <v>00101101010010100000000000001011</v>
      </c>
      <c r="E102" t="str" cm="1">
        <f t="array" ref="E102">_xlfn.XLOOKUP(_xlfn.XLOOKUP(G102,New!A:A,New!M:M,NONE),TeamIdentity!A:A,TeamIdentity!C:C,NONE)</f>
        <v>00001101</v>
      </c>
      <c r="F102" t="str" cm="1">
        <f t="array" ref="F102">_xlfn.XLOOKUP(_xlfn.XLOOKUP(G102,New!A:A,New!F:F,NONE),TeamIdentity!A:A,TeamIdentity!C:C,NONE)</f>
        <v>00001011</v>
      </c>
      <c r="G102" t="str">
        <f t="shared" si="5"/>
        <v>2-9</v>
      </c>
      <c r="H102" t="s">
        <v>54</v>
      </c>
      <c r="I102" t="s">
        <v>54</v>
      </c>
      <c r="J102" t="s">
        <v>54</v>
      </c>
      <c r="K102" t="s">
        <v>519</v>
      </c>
      <c r="L102" t="s">
        <v>54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527</v>
      </c>
      <c r="S102">
        <v>-1</v>
      </c>
      <c r="T102">
        <v>0</v>
      </c>
      <c r="U102">
        <v>-1</v>
      </c>
      <c r="V102">
        <v>0</v>
      </c>
      <c r="W102" t="s">
        <v>70</v>
      </c>
      <c r="X102">
        <v>0</v>
      </c>
      <c r="Y102">
        <v>0</v>
      </c>
      <c r="Z102">
        <v>965</v>
      </c>
      <c r="AA102" t="s">
        <v>57</v>
      </c>
      <c r="AB102">
        <v>0</v>
      </c>
      <c r="AC102">
        <v>0</v>
      </c>
      <c r="AD102">
        <v>0</v>
      </c>
      <c r="AE102">
        <v>0</v>
      </c>
      <c r="AF102" t="s">
        <v>67</v>
      </c>
      <c r="AG102">
        <v>0</v>
      </c>
      <c r="AH102">
        <v>0</v>
      </c>
      <c r="AI102">
        <v>0</v>
      </c>
      <c r="AJ102">
        <v>0</v>
      </c>
      <c r="AK102" t="s">
        <v>60</v>
      </c>
      <c r="AL102">
        <v>0</v>
      </c>
      <c r="AM102">
        <v>0</v>
      </c>
      <c r="AN102">
        <v>0</v>
      </c>
      <c r="AO102">
        <v>0</v>
      </c>
      <c r="AP102" t="b">
        <v>0</v>
      </c>
      <c r="AQ102" t="s">
        <v>58</v>
      </c>
      <c r="AR102" t="s">
        <v>58</v>
      </c>
      <c r="AS102" t="s">
        <v>71</v>
      </c>
      <c r="AT102">
        <v>14</v>
      </c>
      <c r="AU102">
        <v>2</v>
      </c>
      <c r="AV102">
        <v>9</v>
      </c>
      <c r="AW102">
        <v>11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s">
        <v>61</v>
      </c>
      <c r="BF102" t="s">
        <v>57</v>
      </c>
      <c r="BG102" t="s">
        <v>55</v>
      </c>
      <c r="BH102" t="s">
        <v>58</v>
      </c>
      <c r="BI102" t="s">
        <v>58</v>
      </c>
    </row>
    <row r="103" spans="1:61" x14ac:dyDescent="0.25">
      <c r="A103" t="str" cm="1">
        <f t="array" ref="A103">_xlfn.IFS(AS103="RegularSeason",C103,AS103&lt;&gt;"RegularSeason",R103)</f>
        <v>00101101010010100000000000011100</v>
      </c>
      <c r="B103" t="str" cm="1">
        <f t="array" ref="B103">_xlfn.IFS(AS103="RegularSeason",D103,AS103&lt;&gt;"RegularSeason",K103)</f>
        <v>00101101010010100000000000001111</v>
      </c>
      <c r="C103" t="str">
        <f t="shared" si="3"/>
        <v>00101101010010100000000000011100</v>
      </c>
      <c r="D103" t="str">
        <f t="shared" si="4"/>
        <v>00101101010010100000000000001111</v>
      </c>
      <c r="E103" t="str" cm="1">
        <f t="array" ref="E103">_xlfn.XLOOKUP(_xlfn.XLOOKUP(G103,New!A:A,New!M:M,NONE),TeamIdentity!A:A,TeamIdentity!C:C,NONE)</f>
        <v>00011100</v>
      </c>
      <c r="F103" t="str" cm="1">
        <f t="array" ref="F103">_xlfn.XLOOKUP(_xlfn.XLOOKUP(G103,New!A:A,New!F:F,NONE),TeamIdentity!A:A,TeamIdentity!C:C,NONE)</f>
        <v>00001111</v>
      </c>
      <c r="G103" t="str">
        <f t="shared" si="5"/>
        <v>2-6</v>
      </c>
      <c r="H103" t="s">
        <v>54</v>
      </c>
      <c r="I103" t="s">
        <v>54</v>
      </c>
      <c r="J103" t="s">
        <v>54</v>
      </c>
      <c r="K103" t="s">
        <v>525</v>
      </c>
      <c r="L103" t="s">
        <v>54</v>
      </c>
      <c r="M103" t="s">
        <v>54</v>
      </c>
      <c r="N103" t="s">
        <v>54</v>
      </c>
      <c r="O103" t="s">
        <v>54</v>
      </c>
      <c r="P103" t="s">
        <v>54</v>
      </c>
      <c r="Q103" t="s">
        <v>54</v>
      </c>
      <c r="R103" t="s">
        <v>523</v>
      </c>
      <c r="S103">
        <v>-1</v>
      </c>
      <c r="T103">
        <v>0</v>
      </c>
      <c r="U103">
        <v>-1</v>
      </c>
      <c r="V103">
        <v>0</v>
      </c>
      <c r="W103" t="s">
        <v>70</v>
      </c>
      <c r="X103">
        <v>0</v>
      </c>
      <c r="Y103">
        <v>0</v>
      </c>
      <c r="Z103">
        <v>780</v>
      </c>
      <c r="AA103" t="s">
        <v>57</v>
      </c>
      <c r="AB103">
        <v>0</v>
      </c>
      <c r="AC103">
        <v>0</v>
      </c>
      <c r="AD103">
        <v>0</v>
      </c>
      <c r="AE103">
        <v>0</v>
      </c>
      <c r="AF103" t="s">
        <v>67</v>
      </c>
      <c r="AG103">
        <v>0</v>
      </c>
      <c r="AH103">
        <v>0</v>
      </c>
      <c r="AI103">
        <v>0</v>
      </c>
      <c r="AJ103">
        <v>0</v>
      </c>
      <c r="AK103" t="s">
        <v>60</v>
      </c>
      <c r="AL103">
        <v>0</v>
      </c>
      <c r="AM103">
        <v>0</v>
      </c>
      <c r="AN103">
        <v>0</v>
      </c>
      <c r="AO103">
        <v>0</v>
      </c>
      <c r="AP103" t="b">
        <v>0</v>
      </c>
      <c r="AQ103" t="s">
        <v>58</v>
      </c>
      <c r="AR103" t="s">
        <v>58</v>
      </c>
      <c r="AS103" t="s">
        <v>71</v>
      </c>
      <c r="AT103">
        <v>14</v>
      </c>
      <c r="AU103">
        <v>2</v>
      </c>
      <c r="AV103">
        <v>6</v>
      </c>
      <c r="AW103">
        <v>11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s">
        <v>61</v>
      </c>
      <c r="BF103" t="s">
        <v>57</v>
      </c>
      <c r="BG103" t="s">
        <v>55</v>
      </c>
      <c r="BH103" t="s">
        <v>58</v>
      </c>
      <c r="BI103" t="s">
        <v>58</v>
      </c>
    </row>
    <row r="104" spans="1:61" x14ac:dyDescent="0.25">
      <c r="A104" t="str" cm="1">
        <f t="array" ref="A104">_xlfn.IFS(AS104="RegularSeason",C104,AS104&lt;&gt;"RegularSeason",R104)</f>
        <v>00101101010010100000000000100100</v>
      </c>
      <c r="B104" t="str" cm="1">
        <f t="array" ref="B104">_xlfn.IFS(AS104="RegularSeason",D104,AS104&lt;&gt;"RegularSeason",K104)</f>
        <v>00101101010010100000000000010000</v>
      </c>
      <c r="C104" t="str">
        <f t="shared" si="3"/>
        <v>00101101010010100000000000100100</v>
      </c>
      <c r="D104" t="str">
        <f t="shared" si="4"/>
        <v>00101101010010100000000000010000</v>
      </c>
      <c r="E104" t="str" cm="1">
        <f t="array" ref="E104">_xlfn.XLOOKUP(_xlfn.XLOOKUP(G104,New!A:A,New!M:M,NONE),TeamIdentity!A:A,TeamIdentity!C:C,NONE)</f>
        <v>00100100</v>
      </c>
      <c r="F104" t="str" cm="1">
        <f t="array" ref="F104">_xlfn.XLOOKUP(_xlfn.XLOOKUP(G104,New!A:A,New!F:F,NONE),TeamIdentity!A:A,TeamIdentity!C:C,NONE)</f>
        <v>00010000</v>
      </c>
      <c r="G104" t="str">
        <f t="shared" si="5"/>
        <v>2-7</v>
      </c>
      <c r="H104" t="s">
        <v>54</v>
      </c>
      <c r="I104" t="s">
        <v>54</v>
      </c>
      <c r="J104" t="s">
        <v>54</v>
      </c>
      <c r="K104" t="s">
        <v>520</v>
      </c>
      <c r="L104" t="s">
        <v>54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517</v>
      </c>
      <c r="S104">
        <v>-1</v>
      </c>
      <c r="T104">
        <v>0</v>
      </c>
      <c r="U104">
        <v>-1</v>
      </c>
      <c r="V104">
        <v>0</v>
      </c>
      <c r="W104" t="s">
        <v>70</v>
      </c>
      <c r="X104">
        <v>0</v>
      </c>
      <c r="Y104">
        <v>0</v>
      </c>
      <c r="Z104">
        <v>780</v>
      </c>
      <c r="AA104" t="s">
        <v>57</v>
      </c>
      <c r="AB104">
        <v>0</v>
      </c>
      <c r="AC104">
        <v>0</v>
      </c>
      <c r="AD104">
        <v>0</v>
      </c>
      <c r="AE104">
        <v>0</v>
      </c>
      <c r="AF104" t="s">
        <v>67</v>
      </c>
      <c r="AG104">
        <v>0</v>
      </c>
      <c r="AH104">
        <v>0</v>
      </c>
      <c r="AI104">
        <v>0</v>
      </c>
      <c r="AJ104">
        <v>0</v>
      </c>
      <c r="AK104" t="s">
        <v>60</v>
      </c>
      <c r="AL104">
        <v>0</v>
      </c>
      <c r="AM104">
        <v>0</v>
      </c>
      <c r="AN104">
        <v>0</v>
      </c>
      <c r="AO104">
        <v>0</v>
      </c>
      <c r="AP104" t="b">
        <v>0</v>
      </c>
      <c r="AQ104" t="s">
        <v>58</v>
      </c>
      <c r="AR104" t="s">
        <v>58</v>
      </c>
      <c r="AS104" t="s">
        <v>71</v>
      </c>
      <c r="AT104">
        <v>14</v>
      </c>
      <c r="AU104">
        <v>2</v>
      </c>
      <c r="AV104">
        <v>7</v>
      </c>
      <c r="AW104">
        <v>11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s">
        <v>61</v>
      </c>
      <c r="BF104" t="s">
        <v>57</v>
      </c>
      <c r="BG104" t="s">
        <v>55</v>
      </c>
      <c r="BH104" t="s">
        <v>58</v>
      </c>
      <c r="BI104" t="s">
        <v>58</v>
      </c>
    </row>
    <row r="105" spans="1:61" x14ac:dyDescent="0.25">
      <c r="A105" t="str" cm="1">
        <f t="array" ref="A105">_xlfn.IFS(AS105="RegularSeason",C105,AS105&lt;&gt;"RegularSeason",R105)</f>
        <v>00101101010010100000000000000110</v>
      </c>
      <c r="B105" t="str" cm="1">
        <f t="array" ref="B105">_xlfn.IFS(AS105="RegularSeason",D105,AS105&lt;&gt;"RegularSeason",K105)</f>
        <v>00101101010010100000000000010101</v>
      </c>
      <c r="C105" t="str">
        <f t="shared" si="3"/>
        <v>00101101010010100000000000000110</v>
      </c>
      <c r="D105" t="str">
        <f t="shared" si="4"/>
        <v>00101101010010100000000000010101</v>
      </c>
      <c r="E105" t="str" cm="1">
        <f t="array" ref="E105">_xlfn.XLOOKUP(_xlfn.XLOOKUP(G105,New!A:A,New!M:M,NONE),TeamIdentity!A:A,TeamIdentity!C:C,NONE)</f>
        <v>00000110</v>
      </c>
      <c r="F105" t="str" cm="1">
        <f t="array" ref="F105">_xlfn.XLOOKUP(_xlfn.XLOOKUP(G105,New!A:A,New!F:F,NONE),TeamIdentity!A:A,TeamIdentity!C:C,NONE)</f>
        <v>00010101</v>
      </c>
      <c r="G105" t="str">
        <f t="shared" si="5"/>
        <v>1-9</v>
      </c>
      <c r="H105" t="s">
        <v>54</v>
      </c>
      <c r="I105" t="s">
        <v>54</v>
      </c>
      <c r="J105" t="s">
        <v>54</v>
      </c>
      <c r="K105" t="s">
        <v>525</v>
      </c>
      <c r="L105" t="s">
        <v>54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539</v>
      </c>
      <c r="S105">
        <v>-1</v>
      </c>
      <c r="T105">
        <v>0</v>
      </c>
      <c r="U105">
        <v>-1</v>
      </c>
      <c r="V105">
        <v>0</v>
      </c>
      <c r="W105" t="s">
        <v>70</v>
      </c>
      <c r="X105">
        <v>0</v>
      </c>
      <c r="Y105">
        <v>0</v>
      </c>
      <c r="Z105">
        <v>965</v>
      </c>
      <c r="AA105" t="s">
        <v>57</v>
      </c>
      <c r="AB105">
        <v>0</v>
      </c>
      <c r="AC105">
        <v>0</v>
      </c>
      <c r="AD105">
        <v>0</v>
      </c>
      <c r="AE105">
        <v>0</v>
      </c>
      <c r="AF105" t="s">
        <v>67</v>
      </c>
      <c r="AG105">
        <v>0</v>
      </c>
      <c r="AH105">
        <v>0</v>
      </c>
      <c r="AI105">
        <v>0</v>
      </c>
      <c r="AJ105">
        <v>0</v>
      </c>
      <c r="AK105" t="s">
        <v>60</v>
      </c>
      <c r="AL105">
        <v>0</v>
      </c>
      <c r="AM105">
        <v>0</v>
      </c>
      <c r="AN105">
        <v>0</v>
      </c>
      <c r="AO105">
        <v>0</v>
      </c>
      <c r="AP105" t="b">
        <v>0</v>
      </c>
      <c r="AQ105" t="s">
        <v>58</v>
      </c>
      <c r="AR105" t="s">
        <v>58</v>
      </c>
      <c r="AS105" t="s">
        <v>71</v>
      </c>
      <c r="AT105">
        <v>14</v>
      </c>
      <c r="AU105">
        <v>1</v>
      </c>
      <c r="AV105">
        <v>9</v>
      </c>
      <c r="AW105">
        <v>11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s">
        <v>61</v>
      </c>
      <c r="BF105" t="s">
        <v>57</v>
      </c>
      <c r="BG105" t="s">
        <v>55</v>
      </c>
      <c r="BH105" t="s">
        <v>58</v>
      </c>
      <c r="BI105" t="s">
        <v>58</v>
      </c>
    </row>
    <row r="106" spans="1:61" x14ac:dyDescent="0.25">
      <c r="A106" t="str" cm="1">
        <f t="array" ref="A106">_xlfn.IFS(AS106="RegularSeason",C106,AS106&lt;&gt;"RegularSeason",R106)</f>
        <v>00101101010010100000000000010111</v>
      </c>
      <c r="B106" t="str" cm="1">
        <f t="array" ref="B106">_xlfn.IFS(AS106="RegularSeason",D106,AS106&lt;&gt;"RegularSeason",K106)</f>
        <v>00101101010010100000000000011001</v>
      </c>
      <c r="C106" t="str">
        <f t="shared" si="3"/>
        <v>00101101010010100000000000010111</v>
      </c>
      <c r="D106" t="str">
        <f t="shared" si="4"/>
        <v>00101101010010100000000000011001</v>
      </c>
      <c r="E106" t="str" cm="1">
        <f t="array" ref="E106">_xlfn.XLOOKUP(_xlfn.XLOOKUP(G106,New!A:A,New!M:M,NONE),TeamIdentity!A:A,TeamIdentity!C:C,NONE)</f>
        <v>00010111</v>
      </c>
      <c r="F106" t="str" cm="1">
        <f t="array" ref="F106">_xlfn.XLOOKUP(_xlfn.XLOOKUP(G106,New!A:A,New!F:F,NONE),TeamIdentity!A:A,TeamIdentity!C:C,NONE)</f>
        <v>00011001</v>
      </c>
      <c r="G106" t="str">
        <f t="shared" si="5"/>
        <v>2-10</v>
      </c>
      <c r="H106" t="s">
        <v>54</v>
      </c>
      <c r="I106" t="s">
        <v>54</v>
      </c>
      <c r="J106" t="s">
        <v>54</v>
      </c>
      <c r="K106" t="s">
        <v>536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542</v>
      </c>
      <c r="S106">
        <v>-1</v>
      </c>
      <c r="T106">
        <v>0</v>
      </c>
      <c r="U106">
        <v>-1</v>
      </c>
      <c r="V106">
        <v>0</v>
      </c>
      <c r="W106" t="s">
        <v>70</v>
      </c>
      <c r="X106">
        <v>0</v>
      </c>
      <c r="Y106">
        <v>0</v>
      </c>
      <c r="Z106">
        <v>965</v>
      </c>
      <c r="AA106" t="s">
        <v>57</v>
      </c>
      <c r="AB106">
        <v>0</v>
      </c>
      <c r="AC106">
        <v>0</v>
      </c>
      <c r="AD106">
        <v>0</v>
      </c>
      <c r="AE106">
        <v>0</v>
      </c>
      <c r="AF106" t="s">
        <v>67</v>
      </c>
      <c r="AG106">
        <v>0</v>
      </c>
      <c r="AH106">
        <v>0</v>
      </c>
      <c r="AI106">
        <v>0</v>
      </c>
      <c r="AJ106">
        <v>0</v>
      </c>
      <c r="AK106" t="s">
        <v>60</v>
      </c>
      <c r="AL106">
        <v>0</v>
      </c>
      <c r="AM106">
        <v>0</v>
      </c>
      <c r="AN106">
        <v>0</v>
      </c>
      <c r="AO106">
        <v>0</v>
      </c>
      <c r="AP106" t="b">
        <v>0</v>
      </c>
      <c r="AQ106" t="s">
        <v>58</v>
      </c>
      <c r="AR106" t="s">
        <v>58</v>
      </c>
      <c r="AS106" t="s">
        <v>71</v>
      </c>
      <c r="AT106">
        <v>14</v>
      </c>
      <c r="AU106">
        <v>2</v>
      </c>
      <c r="AV106">
        <v>10</v>
      </c>
      <c r="AW106">
        <v>11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s">
        <v>61</v>
      </c>
      <c r="BF106" t="s">
        <v>57</v>
      </c>
      <c r="BG106" t="s">
        <v>55</v>
      </c>
      <c r="BH106" t="s">
        <v>58</v>
      </c>
      <c r="BI106" t="s">
        <v>58</v>
      </c>
    </row>
    <row r="107" spans="1:61" x14ac:dyDescent="0.25">
      <c r="A107" t="str" cm="1">
        <f t="array" ref="A107">_xlfn.IFS(AS107="RegularSeason",C107,AS107&lt;&gt;"RegularSeason",R107)</f>
        <v>00101101010010100000000000010000</v>
      </c>
      <c r="B107" t="str" cm="1">
        <f t="array" ref="B107">_xlfn.IFS(AS107="RegularSeason",D107,AS107&lt;&gt;"RegularSeason",K107)</f>
        <v>00101101010010100000000000000000</v>
      </c>
      <c r="C107" t="str">
        <f t="shared" si="3"/>
        <v>00101101010010100000000000010000</v>
      </c>
      <c r="D107" t="str">
        <f t="shared" si="4"/>
        <v>00101101010010100000000000000000</v>
      </c>
      <c r="E107" t="str" cm="1">
        <f t="array" ref="E107">_xlfn.XLOOKUP(_xlfn.XLOOKUP(G107,New!A:A,New!M:M,NONE),TeamIdentity!A:A,TeamIdentity!C:C,NONE)</f>
        <v>00010000</v>
      </c>
      <c r="F107" t="str" cm="1">
        <f t="array" ref="F107">_xlfn.XLOOKUP(_xlfn.XLOOKUP(G107,New!A:A,New!F:F,NONE),TeamIdentity!A:A,TeamIdentity!C:C,NONE)</f>
        <v>00000000</v>
      </c>
      <c r="G107" t="str">
        <f t="shared" si="5"/>
        <v>1-12</v>
      </c>
      <c r="H107" t="s">
        <v>54</v>
      </c>
      <c r="I107" t="s">
        <v>54</v>
      </c>
      <c r="J107" t="s">
        <v>54</v>
      </c>
      <c r="K107" t="s">
        <v>535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529</v>
      </c>
      <c r="S107">
        <v>-1</v>
      </c>
      <c r="T107">
        <v>0</v>
      </c>
      <c r="U107">
        <v>-1</v>
      </c>
      <c r="V107">
        <v>0</v>
      </c>
      <c r="W107" t="s">
        <v>70</v>
      </c>
      <c r="X107">
        <v>0</v>
      </c>
      <c r="Y107">
        <v>0</v>
      </c>
      <c r="Z107">
        <v>975</v>
      </c>
      <c r="AA107" t="s">
        <v>57</v>
      </c>
      <c r="AB107">
        <v>0</v>
      </c>
      <c r="AC107">
        <v>0</v>
      </c>
      <c r="AD107">
        <v>0</v>
      </c>
      <c r="AE107">
        <v>0</v>
      </c>
      <c r="AF107" t="s">
        <v>67</v>
      </c>
      <c r="AG107">
        <v>0</v>
      </c>
      <c r="AH107">
        <v>0</v>
      </c>
      <c r="AI107">
        <v>0</v>
      </c>
      <c r="AJ107">
        <v>0</v>
      </c>
      <c r="AK107" t="s">
        <v>60</v>
      </c>
      <c r="AL107">
        <v>0</v>
      </c>
      <c r="AM107">
        <v>0</v>
      </c>
      <c r="AN107">
        <v>0</v>
      </c>
      <c r="AO107">
        <v>0</v>
      </c>
      <c r="AP107" t="b">
        <v>0</v>
      </c>
      <c r="AQ107" t="s">
        <v>58</v>
      </c>
      <c r="AR107" t="s">
        <v>58</v>
      </c>
      <c r="AS107" t="s">
        <v>71</v>
      </c>
      <c r="AT107">
        <v>14</v>
      </c>
      <c r="AU107">
        <v>1</v>
      </c>
      <c r="AV107">
        <v>12</v>
      </c>
      <c r="AW107">
        <v>11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s">
        <v>61</v>
      </c>
      <c r="BF107" t="s">
        <v>57</v>
      </c>
      <c r="BG107" t="s">
        <v>55</v>
      </c>
      <c r="BH107" t="s">
        <v>58</v>
      </c>
      <c r="BI107" t="s">
        <v>58</v>
      </c>
    </row>
    <row r="108" spans="1:61" x14ac:dyDescent="0.25">
      <c r="A108" t="str" cm="1">
        <f t="array" ref="A108">_xlfn.IFS(AS108="RegularSeason",C108,AS108&lt;&gt;"RegularSeason",R108)</f>
        <v>00101101010010100000000000000011</v>
      </c>
      <c r="B108" t="str" cm="1">
        <f t="array" ref="B108">_xlfn.IFS(AS108="RegularSeason",D108,AS108&lt;&gt;"RegularSeason",K108)</f>
        <v>00101101010010100000000000001110</v>
      </c>
      <c r="C108" t="str">
        <f t="shared" si="3"/>
        <v>00101101010010100000000000000011</v>
      </c>
      <c r="D108" t="str">
        <f t="shared" si="4"/>
        <v>00101101010010100000000000001110</v>
      </c>
      <c r="E108" t="str" cm="1">
        <f t="array" ref="E108">_xlfn.XLOOKUP(_xlfn.XLOOKUP(G108,New!A:A,New!M:M,NONE),TeamIdentity!A:A,TeamIdentity!C:C,NONE)</f>
        <v>00000011</v>
      </c>
      <c r="F108" t="str" cm="1">
        <f t="array" ref="F108">_xlfn.XLOOKUP(_xlfn.XLOOKUP(G108,New!A:A,New!F:F,NONE),TeamIdentity!A:A,TeamIdentity!C:C,NONE)</f>
        <v>00001110</v>
      </c>
      <c r="G108" t="str">
        <f t="shared" si="5"/>
        <v>2-11</v>
      </c>
      <c r="H108" t="s">
        <v>54</v>
      </c>
      <c r="I108" t="s">
        <v>54</v>
      </c>
      <c r="J108" t="s">
        <v>54</v>
      </c>
      <c r="K108" t="s">
        <v>521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538</v>
      </c>
      <c r="S108">
        <v>-1</v>
      </c>
      <c r="T108">
        <v>0</v>
      </c>
      <c r="U108">
        <v>-1</v>
      </c>
      <c r="V108">
        <v>0</v>
      </c>
      <c r="W108" t="s">
        <v>70</v>
      </c>
      <c r="X108">
        <v>0</v>
      </c>
      <c r="Y108">
        <v>0</v>
      </c>
      <c r="Z108">
        <v>965</v>
      </c>
      <c r="AA108" t="s">
        <v>57</v>
      </c>
      <c r="AB108">
        <v>0</v>
      </c>
      <c r="AC108">
        <v>0</v>
      </c>
      <c r="AD108">
        <v>0</v>
      </c>
      <c r="AE108">
        <v>0</v>
      </c>
      <c r="AF108" t="s">
        <v>67</v>
      </c>
      <c r="AG108">
        <v>0</v>
      </c>
      <c r="AH108">
        <v>0</v>
      </c>
      <c r="AI108">
        <v>0</v>
      </c>
      <c r="AJ108">
        <v>0</v>
      </c>
      <c r="AK108" t="s">
        <v>60</v>
      </c>
      <c r="AL108">
        <v>0</v>
      </c>
      <c r="AM108">
        <v>0</v>
      </c>
      <c r="AN108">
        <v>0</v>
      </c>
      <c r="AO108">
        <v>0</v>
      </c>
      <c r="AP108" t="b">
        <v>0</v>
      </c>
      <c r="AQ108" t="s">
        <v>58</v>
      </c>
      <c r="AR108" t="s">
        <v>58</v>
      </c>
      <c r="AS108" t="s">
        <v>71</v>
      </c>
      <c r="AT108">
        <v>14</v>
      </c>
      <c r="AU108">
        <v>2</v>
      </c>
      <c r="AV108">
        <v>11</v>
      </c>
      <c r="AW108">
        <v>11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s">
        <v>61</v>
      </c>
      <c r="BF108" t="s">
        <v>57</v>
      </c>
      <c r="BG108" t="s">
        <v>55</v>
      </c>
      <c r="BH108" t="s">
        <v>58</v>
      </c>
      <c r="BI108" t="s">
        <v>58</v>
      </c>
    </row>
    <row r="109" spans="1:61" x14ac:dyDescent="0.25">
      <c r="A109" t="str" cm="1">
        <f t="array" ref="A109">_xlfn.IFS(AS109="RegularSeason",C109,AS109&lt;&gt;"RegularSeason",R109)</f>
        <v>00101101010010100000000000001100</v>
      </c>
      <c r="B109" t="str" cm="1">
        <f t="array" ref="B109">_xlfn.IFS(AS109="RegularSeason",D109,AS109&lt;&gt;"RegularSeason",K109)</f>
        <v>00101101010010100000000000010101</v>
      </c>
      <c r="C109" t="str">
        <f t="shared" si="3"/>
        <v>00101101010010100000000000001100</v>
      </c>
      <c r="D109" t="str">
        <f t="shared" si="4"/>
        <v>00101101010010100000000000010101</v>
      </c>
      <c r="E109" t="str" cm="1">
        <f t="array" ref="E109">_xlfn.XLOOKUP(_xlfn.XLOOKUP(G109,New!A:A,New!M:M,NONE),TeamIdentity!A:A,TeamIdentity!C:C,NONE)</f>
        <v>00001100</v>
      </c>
      <c r="F109" t="str" cm="1">
        <f t="array" ref="F109">_xlfn.XLOOKUP(_xlfn.XLOOKUP(G109,New!A:A,New!F:F,NONE),TeamIdentity!A:A,TeamIdentity!C:C,NONE)</f>
        <v>00010101</v>
      </c>
      <c r="G109" t="str">
        <f t="shared" si="5"/>
        <v>4-1</v>
      </c>
      <c r="H109" t="s">
        <v>54</v>
      </c>
      <c r="I109" t="s">
        <v>54</v>
      </c>
      <c r="J109" t="s">
        <v>54</v>
      </c>
      <c r="K109" t="s">
        <v>515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519</v>
      </c>
      <c r="S109">
        <v>-1</v>
      </c>
      <c r="T109">
        <v>0</v>
      </c>
      <c r="U109">
        <v>-1</v>
      </c>
      <c r="V109">
        <v>0</v>
      </c>
      <c r="W109" t="s">
        <v>70</v>
      </c>
      <c r="X109">
        <v>0</v>
      </c>
      <c r="Y109">
        <v>0</v>
      </c>
      <c r="Z109">
        <v>780</v>
      </c>
      <c r="AA109" t="s">
        <v>57</v>
      </c>
      <c r="AB109">
        <v>0</v>
      </c>
      <c r="AC109">
        <v>0</v>
      </c>
      <c r="AD109">
        <v>0</v>
      </c>
      <c r="AE109">
        <v>0</v>
      </c>
      <c r="AF109" t="s">
        <v>67</v>
      </c>
      <c r="AG109">
        <v>0</v>
      </c>
      <c r="AH109">
        <v>0</v>
      </c>
      <c r="AI109">
        <v>0</v>
      </c>
      <c r="AJ109">
        <v>0</v>
      </c>
      <c r="AK109" t="s">
        <v>60</v>
      </c>
      <c r="AL109">
        <v>0</v>
      </c>
      <c r="AM109">
        <v>0</v>
      </c>
      <c r="AN109">
        <v>0</v>
      </c>
      <c r="AO109">
        <v>0</v>
      </c>
      <c r="AP109" t="b">
        <v>0</v>
      </c>
      <c r="AQ109" t="s">
        <v>58</v>
      </c>
      <c r="AR109" t="s">
        <v>58</v>
      </c>
      <c r="AS109" t="s">
        <v>71</v>
      </c>
      <c r="AT109">
        <v>14</v>
      </c>
      <c r="AU109">
        <v>4</v>
      </c>
      <c r="AV109">
        <v>1</v>
      </c>
      <c r="AW109">
        <v>11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s">
        <v>61</v>
      </c>
      <c r="BF109" t="s">
        <v>57</v>
      </c>
      <c r="BG109" t="s">
        <v>55</v>
      </c>
      <c r="BH109" t="s">
        <v>58</v>
      </c>
      <c r="BI109" t="s">
        <v>58</v>
      </c>
    </row>
    <row r="110" spans="1:61" x14ac:dyDescent="0.25">
      <c r="A110" t="str" cm="1">
        <f t="array" ref="A110">_xlfn.IFS(AS110="RegularSeason",C110,AS110&lt;&gt;"RegularSeason",R110)</f>
        <v>00101101010010100000000000000000</v>
      </c>
      <c r="B110" t="str" cm="1">
        <f t="array" ref="B110">_xlfn.IFS(AS110="RegularSeason",D110,AS110&lt;&gt;"RegularSeason",K110)</f>
        <v>00101101010010100000000000100001</v>
      </c>
      <c r="C110" t="str">
        <f t="shared" si="3"/>
        <v>00101101010010100000000000000000</v>
      </c>
      <c r="D110" t="str">
        <f t="shared" si="4"/>
        <v>00101101010010100000000000100001</v>
      </c>
      <c r="E110" t="str" cm="1">
        <f t="array" ref="E110">_xlfn.XLOOKUP(_xlfn.XLOOKUP(G110,New!A:A,New!M:M,NONE),TeamIdentity!A:A,TeamIdentity!C:C,NONE)</f>
        <v>00000000</v>
      </c>
      <c r="F110" t="str" cm="1">
        <f t="array" ref="F110">_xlfn.XLOOKUP(_xlfn.XLOOKUP(G110,New!A:A,New!F:F,NONE),TeamIdentity!A:A,TeamIdentity!C:C,NONE)</f>
        <v>00100001</v>
      </c>
      <c r="G110" t="str">
        <f t="shared" si="5"/>
        <v>4-2</v>
      </c>
      <c r="H110" t="s">
        <v>54</v>
      </c>
      <c r="I110" t="s">
        <v>54</v>
      </c>
      <c r="J110" t="s">
        <v>54</v>
      </c>
      <c r="K110" t="s">
        <v>536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540</v>
      </c>
      <c r="S110">
        <v>-1</v>
      </c>
      <c r="T110">
        <v>0</v>
      </c>
      <c r="U110">
        <v>-1</v>
      </c>
      <c r="V110">
        <v>0</v>
      </c>
      <c r="W110" t="s">
        <v>70</v>
      </c>
      <c r="X110">
        <v>0</v>
      </c>
      <c r="Y110">
        <v>0</v>
      </c>
      <c r="Z110">
        <v>780</v>
      </c>
      <c r="AA110" t="s">
        <v>57</v>
      </c>
      <c r="AB110">
        <v>0</v>
      </c>
      <c r="AC110">
        <v>0</v>
      </c>
      <c r="AD110">
        <v>0</v>
      </c>
      <c r="AE110">
        <v>0</v>
      </c>
      <c r="AF110" t="s">
        <v>67</v>
      </c>
      <c r="AG110">
        <v>0</v>
      </c>
      <c r="AH110">
        <v>0</v>
      </c>
      <c r="AI110">
        <v>0</v>
      </c>
      <c r="AJ110">
        <v>0</v>
      </c>
      <c r="AK110" t="s">
        <v>60</v>
      </c>
      <c r="AL110">
        <v>0</v>
      </c>
      <c r="AM110">
        <v>0</v>
      </c>
      <c r="AN110">
        <v>0</v>
      </c>
      <c r="AO110">
        <v>0</v>
      </c>
      <c r="AP110" t="b">
        <v>0</v>
      </c>
      <c r="AQ110" t="s">
        <v>58</v>
      </c>
      <c r="AR110" t="s">
        <v>58</v>
      </c>
      <c r="AS110" t="s">
        <v>71</v>
      </c>
      <c r="AT110">
        <v>14</v>
      </c>
      <c r="AU110">
        <v>4</v>
      </c>
      <c r="AV110">
        <v>2</v>
      </c>
      <c r="AW110">
        <v>11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s">
        <v>61</v>
      </c>
      <c r="BF110" t="s">
        <v>57</v>
      </c>
      <c r="BG110" t="s">
        <v>55</v>
      </c>
      <c r="BH110" t="s">
        <v>58</v>
      </c>
      <c r="BI110" t="s">
        <v>58</v>
      </c>
    </row>
    <row r="111" spans="1:61" x14ac:dyDescent="0.25">
      <c r="A111" t="str" cm="1">
        <f t="array" ref="A111">_xlfn.IFS(AS111="RegularSeason",C111,AS111&lt;&gt;"RegularSeason",R111)</f>
        <v>00101101010010100000000000001111</v>
      </c>
      <c r="B111" t="str" cm="1">
        <f t="array" ref="B111">_xlfn.IFS(AS111="RegularSeason",D111,AS111&lt;&gt;"RegularSeason",K111)</f>
        <v>00101101010010100000000000001101</v>
      </c>
      <c r="C111" t="str">
        <f t="shared" si="3"/>
        <v>00101101010010100000000000001111</v>
      </c>
      <c r="D111" t="str">
        <f t="shared" si="4"/>
        <v>00101101010010100000000000001101</v>
      </c>
      <c r="E111" t="str" cm="1">
        <f t="array" ref="E111">_xlfn.XLOOKUP(_xlfn.XLOOKUP(G111,New!A:A,New!M:M,NONE),TeamIdentity!A:A,TeamIdentity!C:C,NONE)</f>
        <v>00001111</v>
      </c>
      <c r="F111" t="str" cm="1">
        <f t="array" ref="F111">_xlfn.XLOOKUP(_xlfn.XLOOKUP(G111,New!A:A,New!F:F,NONE),TeamIdentity!A:A,TeamIdentity!C:C,NONE)</f>
        <v>00001101</v>
      </c>
      <c r="G111" t="str">
        <f t="shared" si="5"/>
        <v>4-9</v>
      </c>
      <c r="H111" t="s">
        <v>54</v>
      </c>
      <c r="I111" t="s">
        <v>54</v>
      </c>
      <c r="J111" t="s">
        <v>54</v>
      </c>
      <c r="K111" t="s">
        <v>511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531</v>
      </c>
      <c r="S111">
        <v>-1</v>
      </c>
      <c r="T111">
        <v>0</v>
      </c>
      <c r="U111">
        <v>-1</v>
      </c>
      <c r="V111">
        <v>0</v>
      </c>
      <c r="W111" t="s">
        <v>70</v>
      </c>
      <c r="X111">
        <v>0</v>
      </c>
      <c r="Y111">
        <v>0</v>
      </c>
      <c r="Z111">
        <v>975</v>
      </c>
      <c r="AA111" t="s">
        <v>57</v>
      </c>
      <c r="AB111">
        <v>0</v>
      </c>
      <c r="AC111">
        <v>0</v>
      </c>
      <c r="AD111">
        <v>0</v>
      </c>
      <c r="AE111">
        <v>0</v>
      </c>
      <c r="AF111" t="s">
        <v>67</v>
      </c>
      <c r="AG111">
        <v>0</v>
      </c>
      <c r="AH111">
        <v>0</v>
      </c>
      <c r="AI111">
        <v>0</v>
      </c>
      <c r="AJ111">
        <v>0</v>
      </c>
      <c r="AK111" t="s">
        <v>60</v>
      </c>
      <c r="AL111">
        <v>0</v>
      </c>
      <c r="AM111">
        <v>0</v>
      </c>
      <c r="AN111">
        <v>0</v>
      </c>
      <c r="AO111">
        <v>0</v>
      </c>
      <c r="AP111" t="b">
        <v>0</v>
      </c>
      <c r="AQ111" t="s">
        <v>58</v>
      </c>
      <c r="AR111" t="s">
        <v>58</v>
      </c>
      <c r="AS111" t="s">
        <v>71</v>
      </c>
      <c r="AT111">
        <v>14</v>
      </c>
      <c r="AU111">
        <v>4</v>
      </c>
      <c r="AV111">
        <v>9</v>
      </c>
      <c r="AW111">
        <v>11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s">
        <v>61</v>
      </c>
      <c r="BF111" t="s">
        <v>57</v>
      </c>
      <c r="BG111" t="s">
        <v>55</v>
      </c>
      <c r="BH111" t="s">
        <v>58</v>
      </c>
      <c r="BI111" t="s">
        <v>58</v>
      </c>
    </row>
    <row r="112" spans="1:61" x14ac:dyDescent="0.25">
      <c r="A112" t="str" cm="1">
        <f t="array" ref="A112">_xlfn.IFS(AS112="RegularSeason",C112,AS112&lt;&gt;"RegularSeason",R112)</f>
        <v>00101101010010100000000000001100</v>
      </c>
      <c r="B112" t="str" cm="1">
        <f t="array" ref="B112">_xlfn.IFS(AS112="RegularSeason",D112,AS112&lt;&gt;"RegularSeason",K112)</f>
        <v>00101101010010100000000000000010</v>
      </c>
      <c r="C112" t="str">
        <f t="shared" si="3"/>
        <v>00101101010010100000000000001100</v>
      </c>
      <c r="D112" t="str">
        <f t="shared" si="4"/>
        <v>00101101010010100000000000000010</v>
      </c>
      <c r="E112" t="str" cm="1">
        <f t="array" ref="E112">_xlfn.XLOOKUP(_xlfn.XLOOKUP(G112,New!A:A,New!M:M,NONE),TeamIdentity!A:A,TeamIdentity!C:C,NONE)</f>
        <v>00001100</v>
      </c>
      <c r="F112" t="str" cm="1">
        <f t="array" ref="F112">_xlfn.XLOOKUP(_xlfn.XLOOKUP(G112,New!A:A,New!F:F,NONE),TeamIdentity!A:A,TeamIdentity!C:C,NONE)</f>
        <v>00000010</v>
      </c>
      <c r="G112" t="str">
        <f t="shared" si="5"/>
        <v>5-0</v>
      </c>
      <c r="H112" t="s">
        <v>54</v>
      </c>
      <c r="I112" t="s">
        <v>54</v>
      </c>
      <c r="J112" t="s">
        <v>54</v>
      </c>
      <c r="K112" t="s">
        <v>534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530</v>
      </c>
      <c r="S112">
        <v>-1</v>
      </c>
      <c r="T112">
        <v>0</v>
      </c>
      <c r="U112">
        <v>-1</v>
      </c>
      <c r="V112">
        <v>0</v>
      </c>
      <c r="W112" t="s">
        <v>70</v>
      </c>
      <c r="X112">
        <v>0</v>
      </c>
      <c r="Y112">
        <v>0</v>
      </c>
      <c r="Z112">
        <v>780</v>
      </c>
      <c r="AA112" t="s">
        <v>57</v>
      </c>
      <c r="AB112">
        <v>0</v>
      </c>
      <c r="AC112">
        <v>0</v>
      </c>
      <c r="AD112">
        <v>0</v>
      </c>
      <c r="AE112">
        <v>0</v>
      </c>
      <c r="AF112" t="s">
        <v>67</v>
      </c>
      <c r="AG112">
        <v>0</v>
      </c>
      <c r="AH112">
        <v>0</v>
      </c>
      <c r="AI112">
        <v>0</v>
      </c>
      <c r="AJ112">
        <v>0</v>
      </c>
      <c r="AK112" t="s">
        <v>60</v>
      </c>
      <c r="AL112">
        <v>0</v>
      </c>
      <c r="AM112">
        <v>0</v>
      </c>
      <c r="AN112">
        <v>0</v>
      </c>
      <c r="AO112">
        <v>0</v>
      </c>
      <c r="AP112" t="b">
        <v>0</v>
      </c>
      <c r="AQ112" t="s">
        <v>58</v>
      </c>
      <c r="AR112" t="s">
        <v>58</v>
      </c>
      <c r="AS112" t="s">
        <v>71</v>
      </c>
      <c r="AT112">
        <v>14</v>
      </c>
      <c r="AU112">
        <v>5</v>
      </c>
      <c r="AV112">
        <v>0</v>
      </c>
      <c r="AW112">
        <v>11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s">
        <v>61</v>
      </c>
      <c r="BF112" t="s">
        <v>57</v>
      </c>
      <c r="BG112" t="s">
        <v>55</v>
      </c>
      <c r="BH112" t="s">
        <v>58</v>
      </c>
      <c r="BI112" t="s">
        <v>58</v>
      </c>
    </row>
    <row r="113" spans="1:61" x14ac:dyDescent="0.25">
      <c r="A113" t="str" cm="1">
        <f t="array" ref="A113">_xlfn.IFS(AS113="RegularSeason",C113,AS113&lt;&gt;"RegularSeason",R113)</f>
        <v>00101101010010100000000000011101</v>
      </c>
      <c r="B113" t="str" cm="1">
        <f t="array" ref="B113">_xlfn.IFS(AS113="RegularSeason",D113,AS113&lt;&gt;"RegularSeason",K113)</f>
        <v>00101101010010100000000000010011</v>
      </c>
      <c r="C113" t="str">
        <f t="shared" si="3"/>
        <v>00101101010010100000000000011101</v>
      </c>
      <c r="D113" t="str">
        <f t="shared" si="4"/>
        <v>00101101010010100000000000010011</v>
      </c>
      <c r="E113" t="str" cm="1">
        <f t="array" ref="E113">_xlfn.XLOOKUP(_xlfn.XLOOKUP(G113,New!A:A,New!M:M,NONE),TeamIdentity!A:A,TeamIdentity!C:C,NONE)</f>
        <v>00011101</v>
      </c>
      <c r="F113" t="str" cm="1">
        <f t="array" ref="F113">_xlfn.XLOOKUP(_xlfn.XLOOKUP(G113,New!A:A,New!F:F,NONE),TeamIdentity!A:A,TeamIdentity!C:C,NONE)</f>
        <v>00010011</v>
      </c>
      <c r="G113" t="str">
        <f t="shared" si="5"/>
        <v>3-4</v>
      </c>
      <c r="H113" t="s">
        <v>54</v>
      </c>
      <c r="I113" t="s">
        <v>54</v>
      </c>
      <c r="J113" t="s">
        <v>54</v>
      </c>
      <c r="K113" t="s">
        <v>531</v>
      </c>
      <c r="L113" t="s">
        <v>54</v>
      </c>
      <c r="M113" t="s">
        <v>54</v>
      </c>
      <c r="N113" t="s">
        <v>54</v>
      </c>
      <c r="O113" t="s">
        <v>54</v>
      </c>
      <c r="P113" t="s">
        <v>54</v>
      </c>
      <c r="Q113" t="s">
        <v>54</v>
      </c>
      <c r="R113" t="s">
        <v>537</v>
      </c>
      <c r="S113">
        <v>-1</v>
      </c>
      <c r="T113">
        <v>0</v>
      </c>
      <c r="U113">
        <v>-1</v>
      </c>
      <c r="V113">
        <v>0</v>
      </c>
      <c r="W113" t="s">
        <v>70</v>
      </c>
      <c r="X113">
        <v>0</v>
      </c>
      <c r="Y113">
        <v>0</v>
      </c>
      <c r="Z113">
        <v>780</v>
      </c>
      <c r="AA113" t="s">
        <v>57</v>
      </c>
      <c r="AB113">
        <v>0</v>
      </c>
      <c r="AC113">
        <v>0</v>
      </c>
      <c r="AD113">
        <v>0</v>
      </c>
      <c r="AE113">
        <v>0</v>
      </c>
      <c r="AF113" t="s">
        <v>67</v>
      </c>
      <c r="AG113">
        <v>0</v>
      </c>
      <c r="AH113">
        <v>0</v>
      </c>
      <c r="AI113">
        <v>0</v>
      </c>
      <c r="AJ113">
        <v>0</v>
      </c>
      <c r="AK113" t="s">
        <v>60</v>
      </c>
      <c r="AL113">
        <v>0</v>
      </c>
      <c r="AM113">
        <v>0</v>
      </c>
      <c r="AN113">
        <v>0</v>
      </c>
      <c r="AO113">
        <v>0</v>
      </c>
      <c r="AP113" t="b">
        <v>0</v>
      </c>
      <c r="AQ113" t="s">
        <v>58</v>
      </c>
      <c r="AR113" t="s">
        <v>58</v>
      </c>
      <c r="AS113" t="s">
        <v>71</v>
      </c>
      <c r="AT113">
        <v>14</v>
      </c>
      <c r="AU113">
        <v>3</v>
      </c>
      <c r="AV113">
        <v>4</v>
      </c>
      <c r="AW113">
        <v>11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s">
        <v>61</v>
      </c>
      <c r="BF113" t="s">
        <v>57</v>
      </c>
      <c r="BG113" t="s">
        <v>55</v>
      </c>
      <c r="BH113" t="s">
        <v>58</v>
      </c>
      <c r="BI113" t="s">
        <v>58</v>
      </c>
    </row>
    <row r="114" spans="1:61" x14ac:dyDescent="0.25">
      <c r="A114" t="str" cm="1">
        <f t="array" ref="A114">_xlfn.IFS(AS114="RegularSeason",C114,AS114&lt;&gt;"RegularSeason",R114)</f>
        <v>00101101010010100000000000011001</v>
      </c>
      <c r="B114" t="str" cm="1">
        <f t="array" ref="B114">_xlfn.IFS(AS114="RegularSeason",D114,AS114&lt;&gt;"RegularSeason",K114)</f>
        <v>00101101010010100000000000000001</v>
      </c>
      <c r="C114" t="str">
        <f t="shared" si="3"/>
        <v>00101101010010100000000000011001</v>
      </c>
      <c r="D114" t="str">
        <f t="shared" si="4"/>
        <v>00101101010010100000000000000001</v>
      </c>
      <c r="E114" t="str" cm="1">
        <f t="array" ref="E114">_xlfn.XLOOKUP(_xlfn.XLOOKUP(G114,New!A:A,New!M:M,NONE),TeamIdentity!A:A,TeamIdentity!C:C,NONE)</f>
        <v>00011001</v>
      </c>
      <c r="F114" t="str" cm="1">
        <f t="array" ref="F114">_xlfn.XLOOKUP(_xlfn.XLOOKUP(G114,New!A:A,New!F:F,NONE),TeamIdentity!A:A,TeamIdentity!C:C,NONE)</f>
        <v>00000001</v>
      </c>
      <c r="G114" t="str">
        <f t="shared" si="5"/>
        <v>4-3</v>
      </c>
      <c r="H114" t="s">
        <v>54</v>
      </c>
      <c r="I114" t="s">
        <v>54</v>
      </c>
      <c r="J114" t="s">
        <v>54</v>
      </c>
      <c r="K114" t="s">
        <v>518</v>
      </c>
      <c r="L114" t="s">
        <v>54</v>
      </c>
      <c r="M114" t="s">
        <v>54</v>
      </c>
      <c r="N114" t="s">
        <v>54</v>
      </c>
      <c r="O114" t="s">
        <v>54</v>
      </c>
      <c r="P114" t="s">
        <v>54</v>
      </c>
      <c r="Q114" t="s">
        <v>54</v>
      </c>
      <c r="R114" t="s">
        <v>520</v>
      </c>
      <c r="S114">
        <v>-1</v>
      </c>
      <c r="T114">
        <v>0</v>
      </c>
      <c r="U114">
        <v>-1</v>
      </c>
      <c r="V114">
        <v>0</v>
      </c>
      <c r="W114" t="s">
        <v>70</v>
      </c>
      <c r="X114">
        <v>0</v>
      </c>
      <c r="Y114">
        <v>0</v>
      </c>
      <c r="Z114">
        <v>780</v>
      </c>
      <c r="AA114" t="s">
        <v>57</v>
      </c>
      <c r="AB114">
        <v>0</v>
      </c>
      <c r="AC114">
        <v>0</v>
      </c>
      <c r="AD114">
        <v>0</v>
      </c>
      <c r="AE114">
        <v>0</v>
      </c>
      <c r="AF114" t="s">
        <v>67</v>
      </c>
      <c r="AG114">
        <v>0</v>
      </c>
      <c r="AH114">
        <v>0</v>
      </c>
      <c r="AI114">
        <v>0</v>
      </c>
      <c r="AJ114">
        <v>0</v>
      </c>
      <c r="AK114" t="s">
        <v>60</v>
      </c>
      <c r="AL114">
        <v>0</v>
      </c>
      <c r="AM114">
        <v>0</v>
      </c>
      <c r="AN114">
        <v>0</v>
      </c>
      <c r="AO114">
        <v>0</v>
      </c>
      <c r="AP114" t="b">
        <v>0</v>
      </c>
      <c r="AQ114" t="s">
        <v>58</v>
      </c>
      <c r="AR114" t="s">
        <v>58</v>
      </c>
      <c r="AS114" t="s">
        <v>71</v>
      </c>
      <c r="AT114">
        <v>14</v>
      </c>
      <c r="AU114">
        <v>4</v>
      </c>
      <c r="AV114">
        <v>3</v>
      </c>
      <c r="AW114">
        <v>11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s">
        <v>61</v>
      </c>
      <c r="BF114" t="s">
        <v>57</v>
      </c>
      <c r="BG114" t="s">
        <v>55</v>
      </c>
      <c r="BH114" t="s">
        <v>58</v>
      </c>
      <c r="BI114" t="s">
        <v>58</v>
      </c>
    </row>
    <row r="115" spans="1:61" x14ac:dyDescent="0.25">
      <c r="A115" t="str" cm="1">
        <f t="array" ref="A115">_xlfn.IFS(AS115="RegularSeason",C115,AS115&lt;&gt;"RegularSeason",R115)</f>
        <v>00101101010010100000000000011101</v>
      </c>
      <c r="B115" t="str" cm="1">
        <f t="array" ref="B115">_xlfn.IFS(AS115="RegularSeason",D115,AS115&lt;&gt;"RegularSeason",K115)</f>
        <v>00101101010010100000000000100000</v>
      </c>
      <c r="C115" t="str">
        <f t="shared" si="3"/>
        <v>00101101010010100000000000011101</v>
      </c>
      <c r="D115" t="str">
        <f t="shared" si="4"/>
        <v>00101101010010100000000000100000</v>
      </c>
      <c r="E115" t="str" cm="1">
        <f t="array" ref="E115">_xlfn.XLOOKUP(_xlfn.XLOOKUP(G115,New!A:A,New!M:M,NONE),TeamIdentity!A:A,TeamIdentity!C:C,NONE)</f>
        <v>00011101</v>
      </c>
      <c r="F115" t="str" cm="1">
        <f t="array" ref="F115">_xlfn.XLOOKUP(_xlfn.XLOOKUP(G115,New!A:A,New!F:F,NONE),TeamIdentity!A:A,TeamIdentity!C:C,NONE)</f>
        <v>00100000</v>
      </c>
      <c r="G115" t="str">
        <f t="shared" si="5"/>
        <v>2-12</v>
      </c>
      <c r="H115" t="s">
        <v>54</v>
      </c>
      <c r="I115" t="s">
        <v>54</v>
      </c>
      <c r="J115" t="s">
        <v>54</v>
      </c>
      <c r="K115" t="s">
        <v>513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528</v>
      </c>
      <c r="S115">
        <v>-1</v>
      </c>
      <c r="T115">
        <v>0</v>
      </c>
      <c r="U115">
        <v>-1</v>
      </c>
      <c r="V115">
        <v>0</v>
      </c>
      <c r="W115" t="s">
        <v>70</v>
      </c>
      <c r="X115">
        <v>0</v>
      </c>
      <c r="Y115">
        <v>0</v>
      </c>
      <c r="Z115">
        <v>965</v>
      </c>
      <c r="AA115" t="s">
        <v>57</v>
      </c>
      <c r="AB115">
        <v>0</v>
      </c>
      <c r="AC115">
        <v>0</v>
      </c>
      <c r="AD115">
        <v>0</v>
      </c>
      <c r="AE115">
        <v>0</v>
      </c>
      <c r="AF115" t="s">
        <v>67</v>
      </c>
      <c r="AG115">
        <v>0</v>
      </c>
      <c r="AH115">
        <v>0</v>
      </c>
      <c r="AI115">
        <v>0</v>
      </c>
      <c r="AJ115">
        <v>0</v>
      </c>
      <c r="AK115" t="s">
        <v>60</v>
      </c>
      <c r="AL115">
        <v>0</v>
      </c>
      <c r="AM115">
        <v>0</v>
      </c>
      <c r="AN115">
        <v>0</v>
      </c>
      <c r="AO115">
        <v>0</v>
      </c>
      <c r="AP115" t="b">
        <v>0</v>
      </c>
      <c r="AQ115" t="s">
        <v>58</v>
      </c>
      <c r="AR115" t="s">
        <v>58</v>
      </c>
      <c r="AS115" t="s">
        <v>71</v>
      </c>
      <c r="AT115">
        <v>14</v>
      </c>
      <c r="AU115">
        <v>2</v>
      </c>
      <c r="AV115">
        <v>12</v>
      </c>
      <c r="AW115">
        <v>11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s">
        <v>61</v>
      </c>
      <c r="BF115" t="s">
        <v>57</v>
      </c>
      <c r="BG115" t="s">
        <v>55</v>
      </c>
      <c r="BH115" t="s">
        <v>58</v>
      </c>
      <c r="BI115" t="s">
        <v>58</v>
      </c>
    </row>
    <row r="116" spans="1:61" x14ac:dyDescent="0.25">
      <c r="A116" t="str" cm="1">
        <f t="array" ref="A116">_xlfn.IFS(AS116="RegularSeason",C116,AS116&lt;&gt;"RegularSeason",R116)</f>
        <v>00101101010010100000000000001100</v>
      </c>
      <c r="B116" t="str" cm="1">
        <f t="array" ref="B116">_xlfn.IFS(AS116="RegularSeason",D116,AS116&lt;&gt;"RegularSeason",K116)</f>
        <v>00101101010010100000000000000101</v>
      </c>
      <c r="C116" t="str">
        <f t="shared" si="3"/>
        <v>00101101010010100000000000001100</v>
      </c>
      <c r="D116" t="str">
        <f t="shared" si="4"/>
        <v>00101101010010100000000000000101</v>
      </c>
      <c r="E116" t="str" cm="1">
        <f t="array" ref="E116">_xlfn.XLOOKUP(_xlfn.XLOOKUP(G116,New!A:A,New!M:M,NONE),TeamIdentity!A:A,TeamIdentity!C:C,NONE)</f>
        <v>00001100</v>
      </c>
      <c r="F116" t="str" cm="1">
        <f t="array" ref="F116">_xlfn.XLOOKUP(_xlfn.XLOOKUP(G116,New!A:A,New!F:F,NONE),TeamIdentity!A:A,TeamIdentity!C:C,NONE)</f>
        <v>00000101</v>
      </c>
      <c r="G116" t="str">
        <f t="shared" si="5"/>
        <v>3-5</v>
      </c>
      <c r="H116" t="s">
        <v>54</v>
      </c>
      <c r="I116" t="s">
        <v>54</v>
      </c>
      <c r="J116" t="s">
        <v>54</v>
      </c>
      <c r="K116" t="s">
        <v>528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514</v>
      </c>
      <c r="S116">
        <v>-1</v>
      </c>
      <c r="T116">
        <v>0</v>
      </c>
      <c r="U116">
        <v>-1</v>
      </c>
      <c r="V116">
        <v>0</v>
      </c>
      <c r="W116" t="s">
        <v>70</v>
      </c>
      <c r="X116">
        <v>0</v>
      </c>
      <c r="Y116">
        <v>0</v>
      </c>
      <c r="Z116">
        <v>780</v>
      </c>
      <c r="AA116" t="s">
        <v>57</v>
      </c>
      <c r="AB116">
        <v>0</v>
      </c>
      <c r="AC116">
        <v>0</v>
      </c>
      <c r="AD116">
        <v>0</v>
      </c>
      <c r="AE116">
        <v>0</v>
      </c>
      <c r="AF116" t="s">
        <v>67</v>
      </c>
      <c r="AG116">
        <v>0</v>
      </c>
      <c r="AH116">
        <v>0</v>
      </c>
      <c r="AI116">
        <v>0</v>
      </c>
      <c r="AJ116">
        <v>0</v>
      </c>
      <c r="AK116" t="s">
        <v>60</v>
      </c>
      <c r="AL116">
        <v>0</v>
      </c>
      <c r="AM116">
        <v>0</v>
      </c>
      <c r="AN116">
        <v>0</v>
      </c>
      <c r="AO116">
        <v>0</v>
      </c>
      <c r="AP116" t="b">
        <v>0</v>
      </c>
      <c r="AQ116" t="s">
        <v>58</v>
      </c>
      <c r="AR116" t="s">
        <v>58</v>
      </c>
      <c r="AS116" t="s">
        <v>71</v>
      </c>
      <c r="AT116">
        <v>14</v>
      </c>
      <c r="AU116">
        <v>3</v>
      </c>
      <c r="AV116">
        <v>5</v>
      </c>
      <c r="AW116">
        <v>11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s">
        <v>61</v>
      </c>
      <c r="BF116" t="s">
        <v>57</v>
      </c>
      <c r="BG116" t="s">
        <v>55</v>
      </c>
      <c r="BH116" t="s">
        <v>58</v>
      </c>
      <c r="BI116" t="s">
        <v>58</v>
      </c>
    </row>
    <row r="117" spans="1:61" x14ac:dyDescent="0.25">
      <c r="A117" t="str" cm="1">
        <f t="array" ref="A117">_xlfn.IFS(AS117="RegularSeason",C117,AS117&lt;&gt;"RegularSeason",R117)</f>
        <v>00101101010010100000000000100011</v>
      </c>
      <c r="B117" t="str" cm="1">
        <f t="array" ref="B117">_xlfn.IFS(AS117="RegularSeason",D117,AS117&lt;&gt;"RegularSeason",K117)</f>
        <v>00101101010010100000000000100010</v>
      </c>
      <c r="C117" t="str">
        <f t="shared" si="3"/>
        <v>00101101010010100000000000100011</v>
      </c>
      <c r="D117" t="str">
        <f t="shared" si="4"/>
        <v>00101101010010100000000000100010</v>
      </c>
      <c r="E117" t="str" cm="1">
        <f t="array" ref="E117">_xlfn.XLOOKUP(_xlfn.XLOOKUP(G117,New!A:A,New!M:M,NONE),TeamIdentity!A:A,TeamIdentity!C:C,NONE)</f>
        <v>00100011</v>
      </c>
      <c r="F117" t="str" cm="1">
        <f t="array" ref="F117">_xlfn.XLOOKUP(_xlfn.XLOOKUP(G117,New!A:A,New!F:F,NONE),TeamIdentity!A:A,TeamIdentity!C:C,NONE)</f>
        <v>00100010</v>
      </c>
      <c r="G117" t="str">
        <f t="shared" si="5"/>
        <v>4-4</v>
      </c>
      <c r="H117" t="s">
        <v>54</v>
      </c>
      <c r="I117" t="s">
        <v>54</v>
      </c>
      <c r="J117" t="s">
        <v>54</v>
      </c>
      <c r="K117" t="s">
        <v>535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534</v>
      </c>
      <c r="S117">
        <v>-1</v>
      </c>
      <c r="T117">
        <v>0</v>
      </c>
      <c r="U117">
        <v>-1</v>
      </c>
      <c r="V117">
        <v>0</v>
      </c>
      <c r="W117" t="s">
        <v>70</v>
      </c>
      <c r="X117">
        <v>0</v>
      </c>
      <c r="Y117">
        <v>0</v>
      </c>
      <c r="Z117">
        <v>780</v>
      </c>
      <c r="AA117" t="s">
        <v>57</v>
      </c>
      <c r="AB117">
        <v>0</v>
      </c>
      <c r="AC117">
        <v>0</v>
      </c>
      <c r="AD117">
        <v>0</v>
      </c>
      <c r="AE117">
        <v>0</v>
      </c>
      <c r="AF117" t="s">
        <v>67</v>
      </c>
      <c r="AG117">
        <v>0</v>
      </c>
      <c r="AH117">
        <v>0</v>
      </c>
      <c r="AI117">
        <v>0</v>
      </c>
      <c r="AJ117">
        <v>0</v>
      </c>
      <c r="AK117" t="s">
        <v>60</v>
      </c>
      <c r="AL117">
        <v>0</v>
      </c>
      <c r="AM117">
        <v>0</v>
      </c>
      <c r="AN117">
        <v>0</v>
      </c>
      <c r="AO117">
        <v>0</v>
      </c>
      <c r="AP117" t="b">
        <v>0</v>
      </c>
      <c r="AQ117" t="s">
        <v>58</v>
      </c>
      <c r="AR117" t="s">
        <v>58</v>
      </c>
      <c r="AS117" t="s">
        <v>71</v>
      </c>
      <c r="AT117">
        <v>14</v>
      </c>
      <c r="AU117">
        <v>4</v>
      </c>
      <c r="AV117">
        <v>4</v>
      </c>
      <c r="AW117">
        <v>11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s">
        <v>61</v>
      </c>
      <c r="BF117" t="s">
        <v>57</v>
      </c>
      <c r="BG117" t="s">
        <v>55</v>
      </c>
      <c r="BH117" t="s">
        <v>58</v>
      </c>
      <c r="BI117" t="s">
        <v>58</v>
      </c>
    </row>
    <row r="118" spans="1:61" x14ac:dyDescent="0.25">
      <c r="A118" t="str" cm="1">
        <f t="array" ref="A118">_xlfn.IFS(AS118="RegularSeason",C118,AS118&lt;&gt;"RegularSeason",R118)</f>
        <v>00101101010010100000000000100001</v>
      </c>
      <c r="B118" t="str" cm="1">
        <f t="array" ref="B118">_xlfn.IFS(AS118="RegularSeason",D118,AS118&lt;&gt;"RegularSeason",K118)</f>
        <v>00101101010010100000000000000101</v>
      </c>
      <c r="C118" t="str">
        <f t="shared" si="3"/>
        <v>00101101010010100000000000100001</v>
      </c>
      <c r="D118" t="str">
        <f t="shared" si="4"/>
        <v>00101101010010100000000000000101</v>
      </c>
      <c r="E118" t="str" cm="1">
        <f t="array" ref="E118">_xlfn.XLOOKUP(_xlfn.XLOOKUP(G118,New!A:A,New!M:M,NONE),TeamIdentity!A:A,TeamIdentity!C:C,NONE)</f>
        <v>00100001</v>
      </c>
      <c r="F118" t="str" cm="1">
        <f t="array" ref="F118">_xlfn.XLOOKUP(_xlfn.XLOOKUP(G118,New!A:A,New!F:F,NONE),TeamIdentity!A:A,TeamIdentity!C:C,NONE)</f>
        <v>00000101</v>
      </c>
      <c r="G118" t="str">
        <f t="shared" si="5"/>
        <v>5-1</v>
      </c>
      <c r="H118" t="s">
        <v>54</v>
      </c>
      <c r="I118" t="s">
        <v>54</v>
      </c>
      <c r="J118" t="s">
        <v>54</v>
      </c>
      <c r="K118" t="s">
        <v>525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522</v>
      </c>
      <c r="S118">
        <v>-1</v>
      </c>
      <c r="T118">
        <v>0</v>
      </c>
      <c r="U118">
        <v>-1</v>
      </c>
      <c r="V118">
        <v>0</v>
      </c>
      <c r="W118" t="s">
        <v>70</v>
      </c>
      <c r="X118">
        <v>0</v>
      </c>
      <c r="Y118">
        <v>0</v>
      </c>
      <c r="Z118">
        <v>780</v>
      </c>
      <c r="AA118" t="s">
        <v>57</v>
      </c>
      <c r="AB118">
        <v>0</v>
      </c>
      <c r="AC118">
        <v>0</v>
      </c>
      <c r="AD118">
        <v>0</v>
      </c>
      <c r="AE118">
        <v>0</v>
      </c>
      <c r="AF118" t="s">
        <v>67</v>
      </c>
      <c r="AG118">
        <v>0</v>
      </c>
      <c r="AH118">
        <v>0</v>
      </c>
      <c r="AI118">
        <v>0</v>
      </c>
      <c r="AJ118">
        <v>0</v>
      </c>
      <c r="AK118" t="s">
        <v>60</v>
      </c>
      <c r="AL118">
        <v>0</v>
      </c>
      <c r="AM118">
        <v>0</v>
      </c>
      <c r="AN118">
        <v>0</v>
      </c>
      <c r="AO118">
        <v>0</v>
      </c>
      <c r="AP118" t="b">
        <v>0</v>
      </c>
      <c r="AQ118" t="s">
        <v>58</v>
      </c>
      <c r="AR118" t="s">
        <v>58</v>
      </c>
      <c r="AS118" t="s">
        <v>71</v>
      </c>
      <c r="AT118">
        <v>14</v>
      </c>
      <c r="AU118">
        <v>5</v>
      </c>
      <c r="AV118">
        <v>1</v>
      </c>
      <c r="AW118">
        <v>11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s">
        <v>61</v>
      </c>
      <c r="BF118" t="s">
        <v>57</v>
      </c>
      <c r="BG118" t="s">
        <v>55</v>
      </c>
      <c r="BH118" t="s">
        <v>58</v>
      </c>
      <c r="BI118" t="s">
        <v>58</v>
      </c>
    </row>
    <row r="119" spans="1:61" x14ac:dyDescent="0.25">
      <c r="A119" t="str" cm="1">
        <f t="array" ref="A119">_xlfn.IFS(AS119="RegularSeason",C119,AS119&lt;&gt;"RegularSeason",R119)</f>
        <v>00101101010010100000000000001101</v>
      </c>
      <c r="B119" t="str" cm="1">
        <f t="array" ref="B119">_xlfn.IFS(AS119="RegularSeason",D119,AS119&lt;&gt;"RegularSeason",K119)</f>
        <v>00101101010010100000000000100000</v>
      </c>
      <c r="C119" t="str">
        <f t="shared" si="3"/>
        <v>00101101010010100000000000001101</v>
      </c>
      <c r="D119" t="str">
        <f t="shared" si="4"/>
        <v>00101101010010100000000000100000</v>
      </c>
      <c r="E119" t="str" cm="1">
        <f t="array" ref="E119">_xlfn.XLOOKUP(_xlfn.XLOOKUP(G119,New!A:A,New!M:M,NONE),TeamIdentity!A:A,TeamIdentity!C:C,NONE)</f>
        <v>00001101</v>
      </c>
      <c r="F119" t="str" cm="1">
        <f t="array" ref="F119">_xlfn.XLOOKUP(_xlfn.XLOOKUP(G119,New!A:A,New!F:F,NONE),TeamIdentity!A:A,TeamIdentity!C:C,NONE)</f>
        <v>00100000</v>
      </c>
      <c r="G119" t="str">
        <f t="shared" si="5"/>
        <v>3-11</v>
      </c>
      <c r="H119" t="s">
        <v>54</v>
      </c>
      <c r="I119" t="s">
        <v>54</v>
      </c>
      <c r="J119" t="s">
        <v>54</v>
      </c>
      <c r="K119" t="s">
        <v>525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535</v>
      </c>
      <c r="S119">
        <v>-1</v>
      </c>
      <c r="T119">
        <v>0</v>
      </c>
      <c r="U119">
        <v>-1</v>
      </c>
      <c r="V119">
        <v>0</v>
      </c>
      <c r="W119" t="s">
        <v>70</v>
      </c>
      <c r="X119">
        <v>0</v>
      </c>
      <c r="Y119">
        <v>0</v>
      </c>
      <c r="Z119">
        <v>975</v>
      </c>
      <c r="AA119" t="s">
        <v>57</v>
      </c>
      <c r="AB119">
        <v>0</v>
      </c>
      <c r="AC119">
        <v>0</v>
      </c>
      <c r="AD119">
        <v>0</v>
      </c>
      <c r="AE119">
        <v>0</v>
      </c>
      <c r="AF119" t="s">
        <v>67</v>
      </c>
      <c r="AG119">
        <v>0</v>
      </c>
      <c r="AH119">
        <v>0</v>
      </c>
      <c r="AI119">
        <v>0</v>
      </c>
      <c r="AJ119">
        <v>0</v>
      </c>
      <c r="AK119" t="s">
        <v>60</v>
      </c>
      <c r="AL119">
        <v>0</v>
      </c>
      <c r="AM119">
        <v>0</v>
      </c>
      <c r="AN119">
        <v>0</v>
      </c>
      <c r="AO119">
        <v>0</v>
      </c>
      <c r="AP119" t="b">
        <v>0</v>
      </c>
      <c r="AQ119" t="s">
        <v>58</v>
      </c>
      <c r="AR119" t="s">
        <v>58</v>
      </c>
      <c r="AS119" t="s">
        <v>71</v>
      </c>
      <c r="AT119">
        <v>14</v>
      </c>
      <c r="AU119">
        <v>3</v>
      </c>
      <c r="AV119">
        <v>11</v>
      </c>
      <c r="AW119">
        <v>11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s">
        <v>61</v>
      </c>
      <c r="BF119" t="s">
        <v>57</v>
      </c>
      <c r="BG119" t="s">
        <v>55</v>
      </c>
      <c r="BH119" t="s">
        <v>58</v>
      </c>
      <c r="BI119" t="s">
        <v>58</v>
      </c>
    </row>
    <row r="120" spans="1:61" x14ac:dyDescent="0.25">
      <c r="A120" t="str" cm="1">
        <f t="array" ref="A120">_xlfn.IFS(AS120="RegularSeason",C120,AS120&lt;&gt;"RegularSeason",R120)</f>
        <v>00101101010010100000000000010111</v>
      </c>
      <c r="B120" t="str" cm="1">
        <f t="array" ref="B120">_xlfn.IFS(AS120="RegularSeason",D120,AS120&lt;&gt;"RegularSeason",K120)</f>
        <v>00101101010010100000000000100001</v>
      </c>
      <c r="C120" t="str">
        <f t="shared" si="3"/>
        <v>00101101010010100000000000010111</v>
      </c>
      <c r="D120" t="str">
        <f t="shared" si="4"/>
        <v>00101101010010100000000000100001</v>
      </c>
      <c r="E120" t="str" cm="1">
        <f t="array" ref="E120">_xlfn.XLOOKUP(_xlfn.XLOOKUP(G120,New!A:A,New!M:M,NONE),TeamIdentity!A:A,TeamIdentity!C:C,NONE)</f>
        <v>00010111</v>
      </c>
      <c r="F120" t="str" cm="1">
        <f t="array" ref="F120">_xlfn.XLOOKUP(_xlfn.XLOOKUP(G120,New!A:A,New!F:F,NONE),TeamIdentity!A:A,TeamIdentity!C:C,NONE)</f>
        <v>00100001</v>
      </c>
      <c r="G120" t="str">
        <f t="shared" si="5"/>
        <v>3-6</v>
      </c>
      <c r="H120" t="s">
        <v>54</v>
      </c>
      <c r="I120" t="s">
        <v>54</v>
      </c>
      <c r="J120" t="s">
        <v>54</v>
      </c>
      <c r="K120" t="s">
        <v>516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524</v>
      </c>
      <c r="S120">
        <v>-1</v>
      </c>
      <c r="T120">
        <v>0</v>
      </c>
      <c r="U120">
        <v>-1</v>
      </c>
      <c r="V120">
        <v>0</v>
      </c>
      <c r="W120" t="s">
        <v>70</v>
      </c>
      <c r="X120">
        <v>0</v>
      </c>
      <c r="Y120">
        <v>0</v>
      </c>
      <c r="Z120">
        <v>780</v>
      </c>
      <c r="AA120" t="s">
        <v>57</v>
      </c>
      <c r="AB120">
        <v>0</v>
      </c>
      <c r="AC120">
        <v>0</v>
      </c>
      <c r="AD120">
        <v>0</v>
      </c>
      <c r="AE120">
        <v>0</v>
      </c>
      <c r="AF120" t="s">
        <v>67</v>
      </c>
      <c r="AG120">
        <v>0</v>
      </c>
      <c r="AH120">
        <v>0</v>
      </c>
      <c r="AI120">
        <v>0</v>
      </c>
      <c r="AJ120">
        <v>0</v>
      </c>
      <c r="AK120" t="s">
        <v>60</v>
      </c>
      <c r="AL120">
        <v>0</v>
      </c>
      <c r="AM120">
        <v>0</v>
      </c>
      <c r="AN120">
        <v>0</v>
      </c>
      <c r="AO120">
        <v>0</v>
      </c>
      <c r="AP120" t="b">
        <v>0</v>
      </c>
      <c r="AQ120" t="s">
        <v>58</v>
      </c>
      <c r="AR120" t="s">
        <v>58</v>
      </c>
      <c r="AS120" t="s">
        <v>71</v>
      </c>
      <c r="AT120">
        <v>14</v>
      </c>
      <c r="AU120">
        <v>3</v>
      </c>
      <c r="AV120">
        <v>6</v>
      </c>
      <c r="AW120">
        <v>11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s">
        <v>61</v>
      </c>
      <c r="BF120" t="s">
        <v>57</v>
      </c>
      <c r="BG120" t="s">
        <v>55</v>
      </c>
      <c r="BH120" t="s">
        <v>58</v>
      </c>
      <c r="BI120" t="s">
        <v>58</v>
      </c>
    </row>
    <row r="121" spans="1:61" x14ac:dyDescent="0.25">
      <c r="A121" t="str" cm="1">
        <f t="array" ref="A121">_xlfn.IFS(AS121="RegularSeason",C121,AS121&lt;&gt;"RegularSeason",R121)</f>
        <v>00101101010010100000000000000110</v>
      </c>
      <c r="B121" t="str" cm="1">
        <f t="array" ref="B121">_xlfn.IFS(AS121="RegularSeason",D121,AS121&lt;&gt;"RegularSeason",K121)</f>
        <v>00101101010010100000000000000001</v>
      </c>
      <c r="C121" t="str">
        <f t="shared" si="3"/>
        <v>00101101010010100000000000000110</v>
      </c>
      <c r="D121" t="str">
        <f t="shared" si="4"/>
        <v>00101101010010100000000000000001</v>
      </c>
      <c r="E121" t="str" cm="1">
        <f t="array" ref="E121">_xlfn.XLOOKUP(_xlfn.XLOOKUP(G121,New!A:A,New!M:M,NONE),TeamIdentity!A:A,TeamIdentity!C:C,NONE)</f>
        <v>00000110</v>
      </c>
      <c r="F121" t="str" cm="1">
        <f t="array" ref="F121">_xlfn.XLOOKUP(_xlfn.XLOOKUP(G121,New!A:A,New!F:F,NONE),TeamIdentity!A:A,TeamIdentity!C:C,NONE)</f>
        <v>00000001</v>
      </c>
      <c r="G121" t="str">
        <f t="shared" si="5"/>
        <v>3-12</v>
      </c>
      <c r="H121" t="s">
        <v>54</v>
      </c>
      <c r="I121" t="s">
        <v>54</v>
      </c>
      <c r="J121" t="s">
        <v>54</v>
      </c>
      <c r="K121" t="s">
        <v>517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536</v>
      </c>
      <c r="S121">
        <v>-1</v>
      </c>
      <c r="T121">
        <v>0</v>
      </c>
      <c r="U121">
        <v>-1</v>
      </c>
      <c r="V121">
        <v>0</v>
      </c>
      <c r="W121" t="s">
        <v>70</v>
      </c>
      <c r="X121">
        <v>0</v>
      </c>
      <c r="Y121">
        <v>0</v>
      </c>
      <c r="Z121">
        <v>975</v>
      </c>
      <c r="AA121" t="s">
        <v>57</v>
      </c>
      <c r="AB121">
        <v>0</v>
      </c>
      <c r="AC121">
        <v>0</v>
      </c>
      <c r="AD121">
        <v>0</v>
      </c>
      <c r="AE121">
        <v>0</v>
      </c>
      <c r="AF121" t="s">
        <v>67</v>
      </c>
      <c r="AG121">
        <v>0</v>
      </c>
      <c r="AH121">
        <v>0</v>
      </c>
      <c r="AI121">
        <v>0</v>
      </c>
      <c r="AJ121">
        <v>0</v>
      </c>
      <c r="AK121" t="s">
        <v>60</v>
      </c>
      <c r="AL121">
        <v>0</v>
      </c>
      <c r="AM121">
        <v>0</v>
      </c>
      <c r="AN121">
        <v>0</v>
      </c>
      <c r="AO121">
        <v>0</v>
      </c>
      <c r="AP121" t="b">
        <v>0</v>
      </c>
      <c r="AQ121" t="s">
        <v>58</v>
      </c>
      <c r="AR121" t="s">
        <v>58</v>
      </c>
      <c r="AS121" t="s">
        <v>71</v>
      </c>
      <c r="AT121">
        <v>14</v>
      </c>
      <c r="AU121">
        <v>3</v>
      </c>
      <c r="AV121">
        <v>12</v>
      </c>
      <c r="AW121">
        <v>11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s">
        <v>61</v>
      </c>
      <c r="BF121" t="s">
        <v>57</v>
      </c>
      <c r="BG121" t="s">
        <v>55</v>
      </c>
      <c r="BH121" t="s">
        <v>58</v>
      </c>
      <c r="BI121" t="s">
        <v>58</v>
      </c>
    </row>
    <row r="122" spans="1:61" x14ac:dyDescent="0.25">
      <c r="A122" t="str" cm="1">
        <f t="array" ref="A122">_xlfn.IFS(AS122="RegularSeason",C122,AS122&lt;&gt;"RegularSeason",R122)</f>
        <v>00101101010010100000000000000011</v>
      </c>
      <c r="B122" t="str" cm="1">
        <f t="array" ref="B122">_xlfn.IFS(AS122="RegularSeason",D122,AS122&lt;&gt;"RegularSeason",K122)</f>
        <v>00101101010010100000000000000100</v>
      </c>
      <c r="C122" t="str">
        <f t="shared" si="3"/>
        <v>00101101010010100000000000000011</v>
      </c>
      <c r="D122" t="str">
        <f t="shared" si="4"/>
        <v>00101101010010100000000000000100</v>
      </c>
      <c r="E122" t="str" cm="1">
        <f t="array" ref="E122">_xlfn.XLOOKUP(_xlfn.XLOOKUP(G122,New!A:A,New!M:M,NONE),TeamIdentity!A:A,TeamIdentity!C:C,NONE)</f>
        <v>00000011</v>
      </c>
      <c r="F122" t="str" cm="1">
        <f t="array" ref="F122">_xlfn.XLOOKUP(_xlfn.XLOOKUP(G122,New!A:A,New!F:F,NONE),TeamIdentity!A:A,TeamIdentity!C:C,NONE)</f>
        <v>00000100</v>
      </c>
      <c r="G122" t="str">
        <f t="shared" si="5"/>
        <v>3-9</v>
      </c>
      <c r="H122" t="s">
        <v>54</v>
      </c>
      <c r="I122" t="s">
        <v>54</v>
      </c>
      <c r="J122" t="s">
        <v>54</v>
      </c>
      <c r="K122" t="s">
        <v>518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533</v>
      </c>
      <c r="S122">
        <v>-1</v>
      </c>
      <c r="T122">
        <v>0</v>
      </c>
      <c r="U122">
        <v>-1</v>
      </c>
      <c r="V122">
        <v>0</v>
      </c>
      <c r="W122" t="s">
        <v>70</v>
      </c>
      <c r="X122">
        <v>0</v>
      </c>
      <c r="Y122">
        <v>0</v>
      </c>
      <c r="Z122">
        <v>965</v>
      </c>
      <c r="AA122" t="s">
        <v>57</v>
      </c>
      <c r="AB122">
        <v>0</v>
      </c>
      <c r="AC122">
        <v>0</v>
      </c>
      <c r="AD122">
        <v>0</v>
      </c>
      <c r="AE122">
        <v>0</v>
      </c>
      <c r="AF122" t="s">
        <v>67</v>
      </c>
      <c r="AG122">
        <v>0</v>
      </c>
      <c r="AH122">
        <v>0</v>
      </c>
      <c r="AI122">
        <v>0</v>
      </c>
      <c r="AJ122">
        <v>0</v>
      </c>
      <c r="AK122" t="s">
        <v>60</v>
      </c>
      <c r="AL122">
        <v>0</v>
      </c>
      <c r="AM122">
        <v>0</v>
      </c>
      <c r="AN122">
        <v>0</v>
      </c>
      <c r="AO122">
        <v>0</v>
      </c>
      <c r="AP122" t="b">
        <v>0</v>
      </c>
      <c r="AQ122" t="s">
        <v>58</v>
      </c>
      <c r="AR122" t="s">
        <v>58</v>
      </c>
      <c r="AS122" t="s">
        <v>71</v>
      </c>
      <c r="AT122">
        <v>14</v>
      </c>
      <c r="AU122">
        <v>3</v>
      </c>
      <c r="AV122">
        <v>9</v>
      </c>
      <c r="AW122">
        <v>11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s">
        <v>61</v>
      </c>
      <c r="BF122" t="s">
        <v>57</v>
      </c>
      <c r="BG122" t="s">
        <v>55</v>
      </c>
      <c r="BH122" t="s">
        <v>58</v>
      </c>
      <c r="BI122" t="s">
        <v>58</v>
      </c>
    </row>
    <row r="123" spans="1:61" x14ac:dyDescent="0.25">
      <c r="A123" t="str" cm="1">
        <f t="array" ref="A123">_xlfn.IFS(AS123="RegularSeason",C123,AS123&lt;&gt;"RegularSeason",R123)</f>
        <v>00101101010010100000000000001111</v>
      </c>
      <c r="B123" t="str" cm="1">
        <f t="array" ref="B123">_xlfn.IFS(AS123="RegularSeason",D123,AS123&lt;&gt;"RegularSeason",K123)</f>
        <v>00101101010010100000000000010110</v>
      </c>
      <c r="C123" t="str">
        <f t="shared" si="3"/>
        <v>00101101010010100000000000001111</v>
      </c>
      <c r="D123" t="str">
        <f t="shared" si="4"/>
        <v>00101101010010100000000000010110</v>
      </c>
      <c r="E123" t="str" cm="1">
        <f t="array" ref="E123">_xlfn.XLOOKUP(_xlfn.XLOOKUP(G123,New!A:A,New!M:M,NONE),TeamIdentity!A:A,TeamIdentity!C:C,NONE)</f>
        <v>00001111</v>
      </c>
      <c r="F123" t="str" cm="1">
        <f t="array" ref="F123">_xlfn.XLOOKUP(_xlfn.XLOOKUP(G123,New!A:A,New!F:F,NONE),TeamIdentity!A:A,TeamIdentity!C:C,NONE)</f>
        <v>00010110</v>
      </c>
      <c r="G123" t="str">
        <f t="shared" si="5"/>
        <v>5-12</v>
      </c>
      <c r="H123" t="s">
        <v>54</v>
      </c>
      <c r="I123" t="s">
        <v>54</v>
      </c>
      <c r="J123" t="s">
        <v>54</v>
      </c>
      <c r="K123" t="s">
        <v>537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541</v>
      </c>
      <c r="S123">
        <v>-1</v>
      </c>
      <c r="T123">
        <v>0</v>
      </c>
      <c r="U123">
        <v>-1</v>
      </c>
      <c r="V123">
        <v>0</v>
      </c>
      <c r="W123" t="s">
        <v>70</v>
      </c>
      <c r="X123">
        <v>0</v>
      </c>
      <c r="Y123">
        <v>0</v>
      </c>
      <c r="Z123">
        <v>1230</v>
      </c>
      <c r="AA123" t="s">
        <v>57</v>
      </c>
      <c r="AB123">
        <v>0</v>
      </c>
      <c r="AC123">
        <v>0</v>
      </c>
      <c r="AD123">
        <v>0</v>
      </c>
      <c r="AE123">
        <v>0</v>
      </c>
      <c r="AF123" t="s">
        <v>65</v>
      </c>
      <c r="AG123">
        <v>0</v>
      </c>
      <c r="AH123">
        <v>0</v>
      </c>
      <c r="AI123">
        <v>0</v>
      </c>
      <c r="AJ123">
        <v>0</v>
      </c>
      <c r="AK123" t="s">
        <v>65</v>
      </c>
      <c r="AL123">
        <v>0</v>
      </c>
      <c r="AM123">
        <v>0</v>
      </c>
      <c r="AN123">
        <v>0</v>
      </c>
      <c r="AO123">
        <v>0</v>
      </c>
      <c r="AP123" t="b">
        <v>0</v>
      </c>
      <c r="AQ123" t="s">
        <v>58</v>
      </c>
      <c r="AR123" t="s">
        <v>58</v>
      </c>
      <c r="AS123" t="s">
        <v>71</v>
      </c>
      <c r="AT123">
        <v>14</v>
      </c>
      <c r="AU123">
        <v>5</v>
      </c>
      <c r="AV123">
        <v>12</v>
      </c>
      <c r="AW123">
        <v>11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s">
        <v>61</v>
      </c>
      <c r="BF123" t="s">
        <v>57</v>
      </c>
      <c r="BG123" t="s">
        <v>55</v>
      </c>
      <c r="BH123" t="s">
        <v>58</v>
      </c>
      <c r="BI123" t="s">
        <v>58</v>
      </c>
    </row>
    <row r="124" spans="1:61" x14ac:dyDescent="0.25">
      <c r="A124" t="str" cm="1">
        <f t="array" ref="A124">_xlfn.IFS(AS124="RegularSeason",C124,AS124&lt;&gt;"RegularSeason",R124)</f>
        <v>00101101010010100000000000011100</v>
      </c>
      <c r="B124" t="str" cm="1">
        <f t="array" ref="B124">_xlfn.IFS(AS124="RegularSeason",D124,AS124&lt;&gt;"RegularSeason",K124)</f>
        <v>00101101010010100000000000000011</v>
      </c>
      <c r="C124" t="str">
        <f t="shared" si="3"/>
        <v>00101101010010100000000000011100</v>
      </c>
      <c r="D124" t="str">
        <f t="shared" si="4"/>
        <v>00101101010010100000000000000011</v>
      </c>
      <c r="E124" t="str" cm="1">
        <f t="array" ref="E124">_xlfn.XLOOKUP(_xlfn.XLOOKUP(G124,New!A:A,New!M:M,NONE),TeamIdentity!A:A,TeamIdentity!C:C,NONE)</f>
        <v>00011100</v>
      </c>
      <c r="F124" t="str" cm="1">
        <f t="array" ref="F124">_xlfn.XLOOKUP(_xlfn.XLOOKUP(G124,New!A:A,New!F:F,NONE),TeamIdentity!A:A,TeamIdentity!C:C,NONE)</f>
        <v>00000011</v>
      </c>
      <c r="G124" t="str">
        <f t="shared" si="5"/>
        <v>4-14</v>
      </c>
      <c r="H124" t="s">
        <v>54</v>
      </c>
      <c r="I124" t="s">
        <v>54</v>
      </c>
      <c r="J124" t="s">
        <v>54</v>
      </c>
      <c r="K124" t="s">
        <v>539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517</v>
      </c>
      <c r="S124">
        <v>-1</v>
      </c>
      <c r="T124">
        <v>0</v>
      </c>
      <c r="U124">
        <v>-1</v>
      </c>
      <c r="V124">
        <v>0</v>
      </c>
      <c r="W124" t="s">
        <v>70</v>
      </c>
      <c r="X124">
        <v>0</v>
      </c>
      <c r="Y124">
        <v>0</v>
      </c>
      <c r="Z124">
        <v>1230</v>
      </c>
      <c r="AA124" t="s">
        <v>57</v>
      </c>
      <c r="AB124">
        <v>0</v>
      </c>
      <c r="AC124">
        <v>0</v>
      </c>
      <c r="AD124">
        <v>0</v>
      </c>
      <c r="AE124">
        <v>0</v>
      </c>
      <c r="AF124" t="s">
        <v>65</v>
      </c>
      <c r="AG124">
        <v>0</v>
      </c>
      <c r="AH124">
        <v>0</v>
      </c>
      <c r="AI124">
        <v>0</v>
      </c>
      <c r="AJ124">
        <v>0</v>
      </c>
      <c r="AK124" t="s">
        <v>65</v>
      </c>
      <c r="AL124">
        <v>0</v>
      </c>
      <c r="AM124">
        <v>0</v>
      </c>
      <c r="AN124">
        <v>0</v>
      </c>
      <c r="AO124">
        <v>0</v>
      </c>
      <c r="AP124" t="b">
        <v>0</v>
      </c>
      <c r="AQ124" t="s">
        <v>58</v>
      </c>
      <c r="AR124" t="s">
        <v>58</v>
      </c>
      <c r="AS124" t="s">
        <v>71</v>
      </c>
      <c r="AT124">
        <v>14</v>
      </c>
      <c r="AU124">
        <v>4</v>
      </c>
      <c r="AV124">
        <v>14</v>
      </c>
      <c r="AW124">
        <v>11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s">
        <v>61</v>
      </c>
      <c r="BF124" t="s">
        <v>57</v>
      </c>
      <c r="BG124" t="s">
        <v>55</v>
      </c>
      <c r="BH124" t="s">
        <v>58</v>
      </c>
      <c r="BI124" t="s">
        <v>58</v>
      </c>
    </row>
    <row r="125" spans="1:61" x14ac:dyDescent="0.25">
      <c r="A125" t="str" cm="1">
        <f t="array" ref="A125">_xlfn.IFS(AS125="RegularSeason",C125,AS125&lt;&gt;"RegularSeason",R125)</f>
        <v>00101101010010100000000000000010</v>
      </c>
      <c r="B125" t="str" cm="1">
        <f t="array" ref="B125">_xlfn.IFS(AS125="RegularSeason",D125,AS125&lt;&gt;"RegularSeason",K125)</f>
        <v>00101101010010100000000000000101</v>
      </c>
      <c r="C125" t="str">
        <f t="shared" si="3"/>
        <v>00101101010010100000000000000010</v>
      </c>
      <c r="D125" t="str">
        <f t="shared" si="4"/>
        <v>00101101010010100000000000000101</v>
      </c>
      <c r="E125" t="str" cm="1">
        <f t="array" ref="E125">_xlfn.XLOOKUP(_xlfn.XLOOKUP(G125,New!A:A,New!M:M,NONE),TeamIdentity!A:A,TeamIdentity!C:C,NONE)</f>
        <v>00000010</v>
      </c>
      <c r="F125" t="str" cm="1">
        <f t="array" ref="F125">_xlfn.XLOOKUP(_xlfn.XLOOKUP(G125,New!A:A,New!F:F,NONE),TeamIdentity!A:A,TeamIdentity!C:C,NONE)</f>
        <v>00000101</v>
      </c>
      <c r="G125" t="str">
        <f t="shared" si="5"/>
        <v>4-5</v>
      </c>
      <c r="H125" t="s">
        <v>54</v>
      </c>
      <c r="I125" t="s">
        <v>54</v>
      </c>
      <c r="J125" t="s">
        <v>54</v>
      </c>
      <c r="K125" t="s">
        <v>533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514</v>
      </c>
      <c r="S125">
        <v>-1</v>
      </c>
      <c r="T125">
        <v>0</v>
      </c>
      <c r="U125">
        <v>-1</v>
      </c>
      <c r="V125">
        <v>0</v>
      </c>
      <c r="W125" t="s">
        <v>70</v>
      </c>
      <c r="X125">
        <v>0</v>
      </c>
      <c r="Y125">
        <v>0</v>
      </c>
      <c r="Z125">
        <v>780</v>
      </c>
      <c r="AA125" t="s">
        <v>57</v>
      </c>
      <c r="AB125">
        <v>0</v>
      </c>
      <c r="AC125">
        <v>0</v>
      </c>
      <c r="AD125">
        <v>0</v>
      </c>
      <c r="AE125">
        <v>0</v>
      </c>
      <c r="AF125" t="s">
        <v>67</v>
      </c>
      <c r="AG125">
        <v>0</v>
      </c>
      <c r="AH125">
        <v>0</v>
      </c>
      <c r="AI125">
        <v>0</v>
      </c>
      <c r="AJ125">
        <v>0</v>
      </c>
      <c r="AK125" t="s">
        <v>60</v>
      </c>
      <c r="AL125">
        <v>0</v>
      </c>
      <c r="AM125">
        <v>0</v>
      </c>
      <c r="AN125">
        <v>0</v>
      </c>
      <c r="AO125">
        <v>0</v>
      </c>
      <c r="AP125" t="b">
        <v>0</v>
      </c>
      <c r="AQ125" t="s">
        <v>58</v>
      </c>
      <c r="AR125" t="s">
        <v>58</v>
      </c>
      <c r="AS125" t="s">
        <v>71</v>
      </c>
      <c r="AT125">
        <v>14</v>
      </c>
      <c r="AU125">
        <v>4</v>
      </c>
      <c r="AV125">
        <v>5</v>
      </c>
      <c r="AW125">
        <v>11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s">
        <v>61</v>
      </c>
      <c r="BF125" t="s">
        <v>57</v>
      </c>
      <c r="BG125" t="s">
        <v>55</v>
      </c>
      <c r="BH125" t="s">
        <v>58</v>
      </c>
      <c r="BI125" t="s">
        <v>58</v>
      </c>
    </row>
    <row r="126" spans="1:61" x14ac:dyDescent="0.25">
      <c r="A126" t="str" cm="1">
        <f t="array" ref="A126">_xlfn.IFS(AS126="RegularSeason",C126,AS126&lt;&gt;"RegularSeason",R126)</f>
        <v>00101101010010100000000000000110</v>
      </c>
      <c r="B126" t="str" cm="1">
        <f t="array" ref="B126">_xlfn.IFS(AS126="RegularSeason",D126,AS126&lt;&gt;"RegularSeason",K126)</f>
        <v>00101101010010100000000000011111</v>
      </c>
      <c r="C126" t="str">
        <f t="shared" si="3"/>
        <v>00101101010010100000000000000110</v>
      </c>
      <c r="D126" t="str">
        <f t="shared" si="4"/>
        <v>00101101010010100000000000011111</v>
      </c>
      <c r="E126" t="str" cm="1">
        <f t="array" ref="E126">_xlfn.XLOOKUP(_xlfn.XLOOKUP(G126,New!A:A,New!M:M,NONE),TeamIdentity!A:A,TeamIdentity!C:C,NONE)</f>
        <v>00000110</v>
      </c>
      <c r="F126" t="str" cm="1">
        <f t="array" ref="F126">_xlfn.XLOOKUP(_xlfn.XLOOKUP(G126,New!A:A,New!F:F,NONE),TeamIdentity!A:A,TeamIdentity!C:C,NONE)</f>
        <v>00011111</v>
      </c>
      <c r="G126" t="str">
        <f t="shared" si="5"/>
        <v>4-15</v>
      </c>
      <c r="H126" t="s">
        <v>54</v>
      </c>
      <c r="I126" t="s">
        <v>54</v>
      </c>
      <c r="J126" t="s">
        <v>54</v>
      </c>
      <c r="K126" t="s">
        <v>523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529</v>
      </c>
      <c r="S126">
        <v>-1</v>
      </c>
      <c r="T126">
        <v>0</v>
      </c>
      <c r="U126">
        <v>-1</v>
      </c>
      <c r="V126">
        <v>0</v>
      </c>
      <c r="W126" t="s">
        <v>70</v>
      </c>
      <c r="X126">
        <v>0</v>
      </c>
      <c r="Y126">
        <v>0</v>
      </c>
      <c r="Z126">
        <v>1220</v>
      </c>
      <c r="AA126" t="s">
        <v>57</v>
      </c>
      <c r="AB126">
        <v>0</v>
      </c>
      <c r="AC126">
        <v>0</v>
      </c>
      <c r="AD126">
        <v>0</v>
      </c>
      <c r="AE126">
        <v>0</v>
      </c>
      <c r="AF126" t="s">
        <v>68</v>
      </c>
      <c r="AG126">
        <v>0</v>
      </c>
      <c r="AH126">
        <v>0</v>
      </c>
      <c r="AI126">
        <v>0</v>
      </c>
      <c r="AJ126">
        <v>0</v>
      </c>
      <c r="AK126" t="s">
        <v>68</v>
      </c>
      <c r="AL126">
        <v>0</v>
      </c>
      <c r="AM126">
        <v>0</v>
      </c>
      <c r="AN126">
        <v>0</v>
      </c>
      <c r="AO126">
        <v>0</v>
      </c>
      <c r="AP126" t="b">
        <v>0</v>
      </c>
      <c r="AQ126" t="s">
        <v>58</v>
      </c>
      <c r="AR126" t="s">
        <v>58</v>
      </c>
      <c r="AS126" t="s">
        <v>71</v>
      </c>
      <c r="AT126">
        <v>14</v>
      </c>
      <c r="AU126">
        <v>4</v>
      </c>
      <c r="AV126">
        <v>15</v>
      </c>
      <c r="AW126">
        <v>11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s">
        <v>61</v>
      </c>
      <c r="BF126" t="s">
        <v>57</v>
      </c>
      <c r="BG126" t="s">
        <v>55</v>
      </c>
      <c r="BH126" t="s">
        <v>58</v>
      </c>
      <c r="BI126" t="s">
        <v>58</v>
      </c>
    </row>
    <row r="127" spans="1:61" x14ac:dyDescent="0.25">
      <c r="A127" t="str" cm="1">
        <f t="array" ref="A127">_xlfn.IFS(AS127="RegularSeason",C127,AS127&lt;&gt;"RegularSeason",R127)</f>
        <v>00101101010010100000000000011011</v>
      </c>
      <c r="B127" t="str" cm="1">
        <f t="array" ref="B127">_xlfn.IFS(AS127="RegularSeason",D127,AS127&lt;&gt;"RegularSeason",K127)</f>
        <v>00101101010010100000000000010000</v>
      </c>
      <c r="C127" t="str">
        <f t="shared" si="3"/>
        <v>00101101010010100000000000011011</v>
      </c>
      <c r="D127" t="str">
        <f t="shared" si="4"/>
        <v>00101101010010100000000000010000</v>
      </c>
      <c r="E127" t="str" cm="1">
        <f t="array" ref="E127">_xlfn.XLOOKUP(_xlfn.XLOOKUP(G127,New!A:A,New!M:M,NONE),TeamIdentity!A:A,TeamIdentity!C:C,NONE)</f>
        <v>00011011</v>
      </c>
      <c r="F127" t="str" cm="1">
        <f t="array" ref="F127">_xlfn.XLOOKUP(_xlfn.XLOOKUP(G127,New!A:A,New!F:F,NONE),TeamIdentity!A:A,TeamIdentity!C:C,NONE)</f>
        <v>00010000</v>
      </c>
      <c r="G127" t="str">
        <f t="shared" si="5"/>
        <v>5-11</v>
      </c>
      <c r="H127" t="s">
        <v>54</v>
      </c>
      <c r="I127" t="s">
        <v>54</v>
      </c>
      <c r="J127" t="s">
        <v>54</v>
      </c>
      <c r="K127" t="s">
        <v>516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519</v>
      </c>
      <c r="S127">
        <v>-1</v>
      </c>
      <c r="T127">
        <v>0</v>
      </c>
      <c r="U127">
        <v>-1</v>
      </c>
      <c r="V127">
        <v>0</v>
      </c>
      <c r="W127" t="s">
        <v>70</v>
      </c>
      <c r="X127">
        <v>0</v>
      </c>
      <c r="Y127">
        <v>0</v>
      </c>
      <c r="Z127">
        <v>1220</v>
      </c>
      <c r="AA127" t="s">
        <v>57</v>
      </c>
      <c r="AB127">
        <v>0</v>
      </c>
      <c r="AC127">
        <v>0</v>
      </c>
      <c r="AD127">
        <v>0</v>
      </c>
      <c r="AE127">
        <v>0</v>
      </c>
      <c r="AF127" t="s">
        <v>60</v>
      </c>
      <c r="AG127">
        <v>0</v>
      </c>
      <c r="AH127">
        <v>0</v>
      </c>
      <c r="AI127">
        <v>0</v>
      </c>
      <c r="AJ127">
        <v>0</v>
      </c>
      <c r="AK127" t="s">
        <v>60</v>
      </c>
      <c r="AL127">
        <v>0</v>
      </c>
      <c r="AM127">
        <v>0</v>
      </c>
      <c r="AN127">
        <v>0</v>
      </c>
      <c r="AO127">
        <v>0</v>
      </c>
      <c r="AP127" t="b">
        <v>0</v>
      </c>
      <c r="AQ127" t="s">
        <v>58</v>
      </c>
      <c r="AR127" t="s">
        <v>58</v>
      </c>
      <c r="AS127" t="s">
        <v>71</v>
      </c>
      <c r="AT127">
        <v>14</v>
      </c>
      <c r="AU127">
        <v>5</v>
      </c>
      <c r="AV127">
        <v>11</v>
      </c>
      <c r="AW127">
        <v>11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s">
        <v>61</v>
      </c>
      <c r="BF127" t="s">
        <v>57</v>
      </c>
      <c r="BG127" t="s">
        <v>55</v>
      </c>
      <c r="BH127" t="s">
        <v>58</v>
      </c>
      <c r="BI127" t="s">
        <v>58</v>
      </c>
    </row>
    <row r="128" spans="1:61" x14ac:dyDescent="0.25">
      <c r="A128" t="str" cm="1">
        <f t="array" ref="A128">_xlfn.IFS(AS128="RegularSeason",C128,AS128&lt;&gt;"RegularSeason",R128)</f>
        <v>00101101010010100000000000100000</v>
      </c>
      <c r="B128" t="str" cm="1">
        <f t="array" ref="B128">_xlfn.IFS(AS128="RegularSeason",D128,AS128&lt;&gt;"RegularSeason",K128)</f>
        <v>00101101010010100000000000100100</v>
      </c>
      <c r="C128" t="str">
        <f t="shared" si="3"/>
        <v>00101101010010100000000000100000</v>
      </c>
      <c r="D128" t="str">
        <f t="shared" si="4"/>
        <v>00101101010010100000000000100100</v>
      </c>
      <c r="E128" t="str" cm="1">
        <f t="array" ref="E128">_xlfn.XLOOKUP(_xlfn.XLOOKUP(G128,New!A:A,New!M:M,NONE),TeamIdentity!A:A,TeamIdentity!C:C,NONE)</f>
        <v>00100000</v>
      </c>
      <c r="F128" t="str" cm="1">
        <f t="array" ref="F128">_xlfn.XLOOKUP(_xlfn.XLOOKUP(G128,New!A:A,New!F:F,NONE),TeamIdentity!A:A,TeamIdentity!C:C,NONE)</f>
        <v>00100100</v>
      </c>
      <c r="G128" t="str">
        <f t="shared" si="5"/>
        <v>5-7</v>
      </c>
      <c r="H128" t="s">
        <v>54</v>
      </c>
      <c r="I128" t="s">
        <v>54</v>
      </c>
      <c r="J128" t="s">
        <v>54</v>
      </c>
      <c r="K128" t="s">
        <v>540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527</v>
      </c>
      <c r="S128">
        <v>-1</v>
      </c>
      <c r="T128">
        <v>0</v>
      </c>
      <c r="U128">
        <v>-1</v>
      </c>
      <c r="V128">
        <v>0</v>
      </c>
      <c r="W128" t="s">
        <v>70</v>
      </c>
      <c r="X128">
        <v>0</v>
      </c>
      <c r="Y128">
        <v>0</v>
      </c>
      <c r="Z128">
        <v>975</v>
      </c>
      <c r="AA128" t="s">
        <v>57</v>
      </c>
      <c r="AB128">
        <v>0</v>
      </c>
      <c r="AC128">
        <v>0</v>
      </c>
      <c r="AD128">
        <v>0</v>
      </c>
      <c r="AE128">
        <v>0</v>
      </c>
      <c r="AF128" t="s">
        <v>67</v>
      </c>
      <c r="AG128">
        <v>0</v>
      </c>
      <c r="AH128">
        <v>0</v>
      </c>
      <c r="AI128">
        <v>0</v>
      </c>
      <c r="AJ128">
        <v>0</v>
      </c>
      <c r="AK128" t="s">
        <v>60</v>
      </c>
      <c r="AL128">
        <v>0</v>
      </c>
      <c r="AM128">
        <v>0</v>
      </c>
      <c r="AN128">
        <v>0</v>
      </c>
      <c r="AO128">
        <v>0</v>
      </c>
      <c r="AP128" t="b">
        <v>0</v>
      </c>
      <c r="AQ128" t="s">
        <v>58</v>
      </c>
      <c r="AR128" t="s">
        <v>58</v>
      </c>
      <c r="AS128" t="s">
        <v>71</v>
      </c>
      <c r="AT128">
        <v>14</v>
      </c>
      <c r="AU128">
        <v>5</v>
      </c>
      <c r="AV128">
        <v>7</v>
      </c>
      <c r="AW128">
        <v>11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s">
        <v>61</v>
      </c>
      <c r="BF128" t="s">
        <v>57</v>
      </c>
      <c r="BG128" t="s">
        <v>55</v>
      </c>
      <c r="BH128" t="s">
        <v>58</v>
      </c>
      <c r="BI128" t="s">
        <v>58</v>
      </c>
    </row>
    <row r="129" spans="1:61" x14ac:dyDescent="0.25">
      <c r="A129" t="str" cm="1">
        <f t="array" ref="A129">_xlfn.IFS(AS129="RegularSeason",C129,AS129&lt;&gt;"RegularSeason",R129)</f>
        <v>00101101010010100000000000011110</v>
      </c>
      <c r="B129" t="str" cm="1">
        <f t="array" ref="B129">_xlfn.IFS(AS129="RegularSeason",D129,AS129&lt;&gt;"RegularSeason",K129)</f>
        <v>00101101010010100000000000010110</v>
      </c>
      <c r="C129" t="str">
        <f t="shared" si="3"/>
        <v>00101101010010100000000000011110</v>
      </c>
      <c r="D129" t="str">
        <f t="shared" si="4"/>
        <v>00101101010010100000000000010110</v>
      </c>
      <c r="E129" t="str" cm="1">
        <f t="array" ref="E129">_xlfn.XLOOKUP(_xlfn.XLOOKUP(G129,New!A:A,New!M:M,NONE),TeamIdentity!A:A,TeamIdentity!C:C,NONE)</f>
        <v>00011110</v>
      </c>
      <c r="F129" t="str" cm="1">
        <f t="array" ref="F129">_xlfn.XLOOKUP(_xlfn.XLOOKUP(G129,New!A:A,New!F:F,NONE),TeamIdentity!A:A,TeamIdentity!C:C,NONE)</f>
        <v>00010110</v>
      </c>
      <c r="G129" t="str">
        <f t="shared" si="5"/>
        <v>4-10</v>
      </c>
      <c r="H129" t="s">
        <v>54</v>
      </c>
      <c r="I129" t="s">
        <v>54</v>
      </c>
      <c r="J129" t="s">
        <v>54</v>
      </c>
      <c r="K129" t="s">
        <v>524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532</v>
      </c>
      <c r="S129">
        <v>-1</v>
      </c>
      <c r="T129">
        <v>0</v>
      </c>
      <c r="U129">
        <v>-1</v>
      </c>
      <c r="V129">
        <v>0</v>
      </c>
      <c r="W129" t="s">
        <v>70</v>
      </c>
      <c r="X129">
        <v>0</v>
      </c>
      <c r="Y129">
        <v>0</v>
      </c>
      <c r="Z129">
        <v>975</v>
      </c>
      <c r="AA129" t="s">
        <v>57</v>
      </c>
      <c r="AB129">
        <v>0</v>
      </c>
      <c r="AC129">
        <v>0</v>
      </c>
      <c r="AD129">
        <v>0</v>
      </c>
      <c r="AE129">
        <v>0</v>
      </c>
      <c r="AF129" t="s">
        <v>67</v>
      </c>
      <c r="AG129">
        <v>0</v>
      </c>
      <c r="AH129">
        <v>0</v>
      </c>
      <c r="AI129">
        <v>0</v>
      </c>
      <c r="AJ129">
        <v>0</v>
      </c>
      <c r="AK129" t="s">
        <v>60</v>
      </c>
      <c r="AL129">
        <v>0</v>
      </c>
      <c r="AM129">
        <v>0</v>
      </c>
      <c r="AN129">
        <v>0</v>
      </c>
      <c r="AO129">
        <v>0</v>
      </c>
      <c r="AP129" t="b">
        <v>0</v>
      </c>
      <c r="AQ129" t="s">
        <v>58</v>
      </c>
      <c r="AR129" t="s">
        <v>58</v>
      </c>
      <c r="AS129" t="s">
        <v>71</v>
      </c>
      <c r="AT129">
        <v>14</v>
      </c>
      <c r="AU129">
        <v>4</v>
      </c>
      <c r="AV129">
        <v>10</v>
      </c>
      <c r="AW129">
        <v>11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s">
        <v>61</v>
      </c>
      <c r="BF129" t="s">
        <v>57</v>
      </c>
      <c r="BG129" t="s">
        <v>55</v>
      </c>
      <c r="BH129" t="s">
        <v>58</v>
      </c>
      <c r="BI129" t="s">
        <v>58</v>
      </c>
    </row>
    <row r="130" spans="1:61" x14ac:dyDescent="0.25">
      <c r="A130" t="str" cm="1">
        <f t="array" ref="A130">_xlfn.IFS(AS130="RegularSeason",C130,AS130&lt;&gt;"RegularSeason",R130)</f>
        <v>00101101010010100000000000010111</v>
      </c>
      <c r="B130" t="str" cm="1">
        <f t="array" ref="B130">_xlfn.IFS(AS130="RegularSeason",D130,AS130&lt;&gt;"RegularSeason",K130)</f>
        <v>00101101010010100000000000000001</v>
      </c>
      <c r="C130" t="str">
        <f t="shared" si="3"/>
        <v>00101101010010100000000000010111</v>
      </c>
      <c r="D130" t="str">
        <f t="shared" si="4"/>
        <v>00101101010010100000000000000001</v>
      </c>
      <c r="E130" t="str" cm="1">
        <f t="array" ref="E130">_xlfn.XLOOKUP(_xlfn.XLOOKUP(G130,New!A:A,New!M:M,NONE),TeamIdentity!A:A,TeamIdentity!C:C,NONE)</f>
        <v>00010111</v>
      </c>
      <c r="F130" t="str" cm="1">
        <f t="array" ref="F130">_xlfn.XLOOKUP(_xlfn.XLOOKUP(G130,New!A:A,New!F:F,NONE),TeamIdentity!A:A,TeamIdentity!C:C,NONE)</f>
        <v>00000001</v>
      </c>
      <c r="G130" t="str">
        <f t="shared" si="5"/>
        <v>5-8</v>
      </c>
      <c r="H130" t="s">
        <v>54</v>
      </c>
      <c r="I130" t="s">
        <v>54</v>
      </c>
      <c r="J130" t="s">
        <v>54</v>
      </c>
      <c r="K130" t="s">
        <v>533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542</v>
      </c>
      <c r="S130">
        <v>-1</v>
      </c>
      <c r="T130">
        <v>0</v>
      </c>
      <c r="U130">
        <v>-1</v>
      </c>
      <c r="V130">
        <v>0</v>
      </c>
      <c r="W130" t="s">
        <v>70</v>
      </c>
      <c r="X130">
        <v>0</v>
      </c>
      <c r="Y130">
        <v>0</v>
      </c>
      <c r="Z130">
        <v>975</v>
      </c>
      <c r="AA130" t="s">
        <v>57</v>
      </c>
      <c r="AB130">
        <v>0</v>
      </c>
      <c r="AC130">
        <v>0</v>
      </c>
      <c r="AD130">
        <v>0</v>
      </c>
      <c r="AE130">
        <v>0</v>
      </c>
      <c r="AF130" t="s">
        <v>67</v>
      </c>
      <c r="AG130">
        <v>0</v>
      </c>
      <c r="AH130">
        <v>0</v>
      </c>
      <c r="AI130">
        <v>0</v>
      </c>
      <c r="AJ130">
        <v>0</v>
      </c>
      <c r="AK130" t="s">
        <v>60</v>
      </c>
      <c r="AL130">
        <v>0</v>
      </c>
      <c r="AM130">
        <v>0</v>
      </c>
      <c r="AN130">
        <v>0</v>
      </c>
      <c r="AO130">
        <v>0</v>
      </c>
      <c r="AP130" t="b">
        <v>0</v>
      </c>
      <c r="AQ130" t="s">
        <v>58</v>
      </c>
      <c r="AR130" t="s">
        <v>58</v>
      </c>
      <c r="AS130" t="s">
        <v>71</v>
      </c>
      <c r="AT130">
        <v>14</v>
      </c>
      <c r="AU130">
        <v>5</v>
      </c>
      <c r="AV130">
        <v>8</v>
      </c>
      <c r="AW130">
        <v>11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s">
        <v>61</v>
      </c>
      <c r="BF130" t="s">
        <v>57</v>
      </c>
      <c r="BG130" t="s">
        <v>55</v>
      </c>
      <c r="BH130" t="s">
        <v>58</v>
      </c>
      <c r="BI130" t="s">
        <v>58</v>
      </c>
    </row>
    <row r="131" spans="1:61" x14ac:dyDescent="0.25">
      <c r="A131" t="str" cm="1">
        <f t="array" ref="A131">_xlfn.IFS(AS131="RegularSeason",C131,AS131&lt;&gt;"RegularSeason",R131)</f>
        <v>00101101010010100000000000011011</v>
      </c>
      <c r="B131" t="str" cm="1">
        <f t="array" ref="B131">_xlfn.IFS(AS131="RegularSeason",D131,AS131&lt;&gt;"RegularSeason",K131)</f>
        <v>00101101010010100000000000001010</v>
      </c>
      <c r="C131" t="str">
        <f t="shared" ref="C131:C194" si="6">_xlfn.CONCAT(LEFT(R131,24),E131)</f>
        <v>00101101010010100000000000011011</v>
      </c>
      <c r="D131" t="str">
        <f t="shared" ref="D131:D194" si="7">_xlfn.CONCAT(LEFT(K131,24),F131)</f>
        <v>00101101010010100000000000001010</v>
      </c>
      <c r="E131" t="str" cm="1">
        <f t="array" ref="E131">_xlfn.XLOOKUP(_xlfn.XLOOKUP(G131,New!A:A,New!M:M,NONE),TeamIdentity!A:A,TeamIdentity!C:C,NONE)</f>
        <v>00011011</v>
      </c>
      <c r="F131" t="str" cm="1">
        <f t="array" ref="F131">_xlfn.XLOOKUP(_xlfn.XLOOKUP(G131,New!A:A,New!F:F,NONE),TeamIdentity!A:A,TeamIdentity!C:C,NONE)</f>
        <v>00001010</v>
      </c>
      <c r="G131" t="str">
        <f t="shared" ref="G131:G194" si="8">_xlfn.CONCAT(AU131,"-",AV131)</f>
        <v>3-7</v>
      </c>
      <c r="H131" t="s">
        <v>54</v>
      </c>
      <c r="I131" t="s">
        <v>54</v>
      </c>
      <c r="J131" t="s">
        <v>54</v>
      </c>
      <c r="K131" t="s">
        <v>522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521</v>
      </c>
      <c r="S131">
        <v>-1</v>
      </c>
      <c r="T131">
        <v>0</v>
      </c>
      <c r="U131">
        <v>-1</v>
      </c>
      <c r="V131">
        <v>0</v>
      </c>
      <c r="W131" t="s">
        <v>70</v>
      </c>
      <c r="X131">
        <v>0</v>
      </c>
      <c r="Y131">
        <v>0</v>
      </c>
      <c r="Z131">
        <v>780</v>
      </c>
      <c r="AA131" t="s">
        <v>57</v>
      </c>
      <c r="AB131">
        <v>0</v>
      </c>
      <c r="AC131">
        <v>0</v>
      </c>
      <c r="AD131">
        <v>0</v>
      </c>
      <c r="AE131">
        <v>0</v>
      </c>
      <c r="AF131" t="s">
        <v>67</v>
      </c>
      <c r="AG131">
        <v>0</v>
      </c>
      <c r="AH131">
        <v>0</v>
      </c>
      <c r="AI131">
        <v>0</v>
      </c>
      <c r="AJ131">
        <v>0</v>
      </c>
      <c r="AK131" t="s">
        <v>60</v>
      </c>
      <c r="AL131">
        <v>0</v>
      </c>
      <c r="AM131">
        <v>0</v>
      </c>
      <c r="AN131">
        <v>0</v>
      </c>
      <c r="AO131">
        <v>0</v>
      </c>
      <c r="AP131" t="b">
        <v>0</v>
      </c>
      <c r="AQ131" t="s">
        <v>58</v>
      </c>
      <c r="AR131" t="s">
        <v>58</v>
      </c>
      <c r="AS131" t="s">
        <v>71</v>
      </c>
      <c r="AT131">
        <v>14</v>
      </c>
      <c r="AU131">
        <v>3</v>
      </c>
      <c r="AV131">
        <v>7</v>
      </c>
      <c r="AW131">
        <v>11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s">
        <v>61</v>
      </c>
      <c r="BF131" t="s">
        <v>57</v>
      </c>
      <c r="BG131" t="s">
        <v>55</v>
      </c>
      <c r="BH131" t="s">
        <v>58</v>
      </c>
      <c r="BI131" t="s">
        <v>58</v>
      </c>
    </row>
    <row r="132" spans="1:61" x14ac:dyDescent="0.25">
      <c r="A132" t="str" cm="1">
        <f t="array" ref="A132">_xlfn.IFS(AS132="RegularSeason",C132,AS132&lt;&gt;"RegularSeason",R132)</f>
        <v>00101101010010100000000000011101</v>
      </c>
      <c r="B132" t="str" cm="1">
        <f t="array" ref="B132">_xlfn.IFS(AS132="RegularSeason",D132,AS132&lt;&gt;"RegularSeason",K132)</f>
        <v>00101101010010100000000000000000</v>
      </c>
      <c r="C132" t="str">
        <f t="shared" si="6"/>
        <v>00101101010010100000000000011101</v>
      </c>
      <c r="D132" t="str">
        <f t="shared" si="7"/>
        <v>00101101010010100000000000000000</v>
      </c>
      <c r="E132" t="str" cm="1">
        <f t="array" ref="E132">_xlfn.XLOOKUP(_xlfn.XLOOKUP(G132,New!A:A,New!M:M,NONE),TeamIdentity!A:A,TeamIdentity!C:C,NONE)</f>
        <v>00011101</v>
      </c>
      <c r="F132" t="str" cm="1">
        <f t="array" ref="F132">_xlfn.XLOOKUP(_xlfn.XLOOKUP(G132,New!A:A,New!F:F,NONE),TeamIdentity!A:A,TeamIdentity!C:C,NONE)</f>
        <v>00000000</v>
      </c>
      <c r="G132" t="str">
        <f t="shared" si="8"/>
        <v>5-2</v>
      </c>
      <c r="H132" t="s">
        <v>54</v>
      </c>
      <c r="I132" t="s">
        <v>54</v>
      </c>
      <c r="J132" t="s">
        <v>54</v>
      </c>
      <c r="K132" t="s">
        <v>515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531</v>
      </c>
      <c r="S132">
        <v>-1</v>
      </c>
      <c r="T132">
        <v>0</v>
      </c>
      <c r="U132">
        <v>-1</v>
      </c>
      <c r="V132">
        <v>0</v>
      </c>
      <c r="W132" t="s">
        <v>70</v>
      </c>
      <c r="X132">
        <v>0</v>
      </c>
      <c r="Y132">
        <v>0</v>
      </c>
      <c r="Z132">
        <v>780</v>
      </c>
      <c r="AA132" t="s">
        <v>57</v>
      </c>
      <c r="AB132">
        <v>0</v>
      </c>
      <c r="AC132">
        <v>0</v>
      </c>
      <c r="AD132">
        <v>0</v>
      </c>
      <c r="AE132">
        <v>0</v>
      </c>
      <c r="AF132" t="s">
        <v>67</v>
      </c>
      <c r="AG132">
        <v>0</v>
      </c>
      <c r="AH132">
        <v>0</v>
      </c>
      <c r="AI132">
        <v>0</v>
      </c>
      <c r="AJ132">
        <v>0</v>
      </c>
      <c r="AK132" t="s">
        <v>60</v>
      </c>
      <c r="AL132">
        <v>0</v>
      </c>
      <c r="AM132">
        <v>0</v>
      </c>
      <c r="AN132">
        <v>0</v>
      </c>
      <c r="AO132">
        <v>0</v>
      </c>
      <c r="AP132" t="b">
        <v>0</v>
      </c>
      <c r="AQ132" t="s">
        <v>58</v>
      </c>
      <c r="AR132" t="s">
        <v>58</v>
      </c>
      <c r="AS132" t="s">
        <v>71</v>
      </c>
      <c r="AT132">
        <v>14</v>
      </c>
      <c r="AU132">
        <v>5</v>
      </c>
      <c r="AV132">
        <v>2</v>
      </c>
      <c r="AW132">
        <v>11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s">
        <v>61</v>
      </c>
      <c r="BF132" t="s">
        <v>57</v>
      </c>
      <c r="BG132" t="s">
        <v>55</v>
      </c>
      <c r="BH132" t="s">
        <v>58</v>
      </c>
      <c r="BI132" t="s">
        <v>58</v>
      </c>
    </row>
    <row r="133" spans="1:61" x14ac:dyDescent="0.25">
      <c r="A133" t="str" cm="1">
        <f t="array" ref="A133">_xlfn.IFS(AS133="RegularSeason",C133,AS133&lt;&gt;"RegularSeason",R133)</f>
        <v>00101101010010100000000000001010</v>
      </c>
      <c r="B133" t="str" cm="1">
        <f t="array" ref="B133">_xlfn.IFS(AS133="RegularSeason",D133,AS133&lt;&gt;"RegularSeason",K133)</f>
        <v>00101101010010100000000000000100</v>
      </c>
      <c r="C133" t="str">
        <f t="shared" si="6"/>
        <v>00101101010010100000000000001010</v>
      </c>
      <c r="D133" t="str">
        <f t="shared" si="7"/>
        <v>00101101010010100000000000000100</v>
      </c>
      <c r="E133" t="str" cm="1">
        <f t="array" ref="E133">_xlfn.XLOOKUP(_xlfn.XLOOKUP(G133,New!A:A,New!M:M,NONE),TeamIdentity!A:A,TeamIdentity!C:C,NONE)</f>
        <v>00001010</v>
      </c>
      <c r="F133" t="str" cm="1">
        <f t="array" ref="F133">_xlfn.XLOOKUP(_xlfn.XLOOKUP(G133,New!A:A,New!F:F,NONE),TeamIdentity!A:A,TeamIdentity!C:C,NONE)</f>
        <v>00000100</v>
      </c>
      <c r="G133" t="str">
        <f t="shared" si="8"/>
        <v>4-11</v>
      </c>
      <c r="H133" t="s">
        <v>54</v>
      </c>
      <c r="I133" t="s">
        <v>54</v>
      </c>
      <c r="J133" t="s">
        <v>54</v>
      </c>
      <c r="K133" t="s">
        <v>516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530</v>
      </c>
      <c r="S133">
        <v>-1</v>
      </c>
      <c r="T133">
        <v>0</v>
      </c>
      <c r="U133">
        <v>-1</v>
      </c>
      <c r="V133">
        <v>0</v>
      </c>
      <c r="W133" t="s">
        <v>70</v>
      </c>
      <c r="X133">
        <v>0</v>
      </c>
      <c r="Y133">
        <v>0</v>
      </c>
      <c r="Z133">
        <v>975</v>
      </c>
      <c r="AA133" t="s">
        <v>57</v>
      </c>
      <c r="AB133">
        <v>0</v>
      </c>
      <c r="AC133">
        <v>0</v>
      </c>
      <c r="AD133">
        <v>0</v>
      </c>
      <c r="AE133">
        <v>0</v>
      </c>
      <c r="AF133" t="s">
        <v>67</v>
      </c>
      <c r="AG133">
        <v>0</v>
      </c>
      <c r="AH133">
        <v>0</v>
      </c>
      <c r="AI133">
        <v>0</v>
      </c>
      <c r="AJ133">
        <v>0</v>
      </c>
      <c r="AK133" t="s">
        <v>60</v>
      </c>
      <c r="AL133">
        <v>0</v>
      </c>
      <c r="AM133">
        <v>0</v>
      </c>
      <c r="AN133">
        <v>0</v>
      </c>
      <c r="AO133">
        <v>0</v>
      </c>
      <c r="AP133" t="b">
        <v>0</v>
      </c>
      <c r="AQ133" t="s">
        <v>58</v>
      </c>
      <c r="AR133" t="s">
        <v>58</v>
      </c>
      <c r="AS133" t="s">
        <v>71</v>
      </c>
      <c r="AT133">
        <v>14</v>
      </c>
      <c r="AU133">
        <v>4</v>
      </c>
      <c r="AV133">
        <v>11</v>
      </c>
      <c r="AW133">
        <v>11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s">
        <v>61</v>
      </c>
      <c r="BF133" t="s">
        <v>57</v>
      </c>
      <c r="BG133" t="s">
        <v>55</v>
      </c>
      <c r="BH133" t="s">
        <v>58</v>
      </c>
      <c r="BI133" t="s">
        <v>58</v>
      </c>
    </row>
    <row r="134" spans="1:61" x14ac:dyDescent="0.25">
      <c r="A134" t="str" cm="1">
        <f t="array" ref="A134">_xlfn.IFS(AS134="RegularSeason",C134,AS134&lt;&gt;"RegularSeason",R134)</f>
        <v>00101101010010100000000000010011</v>
      </c>
      <c r="B134" t="str" cm="1">
        <f t="array" ref="B134">_xlfn.IFS(AS134="RegularSeason",D134,AS134&lt;&gt;"RegularSeason",K134)</f>
        <v>00101101010010100000000000001110</v>
      </c>
      <c r="C134" t="str">
        <f t="shared" si="6"/>
        <v>00101101010010100000000000010011</v>
      </c>
      <c r="D134" t="str">
        <f t="shared" si="7"/>
        <v>00101101010010100000000000001110</v>
      </c>
      <c r="E134" t="str" cm="1">
        <f t="array" ref="E134">_xlfn.XLOOKUP(_xlfn.XLOOKUP(G134,New!A:A,New!M:M,NONE),TeamIdentity!A:A,TeamIdentity!C:C,NONE)</f>
        <v>00010011</v>
      </c>
      <c r="F134" t="str" cm="1">
        <f t="array" ref="F134">_xlfn.XLOOKUP(_xlfn.XLOOKUP(G134,New!A:A,New!F:F,NONE),TeamIdentity!A:A,TeamIdentity!C:C,NONE)</f>
        <v>00001110</v>
      </c>
      <c r="G134" t="str">
        <f t="shared" si="8"/>
        <v>4-12</v>
      </c>
      <c r="H134" t="s">
        <v>54</v>
      </c>
      <c r="I134" t="s">
        <v>54</v>
      </c>
      <c r="J134" t="s">
        <v>54</v>
      </c>
      <c r="K134" t="s">
        <v>541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521</v>
      </c>
      <c r="S134">
        <v>-1</v>
      </c>
      <c r="T134">
        <v>0</v>
      </c>
      <c r="U134">
        <v>-1</v>
      </c>
      <c r="V134">
        <v>0</v>
      </c>
      <c r="W134" t="s">
        <v>70</v>
      </c>
      <c r="X134">
        <v>0</v>
      </c>
      <c r="Y134">
        <v>0</v>
      </c>
      <c r="Z134">
        <v>975</v>
      </c>
      <c r="AA134" t="s">
        <v>57</v>
      </c>
      <c r="AB134">
        <v>0</v>
      </c>
      <c r="AC134">
        <v>0</v>
      </c>
      <c r="AD134">
        <v>0</v>
      </c>
      <c r="AE134">
        <v>0</v>
      </c>
      <c r="AF134" t="s">
        <v>67</v>
      </c>
      <c r="AG134">
        <v>0</v>
      </c>
      <c r="AH134">
        <v>0</v>
      </c>
      <c r="AI134">
        <v>0</v>
      </c>
      <c r="AJ134">
        <v>0</v>
      </c>
      <c r="AK134" t="s">
        <v>60</v>
      </c>
      <c r="AL134">
        <v>0</v>
      </c>
      <c r="AM134">
        <v>0</v>
      </c>
      <c r="AN134">
        <v>0</v>
      </c>
      <c r="AO134">
        <v>0</v>
      </c>
      <c r="AP134" t="b">
        <v>0</v>
      </c>
      <c r="AQ134" t="s">
        <v>58</v>
      </c>
      <c r="AR134" t="s">
        <v>58</v>
      </c>
      <c r="AS134" t="s">
        <v>71</v>
      </c>
      <c r="AT134">
        <v>14</v>
      </c>
      <c r="AU134">
        <v>4</v>
      </c>
      <c r="AV134">
        <v>12</v>
      </c>
      <c r="AW134">
        <v>11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s">
        <v>61</v>
      </c>
      <c r="BF134" t="s">
        <v>57</v>
      </c>
      <c r="BG134" t="s">
        <v>55</v>
      </c>
      <c r="BH134" t="s">
        <v>58</v>
      </c>
      <c r="BI134" t="s">
        <v>58</v>
      </c>
    </row>
    <row r="135" spans="1:61" x14ac:dyDescent="0.25">
      <c r="A135" t="str" cm="1">
        <f t="array" ref="A135">_xlfn.IFS(AS135="RegularSeason",C135,AS135&lt;&gt;"RegularSeason",R135)</f>
        <v>00101101010010100000000000001110</v>
      </c>
      <c r="B135" t="str" cm="1">
        <f t="array" ref="B135">_xlfn.IFS(AS135="RegularSeason",D135,AS135&lt;&gt;"RegularSeason",K135)</f>
        <v>00101101010010100000000000011011</v>
      </c>
      <c r="C135" t="str">
        <f t="shared" si="6"/>
        <v>00101101010010100000000000001110</v>
      </c>
      <c r="D135" t="str">
        <f t="shared" si="7"/>
        <v>00101101010010100000000000011011</v>
      </c>
      <c r="E135" t="str" cm="1">
        <f t="array" ref="E135">_xlfn.XLOOKUP(_xlfn.XLOOKUP(G135,New!A:A,New!M:M,NONE),TeamIdentity!A:A,TeamIdentity!C:C,NONE)</f>
        <v>00001110</v>
      </c>
      <c r="F135" t="str" cm="1">
        <f t="array" ref="F135">_xlfn.XLOOKUP(_xlfn.XLOOKUP(G135,New!A:A,New!F:F,NONE),TeamIdentity!A:A,TeamIdentity!C:C,NONE)</f>
        <v>00011011</v>
      </c>
      <c r="G135" t="str">
        <f t="shared" si="8"/>
        <v>6-8</v>
      </c>
      <c r="H135" t="s">
        <v>54</v>
      </c>
      <c r="I135" t="s">
        <v>54</v>
      </c>
      <c r="J135" t="s">
        <v>54</v>
      </c>
      <c r="K135" t="s">
        <v>514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542</v>
      </c>
      <c r="S135">
        <v>-1</v>
      </c>
      <c r="T135">
        <v>0</v>
      </c>
      <c r="U135">
        <v>-1</v>
      </c>
      <c r="V135">
        <v>0</v>
      </c>
      <c r="W135" t="s">
        <v>70</v>
      </c>
      <c r="X135">
        <v>0</v>
      </c>
      <c r="Y135">
        <v>0</v>
      </c>
      <c r="Z135">
        <v>975</v>
      </c>
      <c r="AA135" t="s">
        <v>57</v>
      </c>
      <c r="AB135">
        <v>0</v>
      </c>
      <c r="AC135">
        <v>0</v>
      </c>
      <c r="AD135">
        <v>0</v>
      </c>
      <c r="AE135">
        <v>0</v>
      </c>
      <c r="AF135" t="s">
        <v>67</v>
      </c>
      <c r="AG135">
        <v>0</v>
      </c>
      <c r="AH135">
        <v>0</v>
      </c>
      <c r="AI135">
        <v>0</v>
      </c>
      <c r="AJ135">
        <v>0</v>
      </c>
      <c r="AK135" t="s">
        <v>60</v>
      </c>
      <c r="AL135">
        <v>0</v>
      </c>
      <c r="AM135">
        <v>0</v>
      </c>
      <c r="AN135">
        <v>0</v>
      </c>
      <c r="AO135">
        <v>0</v>
      </c>
      <c r="AP135" t="b">
        <v>0</v>
      </c>
      <c r="AQ135" t="s">
        <v>58</v>
      </c>
      <c r="AR135" t="s">
        <v>58</v>
      </c>
      <c r="AS135" t="s">
        <v>71</v>
      </c>
      <c r="AT135">
        <v>14</v>
      </c>
      <c r="AU135">
        <v>6</v>
      </c>
      <c r="AV135">
        <v>8</v>
      </c>
      <c r="AW135">
        <v>11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s">
        <v>61</v>
      </c>
      <c r="BF135" t="s">
        <v>57</v>
      </c>
      <c r="BG135" t="s">
        <v>55</v>
      </c>
      <c r="BH135" t="s">
        <v>58</v>
      </c>
      <c r="BI135" t="s">
        <v>58</v>
      </c>
    </row>
    <row r="136" spans="1:61" x14ac:dyDescent="0.25">
      <c r="A136" t="str" cm="1">
        <f t="array" ref="A136">_xlfn.IFS(AS136="RegularSeason",C136,AS136&lt;&gt;"RegularSeason",R136)</f>
        <v>00101101010010100000000000100000</v>
      </c>
      <c r="B136" t="str" cm="1">
        <f t="array" ref="B136">_xlfn.IFS(AS136="RegularSeason",D136,AS136&lt;&gt;"RegularSeason",K136)</f>
        <v>00101101010010100000000000000111</v>
      </c>
      <c r="C136" t="str">
        <f t="shared" si="6"/>
        <v>00101101010010100000000000100000</v>
      </c>
      <c r="D136" t="str">
        <f t="shared" si="7"/>
        <v>00101101010010100000000000000111</v>
      </c>
      <c r="E136" t="str" cm="1">
        <f t="array" ref="E136">_xlfn.XLOOKUP(_xlfn.XLOOKUP(G136,New!A:A,New!M:M,NONE),TeamIdentity!A:A,TeamIdentity!C:C,NONE)</f>
        <v>00100000</v>
      </c>
      <c r="F136" t="str" cm="1">
        <f t="array" ref="F136">_xlfn.XLOOKUP(_xlfn.XLOOKUP(G136,New!A:A,New!F:F,NONE),TeamIdentity!A:A,TeamIdentity!C:C,NONE)</f>
        <v>00000111</v>
      </c>
      <c r="G136" t="str">
        <f t="shared" si="8"/>
        <v>4-6</v>
      </c>
      <c r="H136" t="s">
        <v>54</v>
      </c>
      <c r="I136" t="s">
        <v>54</v>
      </c>
      <c r="J136" t="s">
        <v>54</v>
      </c>
      <c r="K136" t="s">
        <v>513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526</v>
      </c>
      <c r="S136">
        <v>-1</v>
      </c>
      <c r="T136">
        <v>0</v>
      </c>
      <c r="U136">
        <v>-1</v>
      </c>
      <c r="V136">
        <v>0</v>
      </c>
      <c r="W136" t="s">
        <v>70</v>
      </c>
      <c r="X136">
        <v>0</v>
      </c>
      <c r="Y136">
        <v>0</v>
      </c>
      <c r="Z136">
        <v>780</v>
      </c>
      <c r="AA136" t="s">
        <v>57</v>
      </c>
      <c r="AB136">
        <v>0</v>
      </c>
      <c r="AC136">
        <v>0</v>
      </c>
      <c r="AD136">
        <v>0</v>
      </c>
      <c r="AE136">
        <v>0</v>
      </c>
      <c r="AF136" t="s">
        <v>67</v>
      </c>
      <c r="AG136">
        <v>0</v>
      </c>
      <c r="AH136">
        <v>0</v>
      </c>
      <c r="AI136">
        <v>0</v>
      </c>
      <c r="AJ136">
        <v>0</v>
      </c>
      <c r="AK136" t="s">
        <v>60</v>
      </c>
      <c r="AL136">
        <v>0</v>
      </c>
      <c r="AM136">
        <v>0</v>
      </c>
      <c r="AN136">
        <v>0</v>
      </c>
      <c r="AO136">
        <v>0</v>
      </c>
      <c r="AP136" t="b">
        <v>0</v>
      </c>
      <c r="AQ136" t="s">
        <v>58</v>
      </c>
      <c r="AR136" t="s">
        <v>58</v>
      </c>
      <c r="AS136" t="s">
        <v>71</v>
      </c>
      <c r="AT136">
        <v>14</v>
      </c>
      <c r="AU136">
        <v>4</v>
      </c>
      <c r="AV136">
        <v>6</v>
      </c>
      <c r="AW136">
        <v>11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s">
        <v>61</v>
      </c>
      <c r="BF136" t="s">
        <v>57</v>
      </c>
      <c r="BG136" t="s">
        <v>55</v>
      </c>
      <c r="BH136" t="s">
        <v>58</v>
      </c>
      <c r="BI136" t="s">
        <v>58</v>
      </c>
    </row>
    <row r="137" spans="1:61" x14ac:dyDescent="0.25">
      <c r="A137" t="str" cm="1">
        <f t="array" ref="A137">_xlfn.IFS(AS137="RegularSeason",C137,AS137&lt;&gt;"RegularSeason",R137)</f>
        <v>00101101010010100000000000011010</v>
      </c>
      <c r="B137" t="str" cm="1">
        <f t="array" ref="B137">_xlfn.IFS(AS137="RegularSeason",D137,AS137&lt;&gt;"RegularSeason",K137)</f>
        <v>00101101010010100000000000100010</v>
      </c>
      <c r="C137" t="str">
        <f t="shared" si="6"/>
        <v>00101101010010100000000000011010</v>
      </c>
      <c r="D137" t="str">
        <f t="shared" si="7"/>
        <v>00101101010010100000000000100010</v>
      </c>
      <c r="E137" t="str" cm="1">
        <f t="array" ref="E137">_xlfn.XLOOKUP(_xlfn.XLOOKUP(G137,New!A:A,New!M:M,NONE),TeamIdentity!A:A,TeamIdentity!C:C,NONE)</f>
        <v>00011010</v>
      </c>
      <c r="F137" t="str" cm="1">
        <f t="array" ref="F137">_xlfn.XLOOKUP(_xlfn.XLOOKUP(G137,New!A:A,New!F:F,NONE),TeamIdentity!A:A,TeamIdentity!C:C,NONE)</f>
        <v>00100010</v>
      </c>
      <c r="G137" t="str">
        <f t="shared" si="8"/>
        <v>5-13</v>
      </c>
      <c r="H137" t="s">
        <v>54</v>
      </c>
      <c r="I137" t="s">
        <v>54</v>
      </c>
      <c r="J137" t="s">
        <v>54</v>
      </c>
      <c r="K137" t="s">
        <v>535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524</v>
      </c>
      <c r="S137">
        <v>-1</v>
      </c>
      <c r="T137">
        <v>0</v>
      </c>
      <c r="U137">
        <v>-1</v>
      </c>
      <c r="V137">
        <v>0</v>
      </c>
      <c r="W137" t="s">
        <v>70</v>
      </c>
      <c r="X137">
        <v>0</v>
      </c>
      <c r="Y137">
        <v>0</v>
      </c>
      <c r="Z137">
        <v>1220</v>
      </c>
      <c r="AA137" t="s">
        <v>57</v>
      </c>
      <c r="AB137">
        <v>0</v>
      </c>
      <c r="AC137">
        <v>0</v>
      </c>
      <c r="AD137">
        <v>0</v>
      </c>
      <c r="AE137">
        <v>0</v>
      </c>
      <c r="AF137" t="s">
        <v>68</v>
      </c>
      <c r="AG137">
        <v>0</v>
      </c>
      <c r="AH137">
        <v>0</v>
      </c>
      <c r="AI137">
        <v>0</v>
      </c>
      <c r="AJ137">
        <v>0</v>
      </c>
      <c r="AK137" t="s">
        <v>68</v>
      </c>
      <c r="AL137">
        <v>0</v>
      </c>
      <c r="AM137">
        <v>0</v>
      </c>
      <c r="AN137">
        <v>0</v>
      </c>
      <c r="AO137">
        <v>0</v>
      </c>
      <c r="AP137" t="b">
        <v>0</v>
      </c>
      <c r="AQ137" t="s">
        <v>58</v>
      </c>
      <c r="AR137" t="s">
        <v>58</v>
      </c>
      <c r="AS137" t="s">
        <v>71</v>
      </c>
      <c r="AT137">
        <v>14</v>
      </c>
      <c r="AU137">
        <v>5</v>
      </c>
      <c r="AV137">
        <v>13</v>
      </c>
      <c r="AW137">
        <v>11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s">
        <v>61</v>
      </c>
      <c r="BF137" t="s">
        <v>57</v>
      </c>
      <c r="BG137" t="s">
        <v>55</v>
      </c>
      <c r="BH137" t="s">
        <v>58</v>
      </c>
      <c r="BI137" t="s">
        <v>58</v>
      </c>
    </row>
    <row r="138" spans="1:61" x14ac:dyDescent="0.25">
      <c r="A138" t="str" cm="1">
        <f t="array" ref="A138">_xlfn.IFS(AS138="RegularSeason",C138,AS138&lt;&gt;"RegularSeason",R138)</f>
        <v>00101101010010100000000000011001</v>
      </c>
      <c r="B138" t="str" cm="1">
        <f t="array" ref="B138">_xlfn.IFS(AS138="RegularSeason",D138,AS138&lt;&gt;"RegularSeason",K138)</f>
        <v>00101101010010100000000000010111</v>
      </c>
      <c r="C138" t="str">
        <f t="shared" si="6"/>
        <v>00101101010010100000000000011001</v>
      </c>
      <c r="D138" t="str">
        <f t="shared" si="7"/>
        <v>00101101010010100000000000010111</v>
      </c>
      <c r="E138" t="str" cm="1">
        <f t="array" ref="E138">_xlfn.XLOOKUP(_xlfn.XLOOKUP(G138,New!A:A,New!M:M,NONE),TeamIdentity!A:A,TeamIdentity!C:C,NONE)</f>
        <v>00011001</v>
      </c>
      <c r="F138" t="str" cm="1">
        <f t="array" ref="F138">_xlfn.XLOOKUP(_xlfn.XLOOKUP(G138,New!A:A,New!F:F,NONE),TeamIdentity!A:A,TeamIdentity!C:C,NONE)</f>
        <v>00010111</v>
      </c>
      <c r="G138" t="str">
        <f t="shared" si="8"/>
        <v>6-0</v>
      </c>
      <c r="H138" t="s">
        <v>54</v>
      </c>
      <c r="I138" t="s">
        <v>54</v>
      </c>
      <c r="J138" t="s">
        <v>54</v>
      </c>
      <c r="K138" t="s">
        <v>522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511</v>
      </c>
      <c r="S138">
        <v>-1</v>
      </c>
      <c r="T138">
        <v>0</v>
      </c>
      <c r="U138">
        <v>-1</v>
      </c>
      <c r="V138">
        <v>0</v>
      </c>
      <c r="W138" t="s">
        <v>70</v>
      </c>
      <c r="X138">
        <v>0</v>
      </c>
      <c r="Y138">
        <v>0</v>
      </c>
      <c r="Z138">
        <v>780</v>
      </c>
      <c r="AA138" t="s">
        <v>57</v>
      </c>
      <c r="AB138">
        <v>0</v>
      </c>
      <c r="AC138">
        <v>0</v>
      </c>
      <c r="AD138">
        <v>0</v>
      </c>
      <c r="AE138">
        <v>0</v>
      </c>
      <c r="AF138" t="s">
        <v>67</v>
      </c>
      <c r="AG138">
        <v>0</v>
      </c>
      <c r="AH138">
        <v>0</v>
      </c>
      <c r="AI138">
        <v>0</v>
      </c>
      <c r="AJ138">
        <v>0</v>
      </c>
      <c r="AK138" t="s">
        <v>60</v>
      </c>
      <c r="AL138">
        <v>0</v>
      </c>
      <c r="AM138">
        <v>0</v>
      </c>
      <c r="AN138">
        <v>0</v>
      </c>
      <c r="AO138">
        <v>0</v>
      </c>
      <c r="AP138" t="b">
        <v>0</v>
      </c>
      <c r="AQ138" t="s">
        <v>58</v>
      </c>
      <c r="AR138" t="s">
        <v>58</v>
      </c>
      <c r="AS138" t="s">
        <v>71</v>
      </c>
      <c r="AT138">
        <v>14</v>
      </c>
      <c r="AU138">
        <v>6</v>
      </c>
      <c r="AV138">
        <v>0</v>
      </c>
      <c r="AW138">
        <v>11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s">
        <v>61</v>
      </c>
      <c r="BF138" t="s">
        <v>57</v>
      </c>
      <c r="BG138" t="s">
        <v>55</v>
      </c>
      <c r="BH138" t="s">
        <v>58</v>
      </c>
      <c r="BI138" t="s">
        <v>58</v>
      </c>
    </row>
    <row r="139" spans="1:61" x14ac:dyDescent="0.25">
      <c r="A139" t="str" cm="1">
        <f t="array" ref="A139">_xlfn.IFS(AS139="RegularSeason",C139,AS139&lt;&gt;"RegularSeason",R139)</f>
        <v>00101101010010100000000000011100</v>
      </c>
      <c r="B139" t="str" cm="1">
        <f t="array" ref="B139">_xlfn.IFS(AS139="RegularSeason",D139,AS139&lt;&gt;"RegularSeason",K139)</f>
        <v>00101101010010100000000000000100</v>
      </c>
      <c r="C139" t="str">
        <f t="shared" si="6"/>
        <v>00101101010010100000000000011100</v>
      </c>
      <c r="D139" t="str">
        <f t="shared" si="7"/>
        <v>00101101010010100000000000000100</v>
      </c>
      <c r="E139" t="str" cm="1">
        <f t="array" ref="E139">_xlfn.XLOOKUP(_xlfn.XLOOKUP(G139,New!A:A,New!M:M,NONE),TeamIdentity!A:A,TeamIdentity!C:C,NONE)</f>
        <v>00011100</v>
      </c>
      <c r="F139" t="str" cm="1">
        <f t="array" ref="F139">_xlfn.XLOOKUP(_xlfn.XLOOKUP(G139,New!A:A,New!F:F,NONE),TeamIdentity!A:A,TeamIdentity!C:C,NONE)</f>
        <v>00000100</v>
      </c>
      <c r="G139" t="str">
        <f t="shared" si="8"/>
        <v>5-9</v>
      </c>
      <c r="H139" t="s">
        <v>54</v>
      </c>
      <c r="I139" t="s">
        <v>54</v>
      </c>
      <c r="J139" t="s">
        <v>54</v>
      </c>
      <c r="K139" t="s">
        <v>517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538</v>
      </c>
      <c r="S139">
        <v>-1</v>
      </c>
      <c r="T139">
        <v>0</v>
      </c>
      <c r="U139">
        <v>-1</v>
      </c>
      <c r="V139">
        <v>0</v>
      </c>
      <c r="W139" t="s">
        <v>70</v>
      </c>
      <c r="X139">
        <v>0</v>
      </c>
      <c r="Y139">
        <v>0</v>
      </c>
      <c r="Z139">
        <v>975</v>
      </c>
      <c r="AA139" t="s">
        <v>57</v>
      </c>
      <c r="AB139">
        <v>0</v>
      </c>
      <c r="AC139">
        <v>0</v>
      </c>
      <c r="AD139">
        <v>0</v>
      </c>
      <c r="AE139">
        <v>0</v>
      </c>
      <c r="AF139" t="s">
        <v>67</v>
      </c>
      <c r="AG139">
        <v>0</v>
      </c>
      <c r="AH139">
        <v>0</v>
      </c>
      <c r="AI139">
        <v>0</v>
      </c>
      <c r="AJ139">
        <v>0</v>
      </c>
      <c r="AK139" t="s">
        <v>60</v>
      </c>
      <c r="AL139">
        <v>0</v>
      </c>
      <c r="AM139">
        <v>0</v>
      </c>
      <c r="AN139">
        <v>0</v>
      </c>
      <c r="AO139">
        <v>0</v>
      </c>
      <c r="AP139" t="b">
        <v>0</v>
      </c>
      <c r="AQ139" t="s">
        <v>58</v>
      </c>
      <c r="AR139" t="s">
        <v>58</v>
      </c>
      <c r="AS139" t="s">
        <v>71</v>
      </c>
      <c r="AT139">
        <v>14</v>
      </c>
      <c r="AU139">
        <v>5</v>
      </c>
      <c r="AV139">
        <v>9</v>
      </c>
      <c r="AW139">
        <v>11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s">
        <v>61</v>
      </c>
      <c r="BF139" t="s">
        <v>57</v>
      </c>
      <c r="BG139" t="s">
        <v>55</v>
      </c>
      <c r="BH139" t="s">
        <v>58</v>
      </c>
      <c r="BI139" t="s">
        <v>58</v>
      </c>
    </row>
    <row r="140" spans="1:61" x14ac:dyDescent="0.25">
      <c r="A140" t="str" cm="1">
        <f t="array" ref="A140">_xlfn.IFS(AS140="RegularSeason",C140,AS140&lt;&gt;"RegularSeason",R140)</f>
        <v>00101101010010100000000000010001</v>
      </c>
      <c r="B140" t="str" cm="1">
        <f t="array" ref="B140">_xlfn.IFS(AS140="RegularSeason",D140,AS140&lt;&gt;"RegularSeason",K140)</f>
        <v>00101101010010100000000000010101</v>
      </c>
      <c r="C140" t="str">
        <f t="shared" si="6"/>
        <v>00101101010010100000000000010001</v>
      </c>
      <c r="D140" t="str">
        <f t="shared" si="7"/>
        <v>00101101010010100000000000010101</v>
      </c>
      <c r="E140" t="str" cm="1">
        <f t="array" ref="E140">_xlfn.XLOOKUP(_xlfn.XLOOKUP(G140,New!A:A,New!M:M,NONE),TeamIdentity!A:A,TeamIdentity!C:C,NONE)</f>
        <v>00010001</v>
      </c>
      <c r="F140" t="str" cm="1">
        <f t="array" ref="F140">_xlfn.XLOOKUP(_xlfn.XLOOKUP(G140,New!A:A,New!F:F,NONE),TeamIdentity!A:A,TeamIdentity!C:C,NONE)</f>
        <v>00010101</v>
      </c>
      <c r="G140" t="str">
        <f t="shared" si="8"/>
        <v>5-10</v>
      </c>
      <c r="H140" t="s">
        <v>54</v>
      </c>
      <c r="I140" t="s">
        <v>54</v>
      </c>
      <c r="J140" t="s">
        <v>54</v>
      </c>
      <c r="K140" t="s">
        <v>518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539</v>
      </c>
      <c r="S140">
        <v>-1</v>
      </c>
      <c r="T140">
        <v>0</v>
      </c>
      <c r="U140">
        <v>-1</v>
      </c>
      <c r="V140">
        <v>0</v>
      </c>
      <c r="W140" t="s">
        <v>70</v>
      </c>
      <c r="X140">
        <v>0</v>
      </c>
      <c r="Y140">
        <v>0</v>
      </c>
      <c r="Z140">
        <v>975</v>
      </c>
      <c r="AA140" t="s">
        <v>57</v>
      </c>
      <c r="AB140">
        <v>0</v>
      </c>
      <c r="AC140">
        <v>0</v>
      </c>
      <c r="AD140">
        <v>0</v>
      </c>
      <c r="AE140">
        <v>0</v>
      </c>
      <c r="AF140" t="s">
        <v>67</v>
      </c>
      <c r="AG140">
        <v>0</v>
      </c>
      <c r="AH140">
        <v>0</v>
      </c>
      <c r="AI140">
        <v>0</v>
      </c>
      <c r="AJ140">
        <v>0</v>
      </c>
      <c r="AK140" t="s">
        <v>60</v>
      </c>
      <c r="AL140">
        <v>0</v>
      </c>
      <c r="AM140">
        <v>0</v>
      </c>
      <c r="AN140">
        <v>0</v>
      </c>
      <c r="AO140">
        <v>0</v>
      </c>
      <c r="AP140" t="b">
        <v>0</v>
      </c>
      <c r="AQ140" t="s">
        <v>58</v>
      </c>
      <c r="AR140" t="s">
        <v>58</v>
      </c>
      <c r="AS140" t="s">
        <v>71</v>
      </c>
      <c r="AT140">
        <v>14</v>
      </c>
      <c r="AU140">
        <v>5</v>
      </c>
      <c r="AV140">
        <v>10</v>
      </c>
      <c r="AW140">
        <v>11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s">
        <v>61</v>
      </c>
      <c r="BF140" t="s">
        <v>57</v>
      </c>
      <c r="BG140" t="s">
        <v>55</v>
      </c>
      <c r="BH140" t="s">
        <v>58</v>
      </c>
      <c r="BI140" t="s">
        <v>58</v>
      </c>
    </row>
    <row r="141" spans="1:61" x14ac:dyDescent="0.25">
      <c r="A141" t="str" cm="1">
        <f t="array" ref="A141">_xlfn.IFS(AS141="RegularSeason",C141,AS141&lt;&gt;"RegularSeason",R141)</f>
        <v>00101101010010100000000000000011</v>
      </c>
      <c r="B141" t="str" cm="1">
        <f t="array" ref="B141">_xlfn.IFS(AS141="RegularSeason",D141,AS141&lt;&gt;"RegularSeason",K141)</f>
        <v>00101101010010100000000000001011</v>
      </c>
      <c r="C141" t="str">
        <f t="shared" si="6"/>
        <v>00101101010010100000000000000011</v>
      </c>
      <c r="D141" t="str">
        <f t="shared" si="7"/>
        <v>00101101010010100000000000001011</v>
      </c>
      <c r="E141" t="str" cm="1">
        <f t="array" ref="E141">_xlfn.XLOOKUP(_xlfn.XLOOKUP(G141,New!A:A,New!M:M,NONE),TeamIdentity!A:A,TeamIdentity!C:C,NONE)</f>
        <v>00000011</v>
      </c>
      <c r="F141" t="str" cm="1">
        <f t="array" ref="F141">_xlfn.XLOOKUP(_xlfn.XLOOKUP(G141,New!A:A,New!F:F,NONE),TeamIdentity!A:A,TeamIdentity!C:C,NONE)</f>
        <v>00001011</v>
      </c>
      <c r="G141" t="str">
        <f t="shared" si="8"/>
        <v>5-3</v>
      </c>
      <c r="H141" t="s">
        <v>54</v>
      </c>
      <c r="I141" t="s">
        <v>54</v>
      </c>
      <c r="J141" t="s">
        <v>54</v>
      </c>
      <c r="K141" t="s">
        <v>511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536</v>
      </c>
      <c r="S141">
        <v>-1</v>
      </c>
      <c r="T141">
        <v>0</v>
      </c>
      <c r="U141">
        <v>-1</v>
      </c>
      <c r="V141">
        <v>0</v>
      </c>
      <c r="W141" t="s">
        <v>70</v>
      </c>
      <c r="X141">
        <v>0</v>
      </c>
      <c r="Y141">
        <v>0</v>
      </c>
      <c r="Z141">
        <v>780</v>
      </c>
      <c r="AA141" t="s">
        <v>57</v>
      </c>
      <c r="AB141">
        <v>0</v>
      </c>
      <c r="AC141">
        <v>0</v>
      </c>
      <c r="AD141">
        <v>0</v>
      </c>
      <c r="AE141">
        <v>0</v>
      </c>
      <c r="AF141" t="s">
        <v>67</v>
      </c>
      <c r="AG141">
        <v>0</v>
      </c>
      <c r="AH141">
        <v>0</v>
      </c>
      <c r="AI141">
        <v>0</v>
      </c>
      <c r="AJ141">
        <v>0</v>
      </c>
      <c r="AK141" t="s">
        <v>60</v>
      </c>
      <c r="AL141">
        <v>0</v>
      </c>
      <c r="AM141">
        <v>0</v>
      </c>
      <c r="AN141">
        <v>0</v>
      </c>
      <c r="AO141">
        <v>0</v>
      </c>
      <c r="AP141" t="b">
        <v>0</v>
      </c>
      <c r="AQ141" t="s">
        <v>58</v>
      </c>
      <c r="AR141" t="s">
        <v>58</v>
      </c>
      <c r="AS141" t="s">
        <v>71</v>
      </c>
      <c r="AT141">
        <v>14</v>
      </c>
      <c r="AU141">
        <v>5</v>
      </c>
      <c r="AV141">
        <v>3</v>
      </c>
      <c r="AW141">
        <v>11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s">
        <v>61</v>
      </c>
      <c r="BF141" t="s">
        <v>57</v>
      </c>
      <c r="BG141" t="s">
        <v>55</v>
      </c>
      <c r="BH141" t="s">
        <v>58</v>
      </c>
      <c r="BI141" t="s">
        <v>58</v>
      </c>
    </row>
    <row r="142" spans="1:61" x14ac:dyDescent="0.25">
      <c r="A142" t="str" cm="1">
        <f t="array" ref="A142">_xlfn.IFS(AS142="RegularSeason",C142,AS142&lt;&gt;"RegularSeason",R142)</f>
        <v>00101101010010100000000000001110</v>
      </c>
      <c r="B142" t="str" cm="1">
        <f t="array" ref="B142">_xlfn.IFS(AS142="RegularSeason",D142,AS142&lt;&gt;"RegularSeason",K142)</f>
        <v>00101101010010100000000000001101</v>
      </c>
      <c r="C142" t="str">
        <f t="shared" si="6"/>
        <v>00101101010010100000000000001110</v>
      </c>
      <c r="D142" t="str">
        <f t="shared" si="7"/>
        <v>00101101010010100000000000001101</v>
      </c>
      <c r="E142" t="str" cm="1">
        <f t="array" ref="E142">_xlfn.XLOOKUP(_xlfn.XLOOKUP(G142,New!A:A,New!M:M,NONE),TeamIdentity!A:A,TeamIdentity!C:C,NONE)</f>
        <v>00001110</v>
      </c>
      <c r="F142" t="str" cm="1">
        <f t="array" ref="F142">_xlfn.XLOOKUP(_xlfn.XLOOKUP(G142,New!A:A,New!F:F,NONE),TeamIdentity!A:A,TeamIdentity!C:C,NONE)</f>
        <v>00001101</v>
      </c>
      <c r="G142" t="str">
        <f t="shared" si="8"/>
        <v>5-4</v>
      </c>
      <c r="H142" t="s">
        <v>54</v>
      </c>
      <c r="I142" t="s">
        <v>54</v>
      </c>
      <c r="J142" t="s">
        <v>54</v>
      </c>
      <c r="K142" t="s">
        <v>521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529</v>
      </c>
      <c r="S142">
        <v>-1</v>
      </c>
      <c r="T142">
        <v>0</v>
      </c>
      <c r="U142">
        <v>-1</v>
      </c>
      <c r="V142">
        <v>0</v>
      </c>
      <c r="W142" t="s">
        <v>70</v>
      </c>
      <c r="X142">
        <v>0</v>
      </c>
      <c r="Y142">
        <v>0</v>
      </c>
      <c r="Z142">
        <v>780</v>
      </c>
      <c r="AA142" t="s">
        <v>57</v>
      </c>
      <c r="AB142">
        <v>0</v>
      </c>
      <c r="AC142">
        <v>0</v>
      </c>
      <c r="AD142">
        <v>0</v>
      </c>
      <c r="AE142">
        <v>0</v>
      </c>
      <c r="AF142" t="s">
        <v>67</v>
      </c>
      <c r="AG142">
        <v>0</v>
      </c>
      <c r="AH142">
        <v>0</v>
      </c>
      <c r="AI142">
        <v>0</v>
      </c>
      <c r="AJ142">
        <v>0</v>
      </c>
      <c r="AK142" t="s">
        <v>60</v>
      </c>
      <c r="AL142">
        <v>0</v>
      </c>
      <c r="AM142">
        <v>0</v>
      </c>
      <c r="AN142">
        <v>0</v>
      </c>
      <c r="AO142">
        <v>0</v>
      </c>
      <c r="AP142" t="b">
        <v>0</v>
      </c>
      <c r="AQ142" t="s">
        <v>58</v>
      </c>
      <c r="AR142" t="s">
        <v>58</v>
      </c>
      <c r="AS142" t="s">
        <v>71</v>
      </c>
      <c r="AT142">
        <v>14</v>
      </c>
      <c r="AU142">
        <v>5</v>
      </c>
      <c r="AV142">
        <v>4</v>
      </c>
      <c r="AW142">
        <v>11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s">
        <v>61</v>
      </c>
      <c r="BF142" t="s">
        <v>57</v>
      </c>
      <c r="BG142" t="s">
        <v>55</v>
      </c>
      <c r="BH142" t="s">
        <v>58</v>
      </c>
      <c r="BI142" t="s">
        <v>58</v>
      </c>
    </row>
    <row r="143" spans="1:61" x14ac:dyDescent="0.25">
      <c r="A143" t="str" cm="1">
        <f t="array" ref="A143">_xlfn.IFS(AS143="RegularSeason",C143,AS143&lt;&gt;"RegularSeason",R143)</f>
        <v>00101101010010100000000000011010</v>
      </c>
      <c r="B143" t="str" cm="1">
        <f t="array" ref="B143">_xlfn.IFS(AS143="RegularSeason",D143,AS143&lt;&gt;"RegularSeason",K143)</f>
        <v>00101101010010100000000000011111</v>
      </c>
      <c r="C143" t="str">
        <f t="shared" si="6"/>
        <v>00101101010010100000000000011010</v>
      </c>
      <c r="D143" t="str">
        <f t="shared" si="7"/>
        <v>00101101010010100000000000011111</v>
      </c>
      <c r="E143" t="str" cm="1">
        <f t="array" ref="E143">_xlfn.XLOOKUP(_xlfn.XLOOKUP(G143,New!A:A,New!M:M,NONE),TeamIdentity!A:A,TeamIdentity!C:C,NONE)</f>
        <v>00011010</v>
      </c>
      <c r="F143" t="str" cm="1">
        <f t="array" ref="F143">_xlfn.XLOOKUP(_xlfn.XLOOKUP(G143,New!A:A,New!F:F,NONE),TeamIdentity!A:A,TeamIdentity!C:C,NONE)</f>
        <v>00011111</v>
      </c>
      <c r="G143" t="str">
        <f t="shared" si="8"/>
        <v>7-0</v>
      </c>
      <c r="H143" t="s">
        <v>54</v>
      </c>
      <c r="I143" t="s">
        <v>54</v>
      </c>
      <c r="J143" t="s">
        <v>54</v>
      </c>
      <c r="K143" t="s">
        <v>521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519</v>
      </c>
      <c r="S143">
        <v>-1</v>
      </c>
      <c r="T143">
        <v>0</v>
      </c>
      <c r="U143">
        <v>-1</v>
      </c>
      <c r="V143">
        <v>0</v>
      </c>
      <c r="W143" t="s">
        <v>70</v>
      </c>
      <c r="X143">
        <v>0</v>
      </c>
      <c r="Y143">
        <v>0</v>
      </c>
      <c r="Z143">
        <v>780</v>
      </c>
      <c r="AA143" t="s">
        <v>57</v>
      </c>
      <c r="AB143">
        <v>0</v>
      </c>
      <c r="AC143">
        <v>0</v>
      </c>
      <c r="AD143">
        <v>0</v>
      </c>
      <c r="AE143">
        <v>0</v>
      </c>
      <c r="AF143" t="s">
        <v>67</v>
      </c>
      <c r="AG143">
        <v>0</v>
      </c>
      <c r="AH143">
        <v>0</v>
      </c>
      <c r="AI143">
        <v>0</v>
      </c>
      <c r="AJ143">
        <v>0</v>
      </c>
      <c r="AK143" t="s">
        <v>60</v>
      </c>
      <c r="AL143">
        <v>0</v>
      </c>
      <c r="AM143">
        <v>0</v>
      </c>
      <c r="AN143">
        <v>0</v>
      </c>
      <c r="AO143">
        <v>0</v>
      </c>
      <c r="AP143" t="b">
        <v>0</v>
      </c>
      <c r="AQ143" t="s">
        <v>58</v>
      </c>
      <c r="AR143" t="s">
        <v>58</v>
      </c>
      <c r="AS143" t="s">
        <v>71</v>
      </c>
      <c r="AT143">
        <v>14</v>
      </c>
      <c r="AU143">
        <v>7</v>
      </c>
      <c r="AV143">
        <v>0</v>
      </c>
      <c r="AW143">
        <v>11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s">
        <v>61</v>
      </c>
      <c r="BF143" t="s">
        <v>57</v>
      </c>
      <c r="BG143" t="s">
        <v>55</v>
      </c>
      <c r="BH143" t="s">
        <v>58</v>
      </c>
      <c r="BI143" t="s">
        <v>58</v>
      </c>
    </row>
    <row r="144" spans="1:61" x14ac:dyDescent="0.25">
      <c r="A144" t="str" cm="1">
        <f t="array" ref="A144">_xlfn.IFS(AS144="RegularSeason",C144,AS144&lt;&gt;"RegularSeason",R144)</f>
        <v>00101101010010100000000000100100</v>
      </c>
      <c r="B144" t="str" cm="1">
        <f t="array" ref="B144">_xlfn.IFS(AS144="RegularSeason",D144,AS144&lt;&gt;"RegularSeason",K144)</f>
        <v>00101101010010100000000000011010</v>
      </c>
      <c r="C144" t="str">
        <f t="shared" si="6"/>
        <v>00101101010010100000000000100100</v>
      </c>
      <c r="D144" t="str">
        <f t="shared" si="7"/>
        <v>00101101010010100000000000011010</v>
      </c>
      <c r="E144" t="str" cm="1">
        <f t="array" ref="E144">_xlfn.XLOOKUP(_xlfn.XLOOKUP(G144,New!A:A,New!M:M,NONE),TeamIdentity!A:A,TeamIdentity!C:C,NONE)</f>
        <v>00100100</v>
      </c>
      <c r="F144" t="str" cm="1">
        <f t="array" ref="F144">_xlfn.XLOOKUP(_xlfn.XLOOKUP(G144,New!A:A,New!F:F,NONE),TeamIdentity!A:A,TeamIdentity!C:C,NONE)</f>
        <v>00011010</v>
      </c>
      <c r="G144" t="str">
        <f t="shared" si="8"/>
        <v>6-1</v>
      </c>
      <c r="H144" t="s">
        <v>54</v>
      </c>
      <c r="I144" t="s">
        <v>54</v>
      </c>
      <c r="J144" t="s">
        <v>54</v>
      </c>
      <c r="K144" t="s">
        <v>540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518</v>
      </c>
      <c r="S144">
        <v>-1</v>
      </c>
      <c r="T144">
        <v>0</v>
      </c>
      <c r="U144">
        <v>-1</v>
      </c>
      <c r="V144">
        <v>0</v>
      </c>
      <c r="W144" t="s">
        <v>70</v>
      </c>
      <c r="X144">
        <v>0</v>
      </c>
      <c r="Y144">
        <v>0</v>
      </c>
      <c r="Z144">
        <v>780</v>
      </c>
      <c r="AA144" t="s">
        <v>57</v>
      </c>
      <c r="AB144">
        <v>0</v>
      </c>
      <c r="AC144">
        <v>0</v>
      </c>
      <c r="AD144">
        <v>0</v>
      </c>
      <c r="AE144">
        <v>0</v>
      </c>
      <c r="AF144" t="s">
        <v>67</v>
      </c>
      <c r="AG144">
        <v>0</v>
      </c>
      <c r="AH144">
        <v>0</v>
      </c>
      <c r="AI144">
        <v>0</v>
      </c>
      <c r="AJ144">
        <v>0</v>
      </c>
      <c r="AK144" t="s">
        <v>60</v>
      </c>
      <c r="AL144">
        <v>0</v>
      </c>
      <c r="AM144">
        <v>0</v>
      </c>
      <c r="AN144">
        <v>0</v>
      </c>
      <c r="AO144">
        <v>0</v>
      </c>
      <c r="AP144" t="b">
        <v>0</v>
      </c>
      <c r="AQ144" t="s">
        <v>58</v>
      </c>
      <c r="AR144" t="s">
        <v>58</v>
      </c>
      <c r="AS144" t="s">
        <v>71</v>
      </c>
      <c r="AT144">
        <v>14</v>
      </c>
      <c r="AU144">
        <v>6</v>
      </c>
      <c r="AV144">
        <v>1</v>
      </c>
      <c r="AW144">
        <v>11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s">
        <v>61</v>
      </c>
      <c r="BF144" t="s">
        <v>57</v>
      </c>
      <c r="BG144" t="s">
        <v>55</v>
      </c>
      <c r="BH144" t="s">
        <v>58</v>
      </c>
      <c r="BI144" t="s">
        <v>58</v>
      </c>
    </row>
    <row r="145" spans="1:61" x14ac:dyDescent="0.25">
      <c r="A145" t="str" cm="1">
        <f t="array" ref="A145">_xlfn.IFS(AS145="RegularSeason",C145,AS145&lt;&gt;"RegularSeason",R145)</f>
        <v>00101101010010100000000000100011</v>
      </c>
      <c r="B145" t="str" cm="1">
        <f t="array" ref="B145">_xlfn.IFS(AS145="RegularSeason",D145,AS145&lt;&gt;"RegularSeason",K145)</f>
        <v>00101101010010100000000000011110</v>
      </c>
      <c r="C145" t="str">
        <f t="shared" si="6"/>
        <v>00101101010010100000000000100011</v>
      </c>
      <c r="D145" t="str">
        <f t="shared" si="7"/>
        <v>00101101010010100000000000011110</v>
      </c>
      <c r="E145" t="str" cm="1">
        <f t="array" ref="E145">_xlfn.XLOOKUP(_xlfn.XLOOKUP(G145,New!A:A,New!M:M,NONE),TeamIdentity!A:A,TeamIdentity!C:C,NONE)</f>
        <v>00100011</v>
      </c>
      <c r="F145" t="str" cm="1">
        <f t="array" ref="F145">_xlfn.XLOOKUP(_xlfn.XLOOKUP(G145,New!A:A,New!F:F,NONE),TeamIdentity!A:A,TeamIdentity!C:C,NONE)</f>
        <v>00011110</v>
      </c>
      <c r="G145" t="str">
        <f t="shared" si="8"/>
        <v>5-5</v>
      </c>
      <c r="H145" t="s">
        <v>54</v>
      </c>
      <c r="I145" t="s">
        <v>54</v>
      </c>
      <c r="J145" t="s">
        <v>54</v>
      </c>
      <c r="K145" t="s">
        <v>532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520</v>
      </c>
      <c r="S145">
        <v>-1</v>
      </c>
      <c r="T145">
        <v>0</v>
      </c>
      <c r="U145">
        <v>-1</v>
      </c>
      <c r="V145">
        <v>0</v>
      </c>
      <c r="W145" t="s">
        <v>70</v>
      </c>
      <c r="X145">
        <v>0</v>
      </c>
      <c r="Y145">
        <v>0</v>
      </c>
      <c r="Z145">
        <v>780</v>
      </c>
      <c r="AA145" t="s">
        <v>57</v>
      </c>
      <c r="AB145">
        <v>0</v>
      </c>
      <c r="AC145">
        <v>0</v>
      </c>
      <c r="AD145">
        <v>0</v>
      </c>
      <c r="AE145">
        <v>0</v>
      </c>
      <c r="AF145" t="s">
        <v>67</v>
      </c>
      <c r="AG145">
        <v>0</v>
      </c>
      <c r="AH145">
        <v>0</v>
      </c>
      <c r="AI145">
        <v>0</v>
      </c>
      <c r="AJ145">
        <v>0</v>
      </c>
      <c r="AK145" t="s">
        <v>60</v>
      </c>
      <c r="AL145">
        <v>0</v>
      </c>
      <c r="AM145">
        <v>0</v>
      </c>
      <c r="AN145">
        <v>0</v>
      </c>
      <c r="AO145">
        <v>0</v>
      </c>
      <c r="AP145" t="b">
        <v>0</v>
      </c>
      <c r="AQ145" t="s">
        <v>58</v>
      </c>
      <c r="AR145" t="s">
        <v>58</v>
      </c>
      <c r="AS145" t="s">
        <v>71</v>
      </c>
      <c r="AT145">
        <v>14</v>
      </c>
      <c r="AU145">
        <v>5</v>
      </c>
      <c r="AV145">
        <v>5</v>
      </c>
      <c r="AW145">
        <v>11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s">
        <v>61</v>
      </c>
      <c r="BF145" t="s">
        <v>57</v>
      </c>
      <c r="BG145" t="s">
        <v>55</v>
      </c>
      <c r="BH145" t="s">
        <v>58</v>
      </c>
      <c r="BI145" t="s">
        <v>58</v>
      </c>
    </row>
    <row r="146" spans="1:61" x14ac:dyDescent="0.25">
      <c r="A146" t="str" cm="1">
        <f t="array" ref="A146">_xlfn.IFS(AS146="RegularSeason",C146,AS146&lt;&gt;"RegularSeason",R146)</f>
        <v>00101101010010100000000000011111</v>
      </c>
      <c r="B146" t="str" cm="1">
        <f t="array" ref="B146">_xlfn.IFS(AS146="RegularSeason",D146,AS146&lt;&gt;"RegularSeason",K146)</f>
        <v>00101101010010100000000000000111</v>
      </c>
      <c r="C146" t="str">
        <f t="shared" si="6"/>
        <v>00101101010010100000000000011111</v>
      </c>
      <c r="D146" t="str">
        <f t="shared" si="7"/>
        <v>00101101010010100000000000000111</v>
      </c>
      <c r="E146" t="str" cm="1">
        <f t="array" ref="E146">_xlfn.XLOOKUP(_xlfn.XLOOKUP(G146,New!A:A,New!M:M,NONE),TeamIdentity!A:A,TeamIdentity!C:C,NONE)</f>
        <v>00011111</v>
      </c>
      <c r="F146" t="str" cm="1">
        <f t="array" ref="F146">_xlfn.XLOOKUP(_xlfn.XLOOKUP(G146,New!A:A,New!F:F,NONE),TeamIdentity!A:A,TeamIdentity!C:C,NONE)</f>
        <v>00000111</v>
      </c>
      <c r="G146" t="str">
        <f t="shared" si="8"/>
        <v>6-2</v>
      </c>
      <c r="H146" t="s">
        <v>54</v>
      </c>
      <c r="I146" t="s">
        <v>54</v>
      </c>
      <c r="J146" t="s">
        <v>54</v>
      </c>
      <c r="K146" t="s">
        <v>536</v>
      </c>
      <c r="L146" t="s">
        <v>54</v>
      </c>
      <c r="M146" t="s">
        <v>54</v>
      </c>
      <c r="N146" t="s">
        <v>54</v>
      </c>
      <c r="O146" t="s">
        <v>54</v>
      </c>
      <c r="P146" t="s">
        <v>54</v>
      </c>
      <c r="Q146" t="s">
        <v>54</v>
      </c>
      <c r="R146" t="s">
        <v>517</v>
      </c>
      <c r="S146">
        <v>-1</v>
      </c>
      <c r="T146">
        <v>0</v>
      </c>
      <c r="U146">
        <v>-1</v>
      </c>
      <c r="V146">
        <v>0</v>
      </c>
      <c r="W146" t="s">
        <v>70</v>
      </c>
      <c r="X146">
        <v>0</v>
      </c>
      <c r="Y146">
        <v>0</v>
      </c>
      <c r="Z146">
        <v>780</v>
      </c>
      <c r="AA146" t="s">
        <v>57</v>
      </c>
      <c r="AB146">
        <v>0</v>
      </c>
      <c r="AC146">
        <v>0</v>
      </c>
      <c r="AD146">
        <v>0</v>
      </c>
      <c r="AE146">
        <v>0</v>
      </c>
      <c r="AF146" t="s">
        <v>67</v>
      </c>
      <c r="AG146">
        <v>0</v>
      </c>
      <c r="AH146">
        <v>0</v>
      </c>
      <c r="AI146">
        <v>0</v>
      </c>
      <c r="AJ146">
        <v>0</v>
      </c>
      <c r="AK146" t="s">
        <v>60</v>
      </c>
      <c r="AL146">
        <v>0</v>
      </c>
      <c r="AM146">
        <v>0</v>
      </c>
      <c r="AN146">
        <v>0</v>
      </c>
      <c r="AO146">
        <v>0</v>
      </c>
      <c r="AP146" t="b">
        <v>0</v>
      </c>
      <c r="AQ146" t="s">
        <v>58</v>
      </c>
      <c r="AR146" t="s">
        <v>58</v>
      </c>
      <c r="AS146" t="s">
        <v>71</v>
      </c>
      <c r="AT146">
        <v>14</v>
      </c>
      <c r="AU146">
        <v>6</v>
      </c>
      <c r="AV146">
        <v>2</v>
      </c>
      <c r="AW146">
        <v>11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s">
        <v>61</v>
      </c>
      <c r="BF146" t="s">
        <v>57</v>
      </c>
      <c r="BG146" t="s">
        <v>55</v>
      </c>
      <c r="BH146" t="s">
        <v>58</v>
      </c>
      <c r="BI146" t="s">
        <v>58</v>
      </c>
    </row>
    <row r="147" spans="1:61" x14ac:dyDescent="0.25">
      <c r="A147" t="str" cm="1">
        <f t="array" ref="A147">_xlfn.IFS(AS147="RegularSeason",C147,AS147&lt;&gt;"RegularSeason",R147)</f>
        <v>00101101010010100000000000011010</v>
      </c>
      <c r="B147" t="str" cm="1">
        <f t="array" ref="B147">_xlfn.IFS(AS147="RegularSeason",D147,AS147&lt;&gt;"RegularSeason",K147)</f>
        <v>00101101010010100000000000010111</v>
      </c>
      <c r="C147" t="str">
        <f t="shared" si="6"/>
        <v>00101101010010100000000000011010</v>
      </c>
      <c r="D147" t="str">
        <f t="shared" si="7"/>
        <v>00101101010010100000000000010111</v>
      </c>
      <c r="E147" t="str" cm="1">
        <f t="array" ref="E147">_xlfn.XLOOKUP(_xlfn.XLOOKUP(G147,New!A:A,New!M:M,NONE),TeamIdentity!A:A,TeamIdentity!C:C,NONE)</f>
        <v>00011010</v>
      </c>
      <c r="F147" t="str" cm="1">
        <f t="array" ref="F147">_xlfn.XLOOKUP(_xlfn.XLOOKUP(G147,New!A:A,New!F:F,NONE),TeamIdentity!A:A,TeamIdentity!C:C,NONE)</f>
        <v>00010111</v>
      </c>
      <c r="G147" t="str">
        <f t="shared" si="8"/>
        <v>4-7</v>
      </c>
      <c r="H147" t="s">
        <v>54</v>
      </c>
      <c r="I147" t="s">
        <v>54</v>
      </c>
      <c r="J147" t="s">
        <v>54</v>
      </c>
      <c r="K147" t="s">
        <v>522</v>
      </c>
      <c r="L147" t="s">
        <v>54</v>
      </c>
      <c r="M147" t="s">
        <v>54</v>
      </c>
      <c r="N147" t="s">
        <v>54</v>
      </c>
      <c r="O147" t="s">
        <v>54</v>
      </c>
      <c r="P147" t="s">
        <v>54</v>
      </c>
      <c r="Q147" t="s">
        <v>54</v>
      </c>
      <c r="R147" t="s">
        <v>512</v>
      </c>
      <c r="S147">
        <v>-1</v>
      </c>
      <c r="T147">
        <v>0</v>
      </c>
      <c r="U147">
        <v>-1</v>
      </c>
      <c r="V147">
        <v>0</v>
      </c>
      <c r="W147" t="s">
        <v>70</v>
      </c>
      <c r="X147">
        <v>0</v>
      </c>
      <c r="Y147">
        <v>0</v>
      </c>
      <c r="Z147">
        <v>780</v>
      </c>
      <c r="AA147" t="s">
        <v>57</v>
      </c>
      <c r="AB147">
        <v>0</v>
      </c>
      <c r="AC147">
        <v>0</v>
      </c>
      <c r="AD147">
        <v>0</v>
      </c>
      <c r="AE147">
        <v>0</v>
      </c>
      <c r="AF147" t="s">
        <v>67</v>
      </c>
      <c r="AG147">
        <v>0</v>
      </c>
      <c r="AH147">
        <v>0</v>
      </c>
      <c r="AI147">
        <v>0</v>
      </c>
      <c r="AJ147">
        <v>0</v>
      </c>
      <c r="AK147" t="s">
        <v>60</v>
      </c>
      <c r="AL147">
        <v>0</v>
      </c>
      <c r="AM147">
        <v>0</v>
      </c>
      <c r="AN147">
        <v>0</v>
      </c>
      <c r="AO147">
        <v>0</v>
      </c>
      <c r="AP147" t="b">
        <v>0</v>
      </c>
      <c r="AQ147" t="s">
        <v>58</v>
      </c>
      <c r="AR147" t="s">
        <v>58</v>
      </c>
      <c r="AS147" t="s">
        <v>71</v>
      </c>
      <c r="AT147">
        <v>14</v>
      </c>
      <c r="AU147">
        <v>4</v>
      </c>
      <c r="AV147">
        <v>7</v>
      </c>
      <c r="AW147">
        <v>11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s">
        <v>61</v>
      </c>
      <c r="BF147" t="s">
        <v>57</v>
      </c>
      <c r="BG147" t="s">
        <v>55</v>
      </c>
      <c r="BH147" t="s">
        <v>58</v>
      </c>
      <c r="BI147" t="s">
        <v>58</v>
      </c>
    </row>
    <row r="148" spans="1:61" x14ac:dyDescent="0.25">
      <c r="A148" t="str" cm="1">
        <f t="array" ref="A148">_xlfn.IFS(AS148="RegularSeason",C148,AS148&lt;&gt;"RegularSeason",R148)</f>
        <v>00101101010010100000000000100010</v>
      </c>
      <c r="B148" t="str" cm="1">
        <f t="array" ref="B148">_xlfn.IFS(AS148="RegularSeason",D148,AS148&lt;&gt;"RegularSeason",K148)</f>
        <v>00101101010010100000000000100001</v>
      </c>
      <c r="C148" t="str">
        <f t="shared" si="6"/>
        <v>00101101010010100000000000100010</v>
      </c>
      <c r="D148" t="str">
        <f t="shared" si="7"/>
        <v>00101101010010100000000000100001</v>
      </c>
      <c r="E148" t="str" cm="1">
        <f t="array" ref="E148">_xlfn.XLOOKUP(_xlfn.XLOOKUP(G148,New!A:A,New!M:M,NONE),TeamIdentity!A:A,TeamIdentity!C:C,NONE)</f>
        <v>00100010</v>
      </c>
      <c r="F148" t="str" cm="1">
        <f t="array" ref="F148">_xlfn.XLOOKUP(_xlfn.XLOOKUP(G148,New!A:A,New!F:F,NONE),TeamIdentity!A:A,TeamIdentity!C:C,NONE)</f>
        <v>00100001</v>
      </c>
      <c r="G148" t="str">
        <f t="shared" si="8"/>
        <v>6-12</v>
      </c>
      <c r="H148" t="s">
        <v>54</v>
      </c>
      <c r="I148" t="s">
        <v>54</v>
      </c>
      <c r="J148" t="s">
        <v>54</v>
      </c>
      <c r="K148" t="s">
        <v>524</v>
      </c>
      <c r="L148" t="s">
        <v>54</v>
      </c>
      <c r="M148" t="s">
        <v>54</v>
      </c>
      <c r="N148" t="s">
        <v>54</v>
      </c>
      <c r="O148" t="s">
        <v>54</v>
      </c>
      <c r="P148" t="s">
        <v>54</v>
      </c>
      <c r="Q148" t="s">
        <v>54</v>
      </c>
      <c r="R148" t="s">
        <v>516</v>
      </c>
      <c r="S148">
        <v>-1</v>
      </c>
      <c r="T148">
        <v>0</v>
      </c>
      <c r="U148">
        <v>-1</v>
      </c>
      <c r="V148">
        <v>0</v>
      </c>
      <c r="W148" t="s">
        <v>70</v>
      </c>
      <c r="X148">
        <v>0</v>
      </c>
      <c r="Y148">
        <v>0</v>
      </c>
      <c r="Z148">
        <v>1220</v>
      </c>
      <c r="AA148" t="s">
        <v>57</v>
      </c>
      <c r="AB148">
        <v>0</v>
      </c>
      <c r="AC148">
        <v>0</v>
      </c>
      <c r="AD148">
        <v>0</v>
      </c>
      <c r="AE148">
        <v>0</v>
      </c>
      <c r="AF148" t="s">
        <v>68</v>
      </c>
      <c r="AG148">
        <v>0</v>
      </c>
      <c r="AH148">
        <v>0</v>
      </c>
      <c r="AI148">
        <v>0</v>
      </c>
      <c r="AJ148">
        <v>0</v>
      </c>
      <c r="AK148" t="s">
        <v>68</v>
      </c>
      <c r="AL148">
        <v>0</v>
      </c>
      <c r="AM148">
        <v>0</v>
      </c>
      <c r="AN148">
        <v>0</v>
      </c>
      <c r="AO148">
        <v>0</v>
      </c>
      <c r="AP148" t="b">
        <v>0</v>
      </c>
      <c r="AQ148" t="s">
        <v>58</v>
      </c>
      <c r="AR148" t="s">
        <v>58</v>
      </c>
      <c r="AS148" t="s">
        <v>71</v>
      </c>
      <c r="AT148">
        <v>14</v>
      </c>
      <c r="AU148">
        <v>6</v>
      </c>
      <c r="AV148">
        <v>12</v>
      </c>
      <c r="AW148">
        <v>11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s">
        <v>61</v>
      </c>
      <c r="BF148" t="s">
        <v>57</v>
      </c>
      <c r="BG148" t="s">
        <v>55</v>
      </c>
      <c r="BH148" t="s">
        <v>58</v>
      </c>
      <c r="BI148" t="s">
        <v>58</v>
      </c>
    </row>
    <row r="149" spans="1:61" x14ac:dyDescent="0.25">
      <c r="A149" t="str" cm="1">
        <f t="array" ref="A149">_xlfn.IFS(AS149="RegularSeason",C149,AS149&lt;&gt;"RegularSeason",R149)</f>
        <v>00101101010010100000000000010001</v>
      </c>
      <c r="B149" t="str" cm="1">
        <f t="array" ref="B149">_xlfn.IFS(AS149="RegularSeason",D149,AS149&lt;&gt;"RegularSeason",K149)</f>
        <v>00101101010010100000000000000001</v>
      </c>
      <c r="C149" t="str">
        <f t="shared" si="6"/>
        <v>00101101010010100000000000010001</v>
      </c>
      <c r="D149" t="str">
        <f t="shared" si="7"/>
        <v>00101101010010100000000000000001</v>
      </c>
      <c r="E149" t="str" cm="1">
        <f t="array" ref="E149">_xlfn.XLOOKUP(_xlfn.XLOOKUP(G149,New!A:A,New!M:M,NONE),TeamIdentity!A:A,TeamIdentity!C:C,NONE)</f>
        <v>00010001</v>
      </c>
      <c r="F149" t="str" cm="1">
        <f t="array" ref="F149">_xlfn.XLOOKUP(_xlfn.XLOOKUP(G149,New!A:A,New!F:F,NONE),TeamIdentity!A:A,TeamIdentity!C:C,NONE)</f>
        <v>00000001</v>
      </c>
      <c r="G149" t="str">
        <f t="shared" si="8"/>
        <v>6-3</v>
      </c>
      <c r="H149" t="s">
        <v>54</v>
      </c>
      <c r="I149" t="s">
        <v>54</v>
      </c>
      <c r="J149" t="s">
        <v>54</v>
      </c>
      <c r="K149" t="s">
        <v>521</v>
      </c>
      <c r="L149" t="s">
        <v>54</v>
      </c>
      <c r="M149" t="s">
        <v>54</v>
      </c>
      <c r="N149" t="s">
        <v>54</v>
      </c>
      <c r="O149" t="s">
        <v>54</v>
      </c>
      <c r="P149" t="s">
        <v>54</v>
      </c>
      <c r="Q149" t="s">
        <v>54</v>
      </c>
      <c r="R149" t="s">
        <v>541</v>
      </c>
      <c r="S149">
        <v>-1</v>
      </c>
      <c r="T149">
        <v>0</v>
      </c>
      <c r="U149">
        <v>-1</v>
      </c>
      <c r="V149">
        <v>0</v>
      </c>
      <c r="W149" t="s">
        <v>70</v>
      </c>
      <c r="X149">
        <v>0</v>
      </c>
      <c r="Y149">
        <v>0</v>
      </c>
      <c r="Z149">
        <v>780</v>
      </c>
      <c r="AA149" t="s">
        <v>57</v>
      </c>
      <c r="AB149">
        <v>0</v>
      </c>
      <c r="AC149">
        <v>0</v>
      </c>
      <c r="AD149">
        <v>0</v>
      </c>
      <c r="AE149">
        <v>0</v>
      </c>
      <c r="AF149" t="s">
        <v>67</v>
      </c>
      <c r="AG149">
        <v>0</v>
      </c>
      <c r="AH149">
        <v>0</v>
      </c>
      <c r="AI149">
        <v>0</v>
      </c>
      <c r="AJ149">
        <v>0</v>
      </c>
      <c r="AK149" t="s">
        <v>60</v>
      </c>
      <c r="AL149">
        <v>0</v>
      </c>
      <c r="AM149">
        <v>0</v>
      </c>
      <c r="AN149">
        <v>0</v>
      </c>
      <c r="AO149">
        <v>0</v>
      </c>
      <c r="AP149" t="b">
        <v>0</v>
      </c>
      <c r="AQ149" t="s">
        <v>58</v>
      </c>
      <c r="AR149" t="s">
        <v>58</v>
      </c>
      <c r="AS149" t="s">
        <v>71</v>
      </c>
      <c r="AT149">
        <v>14</v>
      </c>
      <c r="AU149">
        <v>6</v>
      </c>
      <c r="AV149">
        <v>3</v>
      </c>
      <c r="AW149">
        <v>11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s">
        <v>61</v>
      </c>
      <c r="BF149" t="s">
        <v>57</v>
      </c>
      <c r="BG149" t="s">
        <v>55</v>
      </c>
      <c r="BH149" t="s">
        <v>58</v>
      </c>
      <c r="BI149" t="s">
        <v>58</v>
      </c>
    </row>
    <row r="150" spans="1:61" x14ac:dyDescent="0.25">
      <c r="A150" t="str" cm="1">
        <f t="array" ref="A150">_xlfn.IFS(AS150="RegularSeason",C150,AS150&lt;&gt;"RegularSeason",R150)</f>
        <v>00101101010010100000000000000101</v>
      </c>
      <c r="B150" t="str" cm="1">
        <f t="array" ref="B150">_xlfn.IFS(AS150="RegularSeason",D150,AS150&lt;&gt;"RegularSeason",K150)</f>
        <v>00101101010010100000000000000111</v>
      </c>
      <c r="C150" t="str">
        <f t="shared" si="6"/>
        <v>00101101010010100000000000000101</v>
      </c>
      <c r="D150" t="str">
        <f t="shared" si="7"/>
        <v>00101101010010100000000000000111</v>
      </c>
      <c r="E150" t="str" cm="1">
        <f t="array" ref="E150">_xlfn.XLOOKUP(_xlfn.XLOOKUP(G150,New!A:A,New!M:M,NONE),TeamIdentity!A:A,TeamIdentity!C:C,NONE)</f>
        <v>00000101</v>
      </c>
      <c r="F150" t="str" cm="1">
        <f t="array" ref="F150">_xlfn.XLOOKUP(_xlfn.XLOOKUP(G150,New!A:A,New!F:F,NONE),TeamIdentity!A:A,TeamIdentity!C:C,NONE)</f>
        <v>00000111</v>
      </c>
      <c r="G150" t="str">
        <f t="shared" si="8"/>
        <v>7-12</v>
      </c>
      <c r="H150" t="s">
        <v>54</v>
      </c>
      <c r="I150" t="s">
        <v>54</v>
      </c>
      <c r="J150" t="s">
        <v>54</v>
      </c>
      <c r="K150" t="s">
        <v>530</v>
      </c>
      <c r="L150" t="s">
        <v>54</v>
      </c>
      <c r="M150" t="s">
        <v>54</v>
      </c>
      <c r="N150" t="s">
        <v>54</v>
      </c>
      <c r="O150" t="s">
        <v>54</v>
      </c>
      <c r="P150" t="s">
        <v>54</v>
      </c>
      <c r="Q150" t="s">
        <v>54</v>
      </c>
      <c r="R150" t="s">
        <v>523</v>
      </c>
      <c r="S150">
        <v>-1</v>
      </c>
      <c r="T150">
        <v>0</v>
      </c>
      <c r="U150">
        <v>-1</v>
      </c>
      <c r="V150">
        <v>0</v>
      </c>
      <c r="W150" t="s">
        <v>70</v>
      </c>
      <c r="X150">
        <v>0</v>
      </c>
      <c r="Y150">
        <v>0</v>
      </c>
      <c r="Z150">
        <v>1220</v>
      </c>
      <c r="AA150" t="s">
        <v>57</v>
      </c>
      <c r="AB150">
        <v>0</v>
      </c>
      <c r="AC150">
        <v>0</v>
      </c>
      <c r="AD150">
        <v>0</v>
      </c>
      <c r="AE150">
        <v>0</v>
      </c>
      <c r="AF150" t="s">
        <v>60</v>
      </c>
      <c r="AG150">
        <v>0</v>
      </c>
      <c r="AH150">
        <v>0</v>
      </c>
      <c r="AI150">
        <v>0</v>
      </c>
      <c r="AJ150">
        <v>0</v>
      </c>
      <c r="AK150" t="s">
        <v>60</v>
      </c>
      <c r="AL150">
        <v>0</v>
      </c>
      <c r="AM150">
        <v>0</v>
      </c>
      <c r="AN150">
        <v>0</v>
      </c>
      <c r="AO150">
        <v>0</v>
      </c>
      <c r="AP150" t="b">
        <v>0</v>
      </c>
      <c r="AQ150" t="s">
        <v>58</v>
      </c>
      <c r="AR150" t="s">
        <v>58</v>
      </c>
      <c r="AS150" t="s">
        <v>71</v>
      </c>
      <c r="AT150">
        <v>14</v>
      </c>
      <c r="AU150">
        <v>7</v>
      </c>
      <c r="AV150">
        <v>12</v>
      </c>
      <c r="AW150">
        <v>11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s">
        <v>61</v>
      </c>
      <c r="BF150" t="s">
        <v>57</v>
      </c>
      <c r="BG150" t="s">
        <v>55</v>
      </c>
      <c r="BH150" t="s">
        <v>58</v>
      </c>
      <c r="BI150" t="s">
        <v>58</v>
      </c>
    </row>
    <row r="151" spans="1:61" x14ac:dyDescent="0.25">
      <c r="A151" t="str" cm="1">
        <f t="array" ref="A151">_xlfn.IFS(AS151="RegularSeason",C151,AS151&lt;&gt;"RegularSeason",R151)</f>
        <v>00101101010010100000000000010001</v>
      </c>
      <c r="B151" t="str" cm="1">
        <f t="array" ref="B151">_xlfn.IFS(AS151="RegularSeason",D151,AS151&lt;&gt;"RegularSeason",K151)</f>
        <v>00101101010010100000000000100100</v>
      </c>
      <c r="C151" t="str">
        <f t="shared" si="6"/>
        <v>00101101010010100000000000010001</v>
      </c>
      <c r="D151" t="str">
        <f t="shared" si="7"/>
        <v>00101101010010100000000000100100</v>
      </c>
      <c r="E151" t="str" cm="1">
        <f t="array" ref="E151">_xlfn.XLOOKUP(_xlfn.XLOOKUP(G151,New!A:A,New!M:M,NONE),TeamIdentity!A:A,TeamIdentity!C:C,NONE)</f>
        <v>00010001</v>
      </c>
      <c r="F151" t="str" cm="1">
        <f t="array" ref="F151">_xlfn.XLOOKUP(_xlfn.XLOOKUP(G151,New!A:A,New!F:F,NONE),TeamIdentity!A:A,TeamIdentity!C:C,NONE)</f>
        <v>00100100</v>
      </c>
      <c r="G151" t="str">
        <f t="shared" si="8"/>
        <v>4-13</v>
      </c>
      <c r="H151" t="s">
        <v>54</v>
      </c>
      <c r="I151" t="s">
        <v>54</v>
      </c>
      <c r="J151" t="s">
        <v>54</v>
      </c>
      <c r="K151" t="s">
        <v>525</v>
      </c>
      <c r="L151" t="s">
        <v>54</v>
      </c>
      <c r="M151" t="s">
        <v>54</v>
      </c>
      <c r="N151" t="s">
        <v>54</v>
      </c>
      <c r="O151" t="s">
        <v>54</v>
      </c>
      <c r="P151" t="s">
        <v>54</v>
      </c>
      <c r="Q151" t="s">
        <v>54</v>
      </c>
      <c r="R151" t="s">
        <v>528</v>
      </c>
      <c r="S151">
        <v>-1</v>
      </c>
      <c r="T151">
        <v>0</v>
      </c>
      <c r="U151">
        <v>-1</v>
      </c>
      <c r="V151">
        <v>0</v>
      </c>
      <c r="W151" t="s">
        <v>70</v>
      </c>
      <c r="X151">
        <v>0</v>
      </c>
      <c r="Y151">
        <v>0</v>
      </c>
      <c r="Z151">
        <v>1220</v>
      </c>
      <c r="AA151" t="s">
        <v>57</v>
      </c>
      <c r="AB151">
        <v>0</v>
      </c>
      <c r="AC151">
        <v>0</v>
      </c>
      <c r="AD151">
        <v>0</v>
      </c>
      <c r="AE151">
        <v>0</v>
      </c>
      <c r="AF151" t="s">
        <v>60</v>
      </c>
      <c r="AG151">
        <v>0</v>
      </c>
      <c r="AH151">
        <v>0</v>
      </c>
      <c r="AI151">
        <v>0</v>
      </c>
      <c r="AJ151">
        <v>0</v>
      </c>
      <c r="AK151" t="s">
        <v>60</v>
      </c>
      <c r="AL151">
        <v>0</v>
      </c>
      <c r="AM151">
        <v>0</v>
      </c>
      <c r="AN151">
        <v>0</v>
      </c>
      <c r="AO151">
        <v>0</v>
      </c>
      <c r="AP151" t="b">
        <v>0</v>
      </c>
      <c r="AQ151" t="s">
        <v>58</v>
      </c>
      <c r="AR151" t="s">
        <v>58</v>
      </c>
      <c r="AS151" t="s">
        <v>71</v>
      </c>
      <c r="AT151">
        <v>14</v>
      </c>
      <c r="AU151">
        <v>4</v>
      </c>
      <c r="AV151">
        <v>13</v>
      </c>
      <c r="AW151">
        <v>11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s">
        <v>61</v>
      </c>
      <c r="BF151" t="s">
        <v>57</v>
      </c>
      <c r="BG151" t="s">
        <v>55</v>
      </c>
      <c r="BH151" t="s">
        <v>58</v>
      </c>
      <c r="BI151" t="s">
        <v>58</v>
      </c>
    </row>
    <row r="152" spans="1:61" x14ac:dyDescent="0.25">
      <c r="A152" t="str" cm="1">
        <f t="array" ref="A152">_xlfn.IFS(AS152="RegularSeason",C152,AS152&lt;&gt;"RegularSeason",R152)</f>
        <v>00101101010010100000000000100011</v>
      </c>
      <c r="B152" t="str" cm="1">
        <f t="array" ref="B152">_xlfn.IFS(AS152="RegularSeason",D152,AS152&lt;&gt;"RegularSeason",K152)</f>
        <v>00101101010010100000000000000110</v>
      </c>
      <c r="C152" t="str">
        <f t="shared" si="6"/>
        <v>00101101010010100000000000100011</v>
      </c>
      <c r="D152" t="str">
        <f t="shared" si="7"/>
        <v>00101101010010100000000000000110</v>
      </c>
      <c r="E152" t="str" cm="1">
        <f t="array" ref="E152">_xlfn.XLOOKUP(_xlfn.XLOOKUP(G152,New!A:A,New!M:M,NONE),TeamIdentity!A:A,TeamIdentity!C:C,NONE)</f>
        <v>00100011</v>
      </c>
      <c r="F152" t="str" cm="1">
        <f t="array" ref="F152">_xlfn.XLOOKUP(_xlfn.XLOOKUP(G152,New!A:A,New!F:F,NONE),TeamIdentity!A:A,TeamIdentity!C:C,NONE)</f>
        <v>00000110</v>
      </c>
      <c r="G152" t="str">
        <f t="shared" si="8"/>
        <v>6-7</v>
      </c>
      <c r="H152" t="s">
        <v>54</v>
      </c>
      <c r="I152" t="s">
        <v>54</v>
      </c>
      <c r="J152" t="s">
        <v>54</v>
      </c>
      <c r="K152" t="s">
        <v>527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533</v>
      </c>
      <c r="S152">
        <v>-1</v>
      </c>
      <c r="T152">
        <v>0</v>
      </c>
      <c r="U152">
        <v>-1</v>
      </c>
      <c r="V152">
        <v>0</v>
      </c>
      <c r="W152" t="s">
        <v>70</v>
      </c>
      <c r="X152">
        <v>0</v>
      </c>
      <c r="Y152">
        <v>0</v>
      </c>
      <c r="Z152">
        <v>965</v>
      </c>
      <c r="AA152" t="s">
        <v>57</v>
      </c>
      <c r="AB152">
        <v>0</v>
      </c>
      <c r="AC152">
        <v>0</v>
      </c>
      <c r="AD152">
        <v>0</v>
      </c>
      <c r="AE152">
        <v>0</v>
      </c>
      <c r="AF152" t="s">
        <v>67</v>
      </c>
      <c r="AG152">
        <v>0</v>
      </c>
      <c r="AH152">
        <v>0</v>
      </c>
      <c r="AI152">
        <v>0</v>
      </c>
      <c r="AJ152">
        <v>0</v>
      </c>
      <c r="AK152" t="s">
        <v>60</v>
      </c>
      <c r="AL152">
        <v>0</v>
      </c>
      <c r="AM152">
        <v>0</v>
      </c>
      <c r="AN152">
        <v>0</v>
      </c>
      <c r="AO152">
        <v>0</v>
      </c>
      <c r="AP152" t="b">
        <v>0</v>
      </c>
      <c r="AQ152" t="s">
        <v>58</v>
      </c>
      <c r="AR152" t="s">
        <v>58</v>
      </c>
      <c r="AS152" t="s">
        <v>71</v>
      </c>
      <c r="AT152">
        <v>14</v>
      </c>
      <c r="AU152">
        <v>6</v>
      </c>
      <c r="AV152">
        <v>7</v>
      </c>
      <c r="AW152">
        <v>11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s">
        <v>61</v>
      </c>
      <c r="BF152" t="s">
        <v>57</v>
      </c>
      <c r="BG152" t="s">
        <v>55</v>
      </c>
      <c r="BH152" t="s">
        <v>58</v>
      </c>
      <c r="BI152" t="s">
        <v>58</v>
      </c>
    </row>
    <row r="153" spans="1:61" x14ac:dyDescent="0.25">
      <c r="A153" t="str" cm="1">
        <f t="array" ref="A153">_xlfn.IFS(AS153="RegularSeason",C153,AS153&lt;&gt;"RegularSeason",R153)</f>
        <v>00101101010010100000000000001011</v>
      </c>
      <c r="B153" t="str" cm="1">
        <f t="array" ref="B153">_xlfn.IFS(AS153="RegularSeason",D153,AS153&lt;&gt;"RegularSeason",K153)</f>
        <v>00101101010010100000000000001010</v>
      </c>
      <c r="C153" t="str">
        <f t="shared" si="6"/>
        <v>00101101010010100000000000001011</v>
      </c>
      <c r="D153" t="str">
        <f t="shared" si="7"/>
        <v>00101101010010100000000000001010</v>
      </c>
      <c r="E153" t="str" cm="1">
        <f t="array" ref="E153">_xlfn.XLOOKUP(_xlfn.XLOOKUP(G153,New!A:A,New!M:M,NONE),TeamIdentity!A:A,TeamIdentity!C:C,NONE)</f>
        <v>00001011</v>
      </c>
      <c r="F153" t="str" cm="1">
        <f t="array" ref="F153">_xlfn.XLOOKUP(_xlfn.XLOOKUP(G153,New!A:A,New!F:F,NONE),TeamIdentity!A:A,TeamIdentity!C:C,NONE)</f>
        <v>00001010</v>
      </c>
      <c r="G153" t="str">
        <f t="shared" si="8"/>
        <v>6-10</v>
      </c>
      <c r="H153" t="s">
        <v>54</v>
      </c>
      <c r="I153" t="s">
        <v>54</v>
      </c>
      <c r="J153" t="s">
        <v>54</v>
      </c>
      <c r="K153" t="s">
        <v>525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512</v>
      </c>
      <c r="S153">
        <v>-1</v>
      </c>
      <c r="T153">
        <v>0</v>
      </c>
      <c r="U153">
        <v>-1</v>
      </c>
      <c r="V153">
        <v>0</v>
      </c>
      <c r="W153" t="s">
        <v>70</v>
      </c>
      <c r="X153">
        <v>0</v>
      </c>
      <c r="Y153">
        <v>0</v>
      </c>
      <c r="Z153">
        <v>1220</v>
      </c>
      <c r="AA153" t="s">
        <v>57</v>
      </c>
      <c r="AB153">
        <v>0</v>
      </c>
      <c r="AC153">
        <v>0</v>
      </c>
      <c r="AD153">
        <v>0</v>
      </c>
      <c r="AE153">
        <v>0</v>
      </c>
      <c r="AF153" t="s">
        <v>60</v>
      </c>
      <c r="AG153">
        <v>0</v>
      </c>
      <c r="AH153">
        <v>0</v>
      </c>
      <c r="AI153">
        <v>0</v>
      </c>
      <c r="AJ153">
        <v>0</v>
      </c>
      <c r="AK153" t="s">
        <v>60</v>
      </c>
      <c r="AL153">
        <v>0</v>
      </c>
      <c r="AM153">
        <v>0</v>
      </c>
      <c r="AN153">
        <v>0</v>
      </c>
      <c r="AO153">
        <v>0</v>
      </c>
      <c r="AP153" t="b">
        <v>0</v>
      </c>
      <c r="AQ153" t="s">
        <v>58</v>
      </c>
      <c r="AR153" t="s">
        <v>58</v>
      </c>
      <c r="AS153" t="s">
        <v>71</v>
      </c>
      <c r="AT153">
        <v>14</v>
      </c>
      <c r="AU153">
        <v>6</v>
      </c>
      <c r="AV153">
        <v>10</v>
      </c>
      <c r="AW153">
        <v>11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s">
        <v>61</v>
      </c>
      <c r="BF153" t="s">
        <v>57</v>
      </c>
      <c r="BG153" t="s">
        <v>55</v>
      </c>
      <c r="BH153" t="s">
        <v>58</v>
      </c>
      <c r="BI153" t="s">
        <v>58</v>
      </c>
    </row>
    <row r="154" spans="1:61" x14ac:dyDescent="0.25">
      <c r="A154" t="str" cm="1">
        <f t="array" ref="A154">_xlfn.IFS(AS154="RegularSeason",C154,AS154&lt;&gt;"RegularSeason",R154)</f>
        <v>00101101010010100000000000011010</v>
      </c>
      <c r="B154" t="str" cm="1">
        <f t="array" ref="B154">_xlfn.IFS(AS154="RegularSeason",D154,AS154&lt;&gt;"RegularSeason",K154)</f>
        <v>00101101010010100000000000010001</v>
      </c>
      <c r="C154" t="str">
        <f t="shared" si="6"/>
        <v>00101101010010100000000000011010</v>
      </c>
      <c r="D154" t="str">
        <f t="shared" si="7"/>
        <v>00101101010010100000000000010001</v>
      </c>
      <c r="E154" t="str" cm="1">
        <f t="array" ref="E154">_xlfn.XLOOKUP(_xlfn.XLOOKUP(G154,New!A:A,New!M:M,NONE),TeamIdentity!A:A,TeamIdentity!C:C,NONE)</f>
        <v>00011010</v>
      </c>
      <c r="F154" t="str" cm="1">
        <f t="array" ref="F154">_xlfn.XLOOKUP(_xlfn.XLOOKUP(G154,New!A:A,New!F:F,NONE),TeamIdentity!A:A,TeamIdentity!C:C,NONE)</f>
        <v>00010001</v>
      </c>
      <c r="G154" t="str">
        <f t="shared" si="8"/>
        <v>8-0</v>
      </c>
      <c r="H154" t="s">
        <v>54</v>
      </c>
      <c r="I154" t="s">
        <v>54</v>
      </c>
      <c r="J154" t="s">
        <v>54</v>
      </c>
      <c r="K154" t="s">
        <v>539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529</v>
      </c>
      <c r="S154">
        <v>-1</v>
      </c>
      <c r="T154">
        <v>0</v>
      </c>
      <c r="U154">
        <v>-1</v>
      </c>
      <c r="V154">
        <v>0</v>
      </c>
      <c r="W154" t="s">
        <v>70</v>
      </c>
      <c r="X154">
        <v>0</v>
      </c>
      <c r="Y154">
        <v>0</v>
      </c>
      <c r="Z154">
        <v>780</v>
      </c>
      <c r="AA154" t="s">
        <v>57</v>
      </c>
      <c r="AB154">
        <v>0</v>
      </c>
      <c r="AC154">
        <v>0</v>
      </c>
      <c r="AD154">
        <v>0</v>
      </c>
      <c r="AE154">
        <v>0</v>
      </c>
      <c r="AF154" t="s">
        <v>67</v>
      </c>
      <c r="AG154">
        <v>0</v>
      </c>
      <c r="AH154">
        <v>0</v>
      </c>
      <c r="AI154">
        <v>0</v>
      </c>
      <c r="AJ154">
        <v>0</v>
      </c>
      <c r="AK154" t="s">
        <v>60</v>
      </c>
      <c r="AL154">
        <v>0</v>
      </c>
      <c r="AM154">
        <v>0</v>
      </c>
      <c r="AN154">
        <v>0</v>
      </c>
      <c r="AO154">
        <v>0</v>
      </c>
      <c r="AP154" t="b">
        <v>0</v>
      </c>
      <c r="AQ154" t="s">
        <v>58</v>
      </c>
      <c r="AR154" t="s">
        <v>58</v>
      </c>
      <c r="AS154" t="s">
        <v>71</v>
      </c>
      <c r="AT154">
        <v>14</v>
      </c>
      <c r="AU154">
        <v>8</v>
      </c>
      <c r="AV154">
        <v>0</v>
      </c>
      <c r="AW154">
        <v>11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s">
        <v>61</v>
      </c>
      <c r="BF154" t="s">
        <v>57</v>
      </c>
      <c r="BG154" t="s">
        <v>55</v>
      </c>
      <c r="BH154" t="s">
        <v>58</v>
      </c>
      <c r="BI154" t="s">
        <v>58</v>
      </c>
    </row>
    <row r="155" spans="1:61" x14ac:dyDescent="0.25">
      <c r="A155" t="str" cm="1">
        <f t="array" ref="A155">_xlfn.IFS(AS155="RegularSeason",C155,AS155&lt;&gt;"RegularSeason",R155)</f>
        <v>00101101010010100000000000100001</v>
      </c>
      <c r="B155" t="str" cm="1">
        <f t="array" ref="B155">_xlfn.IFS(AS155="RegularSeason",D155,AS155&lt;&gt;"RegularSeason",K155)</f>
        <v>00101101010010100000000000011101</v>
      </c>
      <c r="C155" t="str">
        <f t="shared" si="6"/>
        <v>00101101010010100000000000100001</v>
      </c>
      <c r="D155" t="str">
        <f t="shared" si="7"/>
        <v>00101101010010100000000000011101</v>
      </c>
      <c r="E155" t="str" cm="1">
        <f t="array" ref="E155">_xlfn.XLOOKUP(_xlfn.XLOOKUP(G155,New!A:A,New!M:M,NONE),TeamIdentity!A:A,TeamIdentity!C:C,NONE)</f>
        <v>00100001</v>
      </c>
      <c r="F155" t="str" cm="1">
        <f t="array" ref="F155">_xlfn.XLOOKUP(_xlfn.XLOOKUP(G155,New!A:A,New!F:F,NONE),TeamIdentity!A:A,TeamIdentity!C:C,NONE)</f>
        <v>00011101</v>
      </c>
      <c r="G155" t="str">
        <f t="shared" si="8"/>
        <v>7-1</v>
      </c>
      <c r="H155" t="s">
        <v>54</v>
      </c>
      <c r="I155" t="s">
        <v>54</v>
      </c>
      <c r="J155" t="s">
        <v>54</v>
      </c>
      <c r="K155" t="s">
        <v>535</v>
      </c>
      <c r="L155" t="s">
        <v>54</v>
      </c>
      <c r="M155" t="s">
        <v>54</v>
      </c>
      <c r="N155" t="s">
        <v>54</v>
      </c>
      <c r="O155" t="s">
        <v>54</v>
      </c>
      <c r="P155" t="s">
        <v>54</v>
      </c>
      <c r="Q155" t="s">
        <v>54</v>
      </c>
      <c r="R155" t="s">
        <v>516</v>
      </c>
      <c r="S155">
        <v>-1</v>
      </c>
      <c r="T155">
        <v>0</v>
      </c>
      <c r="U155">
        <v>-1</v>
      </c>
      <c r="V155">
        <v>0</v>
      </c>
      <c r="W155" t="s">
        <v>70</v>
      </c>
      <c r="X155">
        <v>0</v>
      </c>
      <c r="Y155">
        <v>0</v>
      </c>
      <c r="Z155">
        <v>780</v>
      </c>
      <c r="AA155" t="s">
        <v>57</v>
      </c>
      <c r="AB155">
        <v>0</v>
      </c>
      <c r="AC155">
        <v>0</v>
      </c>
      <c r="AD155">
        <v>0</v>
      </c>
      <c r="AE155">
        <v>0</v>
      </c>
      <c r="AF155" t="s">
        <v>67</v>
      </c>
      <c r="AG155">
        <v>0</v>
      </c>
      <c r="AH155">
        <v>0</v>
      </c>
      <c r="AI155">
        <v>0</v>
      </c>
      <c r="AJ155">
        <v>0</v>
      </c>
      <c r="AK155" t="s">
        <v>60</v>
      </c>
      <c r="AL155">
        <v>0</v>
      </c>
      <c r="AM155">
        <v>0</v>
      </c>
      <c r="AN155">
        <v>0</v>
      </c>
      <c r="AO155">
        <v>0</v>
      </c>
      <c r="AP155" t="b">
        <v>0</v>
      </c>
      <c r="AQ155" t="s">
        <v>58</v>
      </c>
      <c r="AR155" t="s">
        <v>58</v>
      </c>
      <c r="AS155" t="s">
        <v>71</v>
      </c>
      <c r="AT155">
        <v>14</v>
      </c>
      <c r="AU155">
        <v>7</v>
      </c>
      <c r="AV155">
        <v>1</v>
      </c>
      <c r="AW155">
        <v>11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s">
        <v>61</v>
      </c>
      <c r="BF155" t="s">
        <v>57</v>
      </c>
      <c r="BG155" t="s">
        <v>55</v>
      </c>
      <c r="BH155" t="s">
        <v>58</v>
      </c>
      <c r="BI155" t="s">
        <v>58</v>
      </c>
    </row>
    <row r="156" spans="1:61" x14ac:dyDescent="0.25">
      <c r="A156" t="str" cm="1">
        <f t="array" ref="A156">_xlfn.IFS(AS156="RegularSeason",C156,AS156&lt;&gt;"RegularSeason",R156)</f>
        <v>00101101010010100000000000000010</v>
      </c>
      <c r="B156" t="str" cm="1">
        <f t="array" ref="B156">_xlfn.IFS(AS156="RegularSeason",D156,AS156&lt;&gt;"RegularSeason",K156)</f>
        <v>00101101010010100000000000100011</v>
      </c>
      <c r="C156" t="str">
        <f t="shared" si="6"/>
        <v>00101101010010100000000000000010</v>
      </c>
      <c r="D156" t="str">
        <f t="shared" si="7"/>
        <v>00101101010010100000000000100011</v>
      </c>
      <c r="E156" t="str" cm="1">
        <f t="array" ref="E156">_xlfn.XLOOKUP(_xlfn.XLOOKUP(G156,New!A:A,New!M:M,NONE),TeamIdentity!A:A,TeamIdentity!C:C,NONE)</f>
        <v>00000010</v>
      </c>
      <c r="F156" t="str" cm="1">
        <f t="array" ref="F156">_xlfn.XLOOKUP(_xlfn.XLOOKUP(G156,New!A:A,New!F:F,NONE),TeamIdentity!A:A,TeamIdentity!C:C,NONE)</f>
        <v>00100011</v>
      </c>
      <c r="G156" t="str">
        <f t="shared" si="8"/>
        <v>8-9</v>
      </c>
      <c r="H156" t="s">
        <v>54</v>
      </c>
      <c r="I156" t="s">
        <v>54</v>
      </c>
      <c r="J156" t="s">
        <v>54</v>
      </c>
      <c r="K156" t="s">
        <v>520</v>
      </c>
      <c r="L156" t="s">
        <v>54</v>
      </c>
      <c r="M156" t="s">
        <v>54</v>
      </c>
      <c r="N156" t="s">
        <v>54</v>
      </c>
      <c r="O156" t="s">
        <v>54</v>
      </c>
      <c r="P156" t="s">
        <v>54</v>
      </c>
      <c r="Q156" t="s">
        <v>54</v>
      </c>
      <c r="R156" t="s">
        <v>533</v>
      </c>
      <c r="S156">
        <v>-1</v>
      </c>
      <c r="T156">
        <v>0</v>
      </c>
      <c r="U156">
        <v>-1</v>
      </c>
      <c r="V156">
        <v>0</v>
      </c>
      <c r="W156" t="s">
        <v>70</v>
      </c>
      <c r="X156">
        <v>0</v>
      </c>
      <c r="Y156">
        <v>0</v>
      </c>
      <c r="Z156">
        <v>975</v>
      </c>
      <c r="AA156" t="s">
        <v>57</v>
      </c>
      <c r="AB156">
        <v>0</v>
      </c>
      <c r="AC156">
        <v>0</v>
      </c>
      <c r="AD156">
        <v>0</v>
      </c>
      <c r="AE156">
        <v>0</v>
      </c>
      <c r="AF156" t="s">
        <v>67</v>
      </c>
      <c r="AG156">
        <v>0</v>
      </c>
      <c r="AH156">
        <v>0</v>
      </c>
      <c r="AI156">
        <v>0</v>
      </c>
      <c r="AJ156">
        <v>0</v>
      </c>
      <c r="AK156" t="s">
        <v>60</v>
      </c>
      <c r="AL156">
        <v>0</v>
      </c>
      <c r="AM156">
        <v>0</v>
      </c>
      <c r="AN156">
        <v>0</v>
      </c>
      <c r="AO156">
        <v>0</v>
      </c>
      <c r="AP156" t="b">
        <v>0</v>
      </c>
      <c r="AQ156" t="s">
        <v>58</v>
      </c>
      <c r="AR156" t="s">
        <v>58</v>
      </c>
      <c r="AS156" t="s">
        <v>71</v>
      </c>
      <c r="AT156">
        <v>14</v>
      </c>
      <c r="AU156">
        <v>8</v>
      </c>
      <c r="AV156">
        <v>9</v>
      </c>
      <c r="AW156">
        <v>11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s">
        <v>61</v>
      </c>
      <c r="BF156" t="s">
        <v>57</v>
      </c>
      <c r="BG156" t="s">
        <v>55</v>
      </c>
      <c r="BH156" t="s">
        <v>58</v>
      </c>
      <c r="BI156" t="s">
        <v>58</v>
      </c>
    </row>
    <row r="157" spans="1:61" x14ac:dyDescent="0.25">
      <c r="A157" t="str" cm="1">
        <f t="array" ref="A157">_xlfn.IFS(AS157="RegularSeason",C157,AS157&lt;&gt;"RegularSeason",R157)</f>
        <v>00101101010010100000000000001010</v>
      </c>
      <c r="B157" t="str" cm="1">
        <f t="array" ref="B157">_xlfn.IFS(AS157="RegularSeason",D157,AS157&lt;&gt;"RegularSeason",K157)</f>
        <v>00101101010010100000000000000011</v>
      </c>
      <c r="C157" t="str">
        <f t="shared" si="6"/>
        <v>00101101010010100000000000001010</v>
      </c>
      <c r="D157" t="str">
        <f t="shared" si="7"/>
        <v>00101101010010100000000000000011</v>
      </c>
      <c r="E157" t="str" cm="1">
        <f t="array" ref="E157">_xlfn.XLOOKUP(_xlfn.XLOOKUP(G157,New!A:A,New!M:M,NONE),TeamIdentity!A:A,TeamIdentity!C:C,NONE)</f>
        <v>00001010</v>
      </c>
      <c r="F157" t="str" cm="1">
        <f t="array" ref="F157">_xlfn.XLOOKUP(_xlfn.XLOOKUP(G157,New!A:A,New!F:F,NONE),TeamIdentity!A:A,TeamIdentity!C:C,NONE)</f>
        <v>00000011</v>
      </c>
      <c r="G157" t="str">
        <f t="shared" si="8"/>
        <v>7-2</v>
      </c>
      <c r="H157" t="s">
        <v>54</v>
      </c>
      <c r="I157" t="s">
        <v>54</v>
      </c>
      <c r="J157" t="s">
        <v>54</v>
      </c>
      <c r="K157" t="s">
        <v>517</v>
      </c>
      <c r="L157" t="s">
        <v>54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512</v>
      </c>
      <c r="S157">
        <v>-1</v>
      </c>
      <c r="T157">
        <v>0</v>
      </c>
      <c r="U157">
        <v>-1</v>
      </c>
      <c r="V157">
        <v>0</v>
      </c>
      <c r="W157" t="s">
        <v>70</v>
      </c>
      <c r="X157">
        <v>0</v>
      </c>
      <c r="Y157">
        <v>0</v>
      </c>
      <c r="Z157">
        <v>780</v>
      </c>
      <c r="AA157" t="s">
        <v>57</v>
      </c>
      <c r="AB157">
        <v>0</v>
      </c>
      <c r="AC157">
        <v>0</v>
      </c>
      <c r="AD157">
        <v>0</v>
      </c>
      <c r="AE157">
        <v>0</v>
      </c>
      <c r="AF157" t="s">
        <v>67</v>
      </c>
      <c r="AG157">
        <v>0</v>
      </c>
      <c r="AH157">
        <v>0</v>
      </c>
      <c r="AI157">
        <v>0</v>
      </c>
      <c r="AJ157">
        <v>0</v>
      </c>
      <c r="AK157" t="s">
        <v>60</v>
      </c>
      <c r="AL157">
        <v>0</v>
      </c>
      <c r="AM157">
        <v>0</v>
      </c>
      <c r="AN157">
        <v>0</v>
      </c>
      <c r="AO157">
        <v>0</v>
      </c>
      <c r="AP157" t="b">
        <v>0</v>
      </c>
      <c r="AQ157" t="s">
        <v>58</v>
      </c>
      <c r="AR157" t="s">
        <v>58</v>
      </c>
      <c r="AS157" t="s">
        <v>71</v>
      </c>
      <c r="AT157">
        <v>14</v>
      </c>
      <c r="AU157">
        <v>7</v>
      </c>
      <c r="AV157">
        <v>2</v>
      </c>
      <c r="AW157">
        <v>11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s">
        <v>61</v>
      </c>
      <c r="BF157" t="s">
        <v>57</v>
      </c>
      <c r="BG157" t="s">
        <v>55</v>
      </c>
      <c r="BH157" t="s">
        <v>58</v>
      </c>
      <c r="BI157" t="s">
        <v>58</v>
      </c>
    </row>
    <row r="158" spans="1:61" x14ac:dyDescent="0.25">
      <c r="A158" t="str" cm="1">
        <f t="array" ref="A158">_xlfn.IFS(AS158="RegularSeason",C158,AS158&lt;&gt;"RegularSeason",R158)</f>
        <v>00101101010010100000000000000010</v>
      </c>
      <c r="B158" t="str" cm="1">
        <f t="array" ref="B158">_xlfn.IFS(AS158="RegularSeason",D158,AS158&lt;&gt;"RegularSeason",K158)</f>
        <v>00101101010010100000000000011110</v>
      </c>
      <c r="C158" t="str">
        <f t="shared" si="6"/>
        <v>00101101010010100000000000000010</v>
      </c>
      <c r="D158" t="str">
        <f t="shared" si="7"/>
        <v>00101101010010100000000000011110</v>
      </c>
      <c r="E158" t="str" cm="1">
        <f t="array" ref="E158">_xlfn.XLOOKUP(_xlfn.XLOOKUP(G158,New!A:A,New!M:M,NONE),TeamIdentity!A:A,TeamIdentity!C:C,NONE)</f>
        <v>00000010</v>
      </c>
      <c r="F158" t="str" cm="1">
        <f t="array" ref="F158">_xlfn.XLOOKUP(_xlfn.XLOOKUP(G158,New!A:A,New!F:F,NONE),TeamIdentity!A:A,TeamIdentity!C:C,NONE)</f>
        <v>00011110</v>
      </c>
      <c r="G158" t="str">
        <f t="shared" si="8"/>
        <v>7-14</v>
      </c>
      <c r="H158" t="s">
        <v>54</v>
      </c>
      <c r="I158" t="s">
        <v>54</v>
      </c>
      <c r="J158" t="s">
        <v>54</v>
      </c>
      <c r="K158" t="s">
        <v>520</v>
      </c>
      <c r="L158" t="s">
        <v>54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518</v>
      </c>
      <c r="S158">
        <v>-1</v>
      </c>
      <c r="T158">
        <v>0</v>
      </c>
      <c r="U158">
        <v>-1</v>
      </c>
      <c r="V158">
        <v>0</v>
      </c>
      <c r="W158" t="s">
        <v>70</v>
      </c>
      <c r="X158">
        <v>0</v>
      </c>
      <c r="Y158">
        <v>0</v>
      </c>
      <c r="Z158">
        <v>1220</v>
      </c>
      <c r="AA158" t="s">
        <v>57</v>
      </c>
      <c r="AB158">
        <v>0</v>
      </c>
      <c r="AC158">
        <v>0</v>
      </c>
      <c r="AD158">
        <v>0</v>
      </c>
      <c r="AE158">
        <v>0</v>
      </c>
      <c r="AF158" t="s">
        <v>68</v>
      </c>
      <c r="AG158">
        <v>0</v>
      </c>
      <c r="AH158">
        <v>0</v>
      </c>
      <c r="AI158">
        <v>0</v>
      </c>
      <c r="AJ158">
        <v>0</v>
      </c>
      <c r="AK158" t="s">
        <v>68</v>
      </c>
      <c r="AL158">
        <v>0</v>
      </c>
      <c r="AM158">
        <v>0</v>
      </c>
      <c r="AN158">
        <v>0</v>
      </c>
      <c r="AO158">
        <v>0</v>
      </c>
      <c r="AP158" t="b">
        <v>0</v>
      </c>
      <c r="AQ158" t="s">
        <v>58</v>
      </c>
      <c r="AR158" t="s">
        <v>58</v>
      </c>
      <c r="AS158" t="s">
        <v>71</v>
      </c>
      <c r="AT158">
        <v>14</v>
      </c>
      <c r="AU158">
        <v>7</v>
      </c>
      <c r="AV158">
        <v>14</v>
      </c>
      <c r="AW158">
        <v>11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s">
        <v>61</v>
      </c>
      <c r="BF158" t="s">
        <v>57</v>
      </c>
      <c r="BG158" t="s">
        <v>55</v>
      </c>
      <c r="BH158" t="s">
        <v>58</v>
      </c>
      <c r="BI158" t="s">
        <v>58</v>
      </c>
    </row>
    <row r="159" spans="1:61" x14ac:dyDescent="0.25">
      <c r="A159" t="str" cm="1">
        <f t="array" ref="A159">_xlfn.IFS(AS159="RegularSeason",C159,AS159&lt;&gt;"RegularSeason",R159)</f>
        <v>00101101010010100000000000100000</v>
      </c>
      <c r="B159" t="str" cm="1">
        <f t="array" ref="B159">_xlfn.IFS(AS159="RegularSeason",D159,AS159&lt;&gt;"RegularSeason",K159)</f>
        <v>00101101010010100000000000011101</v>
      </c>
      <c r="C159" t="str">
        <f t="shared" si="6"/>
        <v>00101101010010100000000000100000</v>
      </c>
      <c r="D159" t="str">
        <f t="shared" si="7"/>
        <v>00101101010010100000000000011101</v>
      </c>
      <c r="E159" t="str" cm="1">
        <f t="array" ref="E159">_xlfn.XLOOKUP(_xlfn.XLOOKUP(G159,New!A:A,New!M:M,NONE),TeamIdentity!A:A,TeamIdentity!C:C,NONE)</f>
        <v>00100000</v>
      </c>
      <c r="F159" t="str" cm="1">
        <f t="array" ref="F159">_xlfn.XLOOKUP(_xlfn.XLOOKUP(G159,New!A:A,New!F:F,NONE),TeamIdentity!A:A,TeamIdentity!C:C,NONE)</f>
        <v>00011101</v>
      </c>
      <c r="G159" t="str">
        <f t="shared" si="8"/>
        <v>8-1</v>
      </c>
      <c r="H159" t="s">
        <v>54</v>
      </c>
      <c r="I159" t="s">
        <v>54</v>
      </c>
      <c r="J159" t="s">
        <v>54</v>
      </c>
      <c r="K159" t="s">
        <v>517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534</v>
      </c>
      <c r="S159">
        <v>-1</v>
      </c>
      <c r="T159">
        <v>0</v>
      </c>
      <c r="U159">
        <v>-1</v>
      </c>
      <c r="V159">
        <v>0</v>
      </c>
      <c r="W159" t="s">
        <v>70</v>
      </c>
      <c r="X159">
        <v>0</v>
      </c>
      <c r="Y159">
        <v>0</v>
      </c>
      <c r="Z159">
        <v>780</v>
      </c>
      <c r="AA159" t="s">
        <v>57</v>
      </c>
      <c r="AB159">
        <v>0</v>
      </c>
      <c r="AC159">
        <v>0</v>
      </c>
      <c r="AD159">
        <v>0</v>
      </c>
      <c r="AE159">
        <v>0</v>
      </c>
      <c r="AF159" t="s">
        <v>67</v>
      </c>
      <c r="AG159">
        <v>0</v>
      </c>
      <c r="AH159">
        <v>0</v>
      </c>
      <c r="AI159">
        <v>0</v>
      </c>
      <c r="AJ159">
        <v>0</v>
      </c>
      <c r="AK159" t="s">
        <v>60</v>
      </c>
      <c r="AL159">
        <v>0</v>
      </c>
      <c r="AM159">
        <v>0</v>
      </c>
      <c r="AN159">
        <v>0</v>
      </c>
      <c r="AO159">
        <v>0</v>
      </c>
      <c r="AP159" t="b">
        <v>0</v>
      </c>
      <c r="AQ159" t="s">
        <v>58</v>
      </c>
      <c r="AR159" t="s">
        <v>58</v>
      </c>
      <c r="AS159" t="s">
        <v>71</v>
      </c>
      <c r="AT159">
        <v>14</v>
      </c>
      <c r="AU159">
        <v>8</v>
      </c>
      <c r="AV159">
        <v>1</v>
      </c>
      <c r="AW159">
        <v>11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s">
        <v>61</v>
      </c>
      <c r="BF159" t="s">
        <v>57</v>
      </c>
      <c r="BG159" t="s">
        <v>55</v>
      </c>
      <c r="BH159" t="s">
        <v>58</v>
      </c>
      <c r="BI159" t="s">
        <v>58</v>
      </c>
    </row>
    <row r="160" spans="1:61" x14ac:dyDescent="0.25">
      <c r="A160" t="str" cm="1">
        <f t="array" ref="A160">_xlfn.IFS(AS160="RegularSeason",C160,AS160&lt;&gt;"RegularSeason",R160)</f>
        <v>00101101010010100000000000000000</v>
      </c>
      <c r="B160" t="str" cm="1">
        <f t="array" ref="B160">_xlfn.IFS(AS160="RegularSeason",D160,AS160&lt;&gt;"RegularSeason",K160)</f>
        <v>00101101010010100000000000001101</v>
      </c>
      <c r="C160" t="str">
        <f t="shared" si="6"/>
        <v>00101101010010100000000000000000</v>
      </c>
      <c r="D160" t="str">
        <f t="shared" si="7"/>
        <v>00101101010010100000000000001101</v>
      </c>
      <c r="E160" t="str" cm="1">
        <f t="array" ref="E160">_xlfn.XLOOKUP(_xlfn.XLOOKUP(G160,New!A:A,New!M:M,NONE),TeamIdentity!A:A,TeamIdentity!C:C,NONE)</f>
        <v>00000000</v>
      </c>
      <c r="F160" t="str" cm="1">
        <f t="array" ref="F160">_xlfn.XLOOKUP(_xlfn.XLOOKUP(G160,New!A:A,New!F:F,NONE),TeamIdentity!A:A,TeamIdentity!C:C,NONE)</f>
        <v>00001101</v>
      </c>
      <c r="G160" t="str">
        <f t="shared" si="8"/>
        <v>6-11</v>
      </c>
      <c r="H160" t="s">
        <v>54</v>
      </c>
      <c r="I160" t="s">
        <v>54</v>
      </c>
      <c r="J160" t="s">
        <v>54</v>
      </c>
      <c r="K160" t="s">
        <v>530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532</v>
      </c>
      <c r="S160">
        <v>-1</v>
      </c>
      <c r="T160">
        <v>0</v>
      </c>
      <c r="U160">
        <v>-1</v>
      </c>
      <c r="V160">
        <v>0</v>
      </c>
      <c r="W160" t="s">
        <v>70</v>
      </c>
      <c r="X160">
        <v>0</v>
      </c>
      <c r="Y160">
        <v>0</v>
      </c>
      <c r="Z160">
        <v>1230</v>
      </c>
      <c r="AA160" t="s">
        <v>57</v>
      </c>
      <c r="AB160">
        <v>0</v>
      </c>
      <c r="AC160">
        <v>0</v>
      </c>
      <c r="AD160">
        <v>0</v>
      </c>
      <c r="AE160">
        <v>0</v>
      </c>
      <c r="AF160" t="s">
        <v>65</v>
      </c>
      <c r="AG160">
        <v>0</v>
      </c>
      <c r="AH160">
        <v>0</v>
      </c>
      <c r="AI160">
        <v>0</v>
      </c>
      <c r="AJ160">
        <v>0</v>
      </c>
      <c r="AK160" t="s">
        <v>65</v>
      </c>
      <c r="AL160">
        <v>0</v>
      </c>
      <c r="AM160">
        <v>0</v>
      </c>
      <c r="AN160">
        <v>0</v>
      </c>
      <c r="AO160">
        <v>0</v>
      </c>
      <c r="AP160" t="b">
        <v>0</v>
      </c>
      <c r="AQ160" t="s">
        <v>58</v>
      </c>
      <c r="AR160" t="s">
        <v>58</v>
      </c>
      <c r="AS160" t="s">
        <v>71</v>
      </c>
      <c r="AT160">
        <v>14</v>
      </c>
      <c r="AU160">
        <v>6</v>
      </c>
      <c r="AV160">
        <v>11</v>
      </c>
      <c r="AW160">
        <v>11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s">
        <v>61</v>
      </c>
      <c r="BF160" t="s">
        <v>57</v>
      </c>
      <c r="BG160" t="s">
        <v>55</v>
      </c>
      <c r="BH160" t="s">
        <v>58</v>
      </c>
      <c r="BI160" t="s">
        <v>58</v>
      </c>
    </row>
    <row r="161" spans="1:61" x14ac:dyDescent="0.25">
      <c r="A161" t="str" cm="1">
        <f t="array" ref="A161">_xlfn.IFS(AS161="RegularSeason",C161,AS161&lt;&gt;"RegularSeason",R161)</f>
        <v>00101101010010100000000000100000</v>
      </c>
      <c r="B161" t="str" cm="1">
        <f t="array" ref="B161">_xlfn.IFS(AS161="RegularSeason",D161,AS161&lt;&gt;"RegularSeason",K161)</f>
        <v>00101101010010100000000000000101</v>
      </c>
      <c r="C161" t="str">
        <f t="shared" si="6"/>
        <v>00101101010010100000000000100000</v>
      </c>
      <c r="D161" t="str">
        <f t="shared" si="7"/>
        <v>00101101010010100000000000000101</v>
      </c>
      <c r="E161" t="str" cm="1">
        <f t="array" ref="E161">_xlfn.XLOOKUP(_xlfn.XLOOKUP(G161,New!A:A,New!M:M,NONE),TeamIdentity!A:A,TeamIdentity!C:C,NONE)</f>
        <v>00100000</v>
      </c>
      <c r="F161" t="str" cm="1">
        <f t="array" ref="F161">_xlfn.XLOOKUP(_xlfn.XLOOKUP(G161,New!A:A,New!F:F,NONE),TeamIdentity!A:A,TeamIdentity!C:C,NONE)</f>
        <v>00000101</v>
      </c>
      <c r="G161" t="str">
        <f t="shared" si="8"/>
        <v>6-9</v>
      </c>
      <c r="H161" t="s">
        <v>54</v>
      </c>
      <c r="I161" t="s">
        <v>54</v>
      </c>
      <c r="J161" t="s">
        <v>54</v>
      </c>
      <c r="K161" t="s">
        <v>513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538</v>
      </c>
      <c r="S161">
        <v>-1</v>
      </c>
      <c r="T161">
        <v>0</v>
      </c>
      <c r="U161">
        <v>-1</v>
      </c>
      <c r="V161">
        <v>0</v>
      </c>
      <c r="W161" t="s">
        <v>70</v>
      </c>
      <c r="X161">
        <v>0</v>
      </c>
      <c r="Y161">
        <v>0</v>
      </c>
      <c r="Z161">
        <v>975</v>
      </c>
      <c r="AA161" t="s">
        <v>57</v>
      </c>
      <c r="AB161">
        <v>0</v>
      </c>
      <c r="AC161">
        <v>0</v>
      </c>
      <c r="AD161">
        <v>0</v>
      </c>
      <c r="AE161">
        <v>0</v>
      </c>
      <c r="AF161" t="s">
        <v>67</v>
      </c>
      <c r="AG161">
        <v>0</v>
      </c>
      <c r="AH161">
        <v>0</v>
      </c>
      <c r="AI161">
        <v>0</v>
      </c>
      <c r="AJ161">
        <v>0</v>
      </c>
      <c r="AK161" t="s">
        <v>60</v>
      </c>
      <c r="AL161">
        <v>0</v>
      </c>
      <c r="AM161">
        <v>0</v>
      </c>
      <c r="AN161">
        <v>0</v>
      </c>
      <c r="AO161">
        <v>0</v>
      </c>
      <c r="AP161" t="b">
        <v>0</v>
      </c>
      <c r="AQ161" t="s">
        <v>58</v>
      </c>
      <c r="AR161" t="s">
        <v>58</v>
      </c>
      <c r="AS161" t="s">
        <v>71</v>
      </c>
      <c r="AT161">
        <v>14</v>
      </c>
      <c r="AU161">
        <v>6</v>
      </c>
      <c r="AV161">
        <v>9</v>
      </c>
      <c r="AW161">
        <v>11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s">
        <v>61</v>
      </c>
      <c r="BF161" t="s">
        <v>57</v>
      </c>
      <c r="BG161" t="s">
        <v>55</v>
      </c>
      <c r="BH161" t="s">
        <v>58</v>
      </c>
      <c r="BI161" t="s">
        <v>58</v>
      </c>
    </row>
    <row r="162" spans="1:61" x14ac:dyDescent="0.25">
      <c r="A162" t="str" cm="1">
        <f t="array" ref="A162">_xlfn.IFS(AS162="RegularSeason",C162,AS162&lt;&gt;"RegularSeason",R162)</f>
        <v>00101101010010100000000000011011</v>
      </c>
      <c r="B162" t="str" cm="1">
        <f t="array" ref="B162">_xlfn.IFS(AS162="RegularSeason",D162,AS162&lt;&gt;"RegularSeason",K162)</f>
        <v>00101101010010100000000000011100</v>
      </c>
      <c r="C162" t="str">
        <f t="shared" si="6"/>
        <v>00101101010010100000000000011011</v>
      </c>
      <c r="D162" t="str">
        <f t="shared" si="7"/>
        <v>00101101010010100000000000011100</v>
      </c>
      <c r="E162" t="str" cm="1">
        <f t="array" ref="E162">_xlfn.XLOOKUP(_xlfn.XLOOKUP(G162,New!A:A,New!M:M,NONE),TeamIdentity!A:A,TeamIdentity!C:C,NONE)</f>
        <v>00011011</v>
      </c>
      <c r="F162" t="str" cm="1">
        <f t="array" ref="F162">_xlfn.XLOOKUP(_xlfn.XLOOKUP(G162,New!A:A,New!F:F,NONE),TeamIdentity!A:A,TeamIdentity!C:C,NONE)</f>
        <v>00011100</v>
      </c>
      <c r="G162" t="str">
        <f t="shared" si="8"/>
        <v>7-9</v>
      </c>
      <c r="H162" t="s">
        <v>54</v>
      </c>
      <c r="I162" t="s">
        <v>54</v>
      </c>
      <c r="J162" t="s">
        <v>54</v>
      </c>
      <c r="K162" t="s">
        <v>538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527</v>
      </c>
      <c r="S162">
        <v>-1</v>
      </c>
      <c r="T162">
        <v>0</v>
      </c>
      <c r="U162">
        <v>-1</v>
      </c>
      <c r="V162">
        <v>0</v>
      </c>
      <c r="W162" t="s">
        <v>70</v>
      </c>
      <c r="X162">
        <v>0</v>
      </c>
      <c r="Y162">
        <v>0</v>
      </c>
      <c r="Z162">
        <v>975</v>
      </c>
      <c r="AA162" t="s">
        <v>57</v>
      </c>
      <c r="AB162">
        <v>0</v>
      </c>
      <c r="AC162">
        <v>0</v>
      </c>
      <c r="AD162">
        <v>0</v>
      </c>
      <c r="AE162">
        <v>0</v>
      </c>
      <c r="AF162" t="s">
        <v>67</v>
      </c>
      <c r="AG162">
        <v>0</v>
      </c>
      <c r="AH162">
        <v>0</v>
      </c>
      <c r="AI162">
        <v>0</v>
      </c>
      <c r="AJ162">
        <v>0</v>
      </c>
      <c r="AK162" t="s">
        <v>60</v>
      </c>
      <c r="AL162">
        <v>0</v>
      </c>
      <c r="AM162">
        <v>0</v>
      </c>
      <c r="AN162">
        <v>0</v>
      </c>
      <c r="AO162">
        <v>0</v>
      </c>
      <c r="AP162" t="b">
        <v>0</v>
      </c>
      <c r="AQ162" t="s">
        <v>58</v>
      </c>
      <c r="AR162" t="s">
        <v>58</v>
      </c>
      <c r="AS162" t="s">
        <v>71</v>
      </c>
      <c r="AT162">
        <v>14</v>
      </c>
      <c r="AU162">
        <v>7</v>
      </c>
      <c r="AV162">
        <v>9</v>
      </c>
      <c r="AW162">
        <v>11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s">
        <v>61</v>
      </c>
      <c r="BF162" t="s">
        <v>57</v>
      </c>
      <c r="BG162" t="s">
        <v>55</v>
      </c>
      <c r="BH162" t="s">
        <v>58</v>
      </c>
      <c r="BI162" t="s">
        <v>58</v>
      </c>
    </row>
    <row r="163" spans="1:61" x14ac:dyDescent="0.25">
      <c r="A163" t="str" cm="1">
        <f t="array" ref="A163">_xlfn.IFS(AS163="RegularSeason",C163,AS163&lt;&gt;"RegularSeason",R163)</f>
        <v>00101101010010100000000000001010</v>
      </c>
      <c r="B163" t="str" cm="1">
        <f t="array" ref="B163">_xlfn.IFS(AS163="RegularSeason",D163,AS163&lt;&gt;"RegularSeason",K163)</f>
        <v>00101101010010100000000000011001</v>
      </c>
      <c r="C163" t="str">
        <f t="shared" si="6"/>
        <v>00101101010010100000000000001010</v>
      </c>
      <c r="D163" t="str">
        <f t="shared" si="7"/>
        <v>00101101010010100000000000011001</v>
      </c>
      <c r="E163" t="str" cm="1">
        <f t="array" ref="E163">_xlfn.XLOOKUP(_xlfn.XLOOKUP(G163,New!A:A,New!M:M,NONE),TeamIdentity!A:A,TeamIdentity!C:C,NONE)</f>
        <v>00001010</v>
      </c>
      <c r="F163" t="str" cm="1">
        <f t="array" ref="F163">_xlfn.XLOOKUP(_xlfn.XLOOKUP(G163,New!A:A,New!F:F,NONE),TeamIdentity!A:A,TeamIdentity!C:C,NONE)</f>
        <v>00011001</v>
      </c>
      <c r="G163" t="str">
        <f t="shared" si="8"/>
        <v>5-6</v>
      </c>
      <c r="H163" t="s">
        <v>54</v>
      </c>
      <c r="I163" t="s">
        <v>54</v>
      </c>
      <c r="J163" t="s">
        <v>54</v>
      </c>
      <c r="K163" t="s">
        <v>528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523</v>
      </c>
      <c r="S163">
        <v>-1</v>
      </c>
      <c r="T163">
        <v>0</v>
      </c>
      <c r="U163">
        <v>-1</v>
      </c>
      <c r="V163">
        <v>0</v>
      </c>
      <c r="W163" t="s">
        <v>70</v>
      </c>
      <c r="X163">
        <v>0</v>
      </c>
      <c r="Y163">
        <v>0</v>
      </c>
      <c r="Z163">
        <v>780</v>
      </c>
      <c r="AA163" t="s">
        <v>57</v>
      </c>
      <c r="AB163">
        <v>0</v>
      </c>
      <c r="AC163">
        <v>0</v>
      </c>
      <c r="AD163">
        <v>0</v>
      </c>
      <c r="AE163">
        <v>0</v>
      </c>
      <c r="AF163" t="s">
        <v>67</v>
      </c>
      <c r="AG163">
        <v>0</v>
      </c>
      <c r="AH163">
        <v>0</v>
      </c>
      <c r="AI163">
        <v>0</v>
      </c>
      <c r="AJ163">
        <v>0</v>
      </c>
      <c r="AK163" t="s">
        <v>60</v>
      </c>
      <c r="AL163">
        <v>0</v>
      </c>
      <c r="AM163">
        <v>0</v>
      </c>
      <c r="AN163">
        <v>0</v>
      </c>
      <c r="AO163">
        <v>0</v>
      </c>
      <c r="AP163" t="b">
        <v>0</v>
      </c>
      <c r="AQ163" t="s">
        <v>58</v>
      </c>
      <c r="AR163" t="s">
        <v>58</v>
      </c>
      <c r="AS163" t="s">
        <v>71</v>
      </c>
      <c r="AT163">
        <v>14</v>
      </c>
      <c r="AU163">
        <v>5</v>
      </c>
      <c r="AV163">
        <v>6</v>
      </c>
      <c r="AW163">
        <v>11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s">
        <v>61</v>
      </c>
      <c r="BF163" t="s">
        <v>57</v>
      </c>
      <c r="BG163" t="s">
        <v>55</v>
      </c>
      <c r="BH163" t="s">
        <v>58</v>
      </c>
      <c r="BI163" t="s">
        <v>58</v>
      </c>
    </row>
    <row r="164" spans="1:61" x14ac:dyDescent="0.25">
      <c r="A164" t="str" cm="1">
        <f t="array" ref="A164">_xlfn.IFS(AS164="RegularSeason",C164,AS164&lt;&gt;"RegularSeason",R164)</f>
        <v>00101101010010100000000000100010</v>
      </c>
      <c r="B164" t="str" cm="1">
        <f t="array" ref="B164">_xlfn.IFS(AS164="RegularSeason",D164,AS164&lt;&gt;"RegularSeason",K164)</f>
        <v>00101101010010100000000000000110</v>
      </c>
      <c r="C164" t="str">
        <f t="shared" si="6"/>
        <v>00101101010010100000000000100010</v>
      </c>
      <c r="D164" t="str">
        <f t="shared" si="7"/>
        <v>00101101010010100000000000000110</v>
      </c>
      <c r="E164" t="str" cm="1">
        <f t="array" ref="E164">_xlfn.XLOOKUP(_xlfn.XLOOKUP(G164,New!A:A,New!M:M,NONE),TeamIdentity!A:A,TeamIdentity!C:C,NONE)</f>
        <v>00100010</v>
      </c>
      <c r="F164" t="str" cm="1">
        <f t="array" ref="F164">_xlfn.XLOOKUP(_xlfn.XLOOKUP(G164,New!A:A,New!F:F,NONE),TeamIdentity!A:A,TeamIdentity!C:C,NONE)</f>
        <v>00000110</v>
      </c>
      <c r="G164" t="str">
        <f t="shared" si="8"/>
        <v>7-3</v>
      </c>
      <c r="H164" t="s">
        <v>54</v>
      </c>
      <c r="I164" t="s">
        <v>54</v>
      </c>
      <c r="J164" t="s">
        <v>54</v>
      </c>
      <c r="K164" t="s">
        <v>524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515</v>
      </c>
      <c r="S164">
        <v>-1</v>
      </c>
      <c r="T164">
        <v>0</v>
      </c>
      <c r="U164">
        <v>-1</v>
      </c>
      <c r="V164">
        <v>0</v>
      </c>
      <c r="W164" t="s">
        <v>70</v>
      </c>
      <c r="X164">
        <v>0</v>
      </c>
      <c r="Y164">
        <v>0</v>
      </c>
      <c r="Z164">
        <v>780</v>
      </c>
      <c r="AA164" t="s">
        <v>57</v>
      </c>
      <c r="AB164">
        <v>0</v>
      </c>
      <c r="AC164">
        <v>0</v>
      </c>
      <c r="AD164">
        <v>0</v>
      </c>
      <c r="AE164">
        <v>0</v>
      </c>
      <c r="AF164" t="s">
        <v>67</v>
      </c>
      <c r="AG164">
        <v>0</v>
      </c>
      <c r="AH164">
        <v>0</v>
      </c>
      <c r="AI164">
        <v>0</v>
      </c>
      <c r="AJ164">
        <v>0</v>
      </c>
      <c r="AK164" t="s">
        <v>60</v>
      </c>
      <c r="AL164">
        <v>0</v>
      </c>
      <c r="AM164">
        <v>0</v>
      </c>
      <c r="AN164">
        <v>0</v>
      </c>
      <c r="AO164">
        <v>0</v>
      </c>
      <c r="AP164" t="b">
        <v>0</v>
      </c>
      <c r="AQ164" t="s">
        <v>58</v>
      </c>
      <c r="AR164" t="s">
        <v>58</v>
      </c>
      <c r="AS164" t="s">
        <v>71</v>
      </c>
      <c r="AT164">
        <v>14</v>
      </c>
      <c r="AU164">
        <v>7</v>
      </c>
      <c r="AV164">
        <v>3</v>
      </c>
      <c r="AW164">
        <v>11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s">
        <v>61</v>
      </c>
      <c r="BF164" t="s">
        <v>57</v>
      </c>
      <c r="BG164" t="s">
        <v>55</v>
      </c>
      <c r="BH164" t="s">
        <v>58</v>
      </c>
      <c r="BI164" t="s">
        <v>58</v>
      </c>
    </row>
    <row r="165" spans="1:61" x14ac:dyDescent="0.25">
      <c r="A165" t="str" cm="1">
        <f t="array" ref="A165">_xlfn.IFS(AS165="RegularSeason",C165,AS165&lt;&gt;"RegularSeason",R165)</f>
        <v>00101101010010100000000000100000</v>
      </c>
      <c r="B165" t="str" cm="1">
        <f t="array" ref="B165">_xlfn.IFS(AS165="RegularSeason",D165,AS165&lt;&gt;"RegularSeason",K165)</f>
        <v>00101101010010100000000000010011</v>
      </c>
      <c r="C165" t="str">
        <f t="shared" si="6"/>
        <v>00101101010010100000000000100000</v>
      </c>
      <c r="D165" t="str">
        <f t="shared" si="7"/>
        <v>00101101010010100000000000010011</v>
      </c>
      <c r="E165" t="str" cm="1">
        <f t="array" ref="E165">_xlfn.XLOOKUP(_xlfn.XLOOKUP(G165,New!A:A,New!M:M,NONE),TeamIdentity!A:A,TeamIdentity!C:C,NONE)</f>
        <v>00100000</v>
      </c>
      <c r="F165" t="str" cm="1">
        <f t="array" ref="F165">_xlfn.XLOOKUP(_xlfn.XLOOKUP(G165,New!A:A,New!F:F,NONE),TeamIdentity!A:A,TeamIdentity!C:C,NONE)</f>
        <v>00010011</v>
      </c>
      <c r="G165" t="str">
        <f t="shared" si="8"/>
        <v>7-13</v>
      </c>
      <c r="H165" t="s">
        <v>54</v>
      </c>
      <c r="I165" t="s">
        <v>54</v>
      </c>
      <c r="J165" t="s">
        <v>54</v>
      </c>
      <c r="K165" t="s">
        <v>536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531</v>
      </c>
      <c r="S165">
        <v>-1</v>
      </c>
      <c r="T165">
        <v>0</v>
      </c>
      <c r="U165">
        <v>-1</v>
      </c>
      <c r="V165">
        <v>0</v>
      </c>
      <c r="W165" t="s">
        <v>70</v>
      </c>
      <c r="X165">
        <v>0</v>
      </c>
      <c r="Y165">
        <v>0</v>
      </c>
      <c r="Z165">
        <v>1230</v>
      </c>
      <c r="AA165" t="s">
        <v>57</v>
      </c>
      <c r="AB165">
        <v>0</v>
      </c>
      <c r="AC165">
        <v>0</v>
      </c>
      <c r="AD165">
        <v>0</v>
      </c>
      <c r="AE165">
        <v>0</v>
      </c>
      <c r="AF165" t="s">
        <v>65</v>
      </c>
      <c r="AG165">
        <v>0</v>
      </c>
      <c r="AH165">
        <v>0</v>
      </c>
      <c r="AI165">
        <v>0</v>
      </c>
      <c r="AJ165">
        <v>0</v>
      </c>
      <c r="AK165" t="s">
        <v>65</v>
      </c>
      <c r="AL165">
        <v>0</v>
      </c>
      <c r="AM165">
        <v>0</v>
      </c>
      <c r="AN165">
        <v>0</v>
      </c>
      <c r="AO165">
        <v>0</v>
      </c>
      <c r="AP165" t="b">
        <v>0</v>
      </c>
      <c r="AQ165" t="s">
        <v>58</v>
      </c>
      <c r="AR165" t="s">
        <v>58</v>
      </c>
      <c r="AS165" t="s">
        <v>71</v>
      </c>
      <c r="AT165">
        <v>14</v>
      </c>
      <c r="AU165">
        <v>7</v>
      </c>
      <c r="AV165">
        <v>13</v>
      </c>
      <c r="AW165">
        <v>11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s">
        <v>61</v>
      </c>
      <c r="BF165" t="s">
        <v>57</v>
      </c>
      <c r="BG165" t="s">
        <v>55</v>
      </c>
      <c r="BH165" t="s">
        <v>58</v>
      </c>
      <c r="BI165" t="s">
        <v>58</v>
      </c>
    </row>
    <row r="166" spans="1:61" x14ac:dyDescent="0.25">
      <c r="A166" t="str" cm="1">
        <f t="array" ref="A166">_xlfn.IFS(AS166="RegularSeason",C166,AS166&lt;&gt;"RegularSeason",R166)</f>
        <v>00101101010010100000000000100011</v>
      </c>
      <c r="B166" t="str" cm="1">
        <f t="array" ref="B166">_xlfn.IFS(AS166="RegularSeason",D166,AS166&lt;&gt;"RegularSeason",K166)</f>
        <v>00101101010010100000000000001100</v>
      </c>
      <c r="C166" t="str">
        <f t="shared" si="6"/>
        <v>00101101010010100000000000100011</v>
      </c>
      <c r="D166" t="str">
        <f t="shared" si="7"/>
        <v>00101101010010100000000000001100</v>
      </c>
      <c r="E166" t="str" cm="1">
        <f t="array" ref="E166">_xlfn.XLOOKUP(_xlfn.XLOOKUP(G166,New!A:A,New!M:M,NONE),TeamIdentity!A:A,TeamIdentity!C:C,NONE)</f>
        <v>00100011</v>
      </c>
      <c r="F166" t="str" cm="1">
        <f t="array" ref="F166">_xlfn.XLOOKUP(_xlfn.XLOOKUP(G166,New!A:A,New!F:F,NONE),TeamIdentity!A:A,TeamIdentity!C:C,NONE)</f>
        <v>00001100</v>
      </c>
      <c r="G166" t="str">
        <f t="shared" si="8"/>
        <v>7-4</v>
      </c>
      <c r="H166" t="s">
        <v>54</v>
      </c>
      <c r="I166" t="s">
        <v>54</v>
      </c>
      <c r="J166" t="s">
        <v>54</v>
      </c>
      <c r="K166" t="s">
        <v>534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522</v>
      </c>
      <c r="S166">
        <v>-1</v>
      </c>
      <c r="T166">
        <v>0</v>
      </c>
      <c r="U166">
        <v>-1</v>
      </c>
      <c r="V166">
        <v>0</v>
      </c>
      <c r="W166" t="s">
        <v>70</v>
      </c>
      <c r="X166">
        <v>0</v>
      </c>
      <c r="Y166">
        <v>0</v>
      </c>
      <c r="Z166">
        <v>780</v>
      </c>
      <c r="AA166" t="s">
        <v>57</v>
      </c>
      <c r="AB166">
        <v>0</v>
      </c>
      <c r="AC166">
        <v>0</v>
      </c>
      <c r="AD166">
        <v>0</v>
      </c>
      <c r="AE166">
        <v>0</v>
      </c>
      <c r="AF166" t="s">
        <v>67</v>
      </c>
      <c r="AG166">
        <v>0</v>
      </c>
      <c r="AH166">
        <v>0</v>
      </c>
      <c r="AI166">
        <v>0</v>
      </c>
      <c r="AJ166">
        <v>0</v>
      </c>
      <c r="AK166" t="s">
        <v>60</v>
      </c>
      <c r="AL166">
        <v>0</v>
      </c>
      <c r="AM166">
        <v>0</v>
      </c>
      <c r="AN166">
        <v>0</v>
      </c>
      <c r="AO166">
        <v>0</v>
      </c>
      <c r="AP166" t="b">
        <v>0</v>
      </c>
      <c r="AQ166" t="s">
        <v>58</v>
      </c>
      <c r="AR166" t="s">
        <v>58</v>
      </c>
      <c r="AS166" t="s">
        <v>71</v>
      </c>
      <c r="AT166">
        <v>14</v>
      </c>
      <c r="AU166">
        <v>7</v>
      </c>
      <c r="AV166">
        <v>4</v>
      </c>
      <c r="AW166">
        <v>11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s">
        <v>61</v>
      </c>
      <c r="BF166" t="s">
        <v>57</v>
      </c>
      <c r="BG166" t="s">
        <v>55</v>
      </c>
      <c r="BH166" t="s">
        <v>58</v>
      </c>
      <c r="BI166" t="s">
        <v>58</v>
      </c>
    </row>
    <row r="167" spans="1:61" x14ac:dyDescent="0.25">
      <c r="A167" t="str" cm="1">
        <f t="array" ref="A167">_xlfn.IFS(AS167="RegularSeason",C167,AS167&lt;&gt;"RegularSeason",R167)</f>
        <v>00101101010010100000000000001110</v>
      </c>
      <c r="B167" t="str" cm="1">
        <f t="array" ref="B167">_xlfn.IFS(AS167="RegularSeason",D167,AS167&lt;&gt;"RegularSeason",K167)</f>
        <v>00101101010010100000000000011111</v>
      </c>
      <c r="C167" t="str">
        <f t="shared" si="6"/>
        <v>00101101010010100000000000001110</v>
      </c>
      <c r="D167" t="str">
        <f t="shared" si="7"/>
        <v>00101101010010100000000000011111</v>
      </c>
      <c r="E167" t="str" cm="1">
        <f t="array" ref="E167">_xlfn.XLOOKUP(_xlfn.XLOOKUP(G167,New!A:A,New!M:M,NONE),TeamIdentity!A:A,TeamIdentity!C:C,NONE)</f>
        <v>00001110</v>
      </c>
      <c r="F167" t="str" cm="1">
        <f t="array" ref="F167">_xlfn.XLOOKUP(_xlfn.XLOOKUP(G167,New!A:A,New!F:F,NONE),TeamIdentity!A:A,TeamIdentity!C:C,NONE)</f>
        <v>00011111</v>
      </c>
      <c r="G167" t="str">
        <f t="shared" si="8"/>
        <v>8-2</v>
      </c>
      <c r="H167" t="s">
        <v>54</v>
      </c>
      <c r="I167" t="s">
        <v>54</v>
      </c>
      <c r="J167" t="s">
        <v>54</v>
      </c>
      <c r="K167" t="s">
        <v>528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526</v>
      </c>
      <c r="S167">
        <v>-1</v>
      </c>
      <c r="T167">
        <v>0</v>
      </c>
      <c r="U167">
        <v>-1</v>
      </c>
      <c r="V167">
        <v>0</v>
      </c>
      <c r="W167" t="s">
        <v>70</v>
      </c>
      <c r="X167">
        <v>0</v>
      </c>
      <c r="Y167">
        <v>0</v>
      </c>
      <c r="Z167">
        <v>780</v>
      </c>
      <c r="AA167" t="s">
        <v>57</v>
      </c>
      <c r="AB167">
        <v>0</v>
      </c>
      <c r="AC167">
        <v>0</v>
      </c>
      <c r="AD167">
        <v>0</v>
      </c>
      <c r="AE167">
        <v>0</v>
      </c>
      <c r="AF167" t="s">
        <v>67</v>
      </c>
      <c r="AG167">
        <v>0</v>
      </c>
      <c r="AH167">
        <v>0</v>
      </c>
      <c r="AI167">
        <v>0</v>
      </c>
      <c r="AJ167">
        <v>0</v>
      </c>
      <c r="AK167" t="s">
        <v>60</v>
      </c>
      <c r="AL167">
        <v>0</v>
      </c>
      <c r="AM167">
        <v>0</v>
      </c>
      <c r="AN167">
        <v>0</v>
      </c>
      <c r="AO167">
        <v>0</v>
      </c>
      <c r="AP167" t="b">
        <v>0</v>
      </c>
      <c r="AQ167" t="s">
        <v>58</v>
      </c>
      <c r="AR167" t="s">
        <v>58</v>
      </c>
      <c r="AS167" t="s">
        <v>71</v>
      </c>
      <c r="AT167">
        <v>14</v>
      </c>
      <c r="AU167">
        <v>8</v>
      </c>
      <c r="AV167">
        <v>2</v>
      </c>
      <c r="AW167">
        <v>11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s">
        <v>61</v>
      </c>
      <c r="BF167" t="s">
        <v>57</v>
      </c>
      <c r="BG167" t="s">
        <v>55</v>
      </c>
      <c r="BH167" t="s">
        <v>58</v>
      </c>
      <c r="BI167" t="s">
        <v>58</v>
      </c>
    </row>
    <row r="168" spans="1:61" x14ac:dyDescent="0.25">
      <c r="A168" t="str" cm="1">
        <f t="array" ref="A168">_xlfn.IFS(AS168="RegularSeason",C168,AS168&lt;&gt;"RegularSeason",R168)</f>
        <v>00101101010010100000000000000000</v>
      </c>
      <c r="B168" t="str" cm="1">
        <f t="array" ref="B168">_xlfn.IFS(AS168="RegularSeason",D168,AS168&lt;&gt;"RegularSeason",K168)</f>
        <v>00101101010010100000000000001110</v>
      </c>
      <c r="C168" t="str">
        <f t="shared" si="6"/>
        <v>00101101010010100000000000000000</v>
      </c>
      <c r="D168" t="str">
        <f t="shared" si="7"/>
        <v>00101101010010100000000000001110</v>
      </c>
      <c r="E168" t="str" cm="1">
        <f t="array" ref="E168">_xlfn.XLOOKUP(_xlfn.XLOOKUP(G168,New!A:A,New!M:M,NONE),TeamIdentity!A:A,TeamIdentity!C:C,NONE)</f>
        <v>00000000</v>
      </c>
      <c r="F168" t="str" cm="1">
        <f t="array" ref="F168">_xlfn.XLOOKUP(_xlfn.XLOOKUP(G168,New!A:A,New!F:F,NONE),TeamIdentity!A:A,TeamIdentity!C:C,NONE)</f>
        <v>00001110</v>
      </c>
      <c r="G168" t="str">
        <f t="shared" si="8"/>
        <v>7-5</v>
      </c>
      <c r="H168" t="s">
        <v>54</v>
      </c>
      <c r="I168" t="s">
        <v>54</v>
      </c>
      <c r="J168" t="s">
        <v>54</v>
      </c>
      <c r="K168" t="s">
        <v>513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511</v>
      </c>
      <c r="S168">
        <v>-1</v>
      </c>
      <c r="T168">
        <v>0</v>
      </c>
      <c r="U168">
        <v>-1</v>
      </c>
      <c r="V168">
        <v>0</v>
      </c>
      <c r="W168" t="s">
        <v>70</v>
      </c>
      <c r="X168">
        <v>0</v>
      </c>
      <c r="Y168">
        <v>0</v>
      </c>
      <c r="Z168">
        <v>780</v>
      </c>
      <c r="AA168" t="s">
        <v>57</v>
      </c>
      <c r="AB168">
        <v>0</v>
      </c>
      <c r="AC168">
        <v>0</v>
      </c>
      <c r="AD168">
        <v>0</v>
      </c>
      <c r="AE168">
        <v>0</v>
      </c>
      <c r="AF168" t="s">
        <v>67</v>
      </c>
      <c r="AG168">
        <v>0</v>
      </c>
      <c r="AH168">
        <v>0</v>
      </c>
      <c r="AI168">
        <v>0</v>
      </c>
      <c r="AJ168">
        <v>0</v>
      </c>
      <c r="AK168" t="s">
        <v>60</v>
      </c>
      <c r="AL168">
        <v>0</v>
      </c>
      <c r="AM168">
        <v>0</v>
      </c>
      <c r="AN168">
        <v>0</v>
      </c>
      <c r="AO168">
        <v>0</v>
      </c>
      <c r="AP168" t="b">
        <v>0</v>
      </c>
      <c r="AQ168" t="s">
        <v>58</v>
      </c>
      <c r="AR168" t="s">
        <v>58</v>
      </c>
      <c r="AS168" t="s">
        <v>71</v>
      </c>
      <c r="AT168">
        <v>14</v>
      </c>
      <c r="AU168">
        <v>7</v>
      </c>
      <c r="AV168">
        <v>5</v>
      </c>
      <c r="AW168">
        <v>11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s">
        <v>61</v>
      </c>
      <c r="BF168" t="s">
        <v>57</v>
      </c>
      <c r="BG168" t="s">
        <v>55</v>
      </c>
      <c r="BH168" t="s">
        <v>58</v>
      </c>
      <c r="BI168" t="s">
        <v>58</v>
      </c>
    </row>
    <row r="169" spans="1:61" x14ac:dyDescent="0.25">
      <c r="A169" t="str" cm="1">
        <f t="array" ref="A169">_xlfn.IFS(AS169="RegularSeason",C169,AS169&lt;&gt;"RegularSeason",R169)</f>
        <v>00101101010010100000000000010011</v>
      </c>
      <c r="B169" t="str" cm="1">
        <f t="array" ref="B169">_xlfn.IFS(AS169="RegularSeason",D169,AS169&lt;&gt;"RegularSeason",K169)</f>
        <v>00101101010010100000000000010000</v>
      </c>
      <c r="C169" t="str">
        <f t="shared" si="6"/>
        <v>00101101010010100000000000010011</v>
      </c>
      <c r="D169" t="str">
        <f t="shared" si="7"/>
        <v>00101101010010100000000000010000</v>
      </c>
      <c r="E169" t="str" cm="1">
        <f t="array" ref="E169">_xlfn.XLOOKUP(_xlfn.XLOOKUP(G169,New!A:A,New!M:M,NONE),TeamIdentity!A:A,TeamIdentity!C:C,NONE)</f>
        <v>00010011</v>
      </c>
      <c r="F169" t="str" cm="1">
        <f t="array" ref="F169">_xlfn.XLOOKUP(_xlfn.XLOOKUP(G169,New!A:A,New!F:F,NONE),TeamIdentity!A:A,TeamIdentity!C:C,NONE)</f>
        <v>00010000</v>
      </c>
      <c r="G169" t="str">
        <f t="shared" si="8"/>
        <v>8-11</v>
      </c>
      <c r="H169" t="s">
        <v>54</v>
      </c>
      <c r="I169" t="s">
        <v>54</v>
      </c>
      <c r="J169" t="s">
        <v>54</v>
      </c>
      <c r="K169" t="s">
        <v>518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532</v>
      </c>
      <c r="S169">
        <v>-1</v>
      </c>
      <c r="T169">
        <v>0</v>
      </c>
      <c r="U169">
        <v>-1</v>
      </c>
      <c r="V169">
        <v>0</v>
      </c>
      <c r="W169" t="s">
        <v>70</v>
      </c>
      <c r="X169">
        <v>0</v>
      </c>
      <c r="Y169">
        <v>0</v>
      </c>
      <c r="Z169">
        <v>1220</v>
      </c>
      <c r="AA169" t="s">
        <v>57</v>
      </c>
      <c r="AB169">
        <v>0</v>
      </c>
      <c r="AC169">
        <v>0</v>
      </c>
      <c r="AD169">
        <v>0</v>
      </c>
      <c r="AE169">
        <v>0</v>
      </c>
      <c r="AF169" t="s">
        <v>60</v>
      </c>
      <c r="AG169">
        <v>0</v>
      </c>
      <c r="AH169">
        <v>0</v>
      </c>
      <c r="AI169">
        <v>0</v>
      </c>
      <c r="AJ169">
        <v>0</v>
      </c>
      <c r="AK169" t="s">
        <v>60</v>
      </c>
      <c r="AL169">
        <v>0</v>
      </c>
      <c r="AM169">
        <v>0</v>
      </c>
      <c r="AN169">
        <v>0</v>
      </c>
      <c r="AO169">
        <v>0</v>
      </c>
      <c r="AP169" t="b">
        <v>0</v>
      </c>
      <c r="AQ169" t="s">
        <v>58</v>
      </c>
      <c r="AR169" t="s">
        <v>58</v>
      </c>
      <c r="AS169" t="s">
        <v>71</v>
      </c>
      <c r="AT169">
        <v>14</v>
      </c>
      <c r="AU169">
        <v>8</v>
      </c>
      <c r="AV169">
        <v>11</v>
      </c>
      <c r="AW169">
        <v>11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s">
        <v>61</v>
      </c>
      <c r="BF169" t="s">
        <v>57</v>
      </c>
      <c r="BG169" t="s">
        <v>55</v>
      </c>
      <c r="BH169" t="s">
        <v>58</v>
      </c>
      <c r="BI169" t="s">
        <v>58</v>
      </c>
    </row>
    <row r="170" spans="1:61" x14ac:dyDescent="0.25">
      <c r="A170" t="str" cm="1">
        <f t="array" ref="A170">_xlfn.IFS(AS170="RegularSeason",C170,AS170&lt;&gt;"RegularSeason",R170)</f>
        <v>00101101010010100000000000010111</v>
      </c>
      <c r="B170" t="str" cm="1">
        <f t="array" ref="B170">_xlfn.IFS(AS170="RegularSeason",D170,AS170&lt;&gt;"RegularSeason",K170)</f>
        <v>00101101010010100000000000000100</v>
      </c>
      <c r="C170" t="str">
        <f t="shared" si="6"/>
        <v>00101101010010100000000000010111</v>
      </c>
      <c r="D170" t="str">
        <f t="shared" si="7"/>
        <v>00101101010010100000000000000100</v>
      </c>
      <c r="E170" t="str" cm="1">
        <f t="array" ref="E170">_xlfn.XLOOKUP(_xlfn.XLOOKUP(G170,New!A:A,New!M:M,NONE),TeamIdentity!A:A,TeamIdentity!C:C,NONE)</f>
        <v>00010111</v>
      </c>
      <c r="F170" t="str" cm="1">
        <f t="array" ref="F170">_xlfn.XLOOKUP(_xlfn.XLOOKUP(G170,New!A:A,New!F:F,NONE),TeamIdentity!A:A,TeamIdentity!C:C,NONE)</f>
        <v>00000100</v>
      </c>
      <c r="G170" t="str">
        <f t="shared" si="8"/>
        <v>7-10</v>
      </c>
      <c r="H170" t="s">
        <v>54</v>
      </c>
      <c r="I170" t="s">
        <v>54</v>
      </c>
      <c r="J170" t="s">
        <v>54</v>
      </c>
      <c r="K170" t="s">
        <v>532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542</v>
      </c>
      <c r="S170">
        <v>-1</v>
      </c>
      <c r="T170">
        <v>0</v>
      </c>
      <c r="U170">
        <v>-1</v>
      </c>
      <c r="V170">
        <v>0</v>
      </c>
      <c r="W170" t="s">
        <v>70</v>
      </c>
      <c r="X170">
        <v>0</v>
      </c>
      <c r="Y170">
        <v>0</v>
      </c>
      <c r="Z170">
        <v>975</v>
      </c>
      <c r="AA170" t="s">
        <v>57</v>
      </c>
      <c r="AB170">
        <v>0</v>
      </c>
      <c r="AC170">
        <v>0</v>
      </c>
      <c r="AD170">
        <v>0</v>
      </c>
      <c r="AE170">
        <v>0</v>
      </c>
      <c r="AF170" t="s">
        <v>67</v>
      </c>
      <c r="AG170">
        <v>0</v>
      </c>
      <c r="AH170">
        <v>0</v>
      </c>
      <c r="AI170">
        <v>0</v>
      </c>
      <c r="AJ170">
        <v>0</v>
      </c>
      <c r="AK170" t="s">
        <v>60</v>
      </c>
      <c r="AL170">
        <v>0</v>
      </c>
      <c r="AM170">
        <v>0</v>
      </c>
      <c r="AN170">
        <v>0</v>
      </c>
      <c r="AO170">
        <v>0</v>
      </c>
      <c r="AP170" t="b">
        <v>0</v>
      </c>
      <c r="AQ170" t="s">
        <v>58</v>
      </c>
      <c r="AR170" t="s">
        <v>58</v>
      </c>
      <c r="AS170" t="s">
        <v>71</v>
      </c>
      <c r="AT170">
        <v>14</v>
      </c>
      <c r="AU170">
        <v>7</v>
      </c>
      <c r="AV170">
        <v>10</v>
      </c>
      <c r="AW170">
        <v>11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s">
        <v>61</v>
      </c>
      <c r="BF170" t="s">
        <v>57</v>
      </c>
      <c r="BG170" t="s">
        <v>55</v>
      </c>
      <c r="BH170" t="s">
        <v>58</v>
      </c>
      <c r="BI170" t="s">
        <v>58</v>
      </c>
    </row>
    <row r="171" spans="1:61" x14ac:dyDescent="0.25">
      <c r="A171" t="str" cm="1">
        <f t="array" ref="A171">_xlfn.IFS(AS171="RegularSeason",C171,AS171&lt;&gt;"RegularSeason",R171)</f>
        <v>00101101010010100000000000000101</v>
      </c>
      <c r="B171" t="str" cm="1">
        <f t="array" ref="B171">_xlfn.IFS(AS171="RegularSeason",D171,AS171&lt;&gt;"RegularSeason",K171)</f>
        <v>00101101010010100000000000001111</v>
      </c>
      <c r="C171" t="str">
        <f t="shared" si="6"/>
        <v>00101101010010100000000000000101</v>
      </c>
      <c r="D171" t="str">
        <f t="shared" si="7"/>
        <v>00101101010010100000000000001111</v>
      </c>
      <c r="E171" t="str" cm="1">
        <f t="array" ref="E171">_xlfn.XLOOKUP(_xlfn.XLOOKUP(G171,New!A:A,New!M:M,NONE),TeamIdentity!A:A,TeamIdentity!C:C,NONE)</f>
        <v>00000101</v>
      </c>
      <c r="F171" t="str" cm="1">
        <f t="array" ref="F171">_xlfn.XLOOKUP(_xlfn.XLOOKUP(G171,New!A:A,New!F:F,NONE),TeamIdentity!A:A,TeamIdentity!C:C,NONE)</f>
        <v>00001111</v>
      </c>
      <c r="G171" t="str">
        <f t="shared" si="8"/>
        <v>8-3</v>
      </c>
      <c r="H171" t="s">
        <v>54</v>
      </c>
      <c r="I171" t="s">
        <v>54</v>
      </c>
      <c r="J171" t="s">
        <v>54</v>
      </c>
      <c r="K171" t="s">
        <v>512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535</v>
      </c>
      <c r="S171">
        <v>-1</v>
      </c>
      <c r="T171">
        <v>0</v>
      </c>
      <c r="U171">
        <v>-1</v>
      </c>
      <c r="V171">
        <v>0</v>
      </c>
      <c r="W171" t="s">
        <v>70</v>
      </c>
      <c r="X171">
        <v>0</v>
      </c>
      <c r="Y171">
        <v>0</v>
      </c>
      <c r="Z171">
        <v>780</v>
      </c>
      <c r="AA171" t="s">
        <v>57</v>
      </c>
      <c r="AB171">
        <v>0</v>
      </c>
      <c r="AC171">
        <v>0</v>
      </c>
      <c r="AD171">
        <v>0</v>
      </c>
      <c r="AE171">
        <v>0</v>
      </c>
      <c r="AF171" t="s">
        <v>67</v>
      </c>
      <c r="AG171">
        <v>0</v>
      </c>
      <c r="AH171">
        <v>0</v>
      </c>
      <c r="AI171">
        <v>0</v>
      </c>
      <c r="AJ171">
        <v>0</v>
      </c>
      <c r="AK171" t="s">
        <v>60</v>
      </c>
      <c r="AL171">
        <v>0</v>
      </c>
      <c r="AM171">
        <v>0</v>
      </c>
      <c r="AN171">
        <v>0</v>
      </c>
      <c r="AO171">
        <v>0</v>
      </c>
      <c r="AP171" t="b">
        <v>0</v>
      </c>
      <c r="AQ171" t="s">
        <v>58</v>
      </c>
      <c r="AR171" t="s">
        <v>58</v>
      </c>
      <c r="AS171" t="s">
        <v>71</v>
      </c>
      <c r="AT171">
        <v>14</v>
      </c>
      <c r="AU171">
        <v>8</v>
      </c>
      <c r="AV171">
        <v>3</v>
      </c>
      <c r="AW171">
        <v>11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s">
        <v>61</v>
      </c>
      <c r="BF171" t="s">
        <v>57</v>
      </c>
      <c r="BG171" t="s">
        <v>55</v>
      </c>
      <c r="BH171" t="s">
        <v>58</v>
      </c>
      <c r="BI171" t="s">
        <v>58</v>
      </c>
    </row>
    <row r="172" spans="1:61" x14ac:dyDescent="0.25">
      <c r="A172" t="str" cm="1">
        <f t="array" ref="A172">_xlfn.IFS(AS172="RegularSeason",C172,AS172&lt;&gt;"RegularSeason",R172)</f>
        <v>00101101010010100000000000010110</v>
      </c>
      <c r="B172" t="str" cm="1">
        <f t="array" ref="B172">_xlfn.IFS(AS172="RegularSeason",D172,AS172&lt;&gt;"RegularSeason",K172)</f>
        <v>00101101010010100000000000010011</v>
      </c>
      <c r="C172" t="str">
        <f t="shared" si="6"/>
        <v>00101101010010100000000000010110</v>
      </c>
      <c r="D172" t="str">
        <f t="shared" si="7"/>
        <v>00101101010010100000000000010011</v>
      </c>
      <c r="E172" t="str" cm="1">
        <f t="array" ref="E172">_xlfn.XLOOKUP(_xlfn.XLOOKUP(G172,New!A:A,New!M:M,NONE),TeamIdentity!A:A,TeamIdentity!C:C,NONE)</f>
        <v>00010110</v>
      </c>
      <c r="F172" t="str" cm="1">
        <f t="array" ref="F172">_xlfn.XLOOKUP(_xlfn.XLOOKUP(G172,New!A:A,New!F:F,NONE),TeamIdentity!A:A,TeamIdentity!C:C,NONE)</f>
        <v>00010011</v>
      </c>
      <c r="G172" t="str">
        <f t="shared" si="8"/>
        <v>9-12</v>
      </c>
      <c r="H172" t="s">
        <v>54</v>
      </c>
      <c r="I172" t="s">
        <v>54</v>
      </c>
      <c r="J172" t="s">
        <v>54</v>
      </c>
      <c r="K172" t="s">
        <v>539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513</v>
      </c>
      <c r="S172">
        <v>-1</v>
      </c>
      <c r="T172">
        <v>0</v>
      </c>
      <c r="U172">
        <v>-1</v>
      </c>
      <c r="V172">
        <v>0</v>
      </c>
      <c r="W172" t="s">
        <v>70</v>
      </c>
      <c r="X172">
        <v>0</v>
      </c>
      <c r="Y172">
        <v>0</v>
      </c>
      <c r="Z172">
        <v>1230</v>
      </c>
      <c r="AA172" t="s">
        <v>57</v>
      </c>
      <c r="AB172">
        <v>0</v>
      </c>
      <c r="AC172">
        <v>0</v>
      </c>
      <c r="AD172">
        <v>0</v>
      </c>
      <c r="AE172">
        <v>0</v>
      </c>
      <c r="AF172" t="s">
        <v>65</v>
      </c>
      <c r="AG172">
        <v>0</v>
      </c>
      <c r="AH172">
        <v>0</v>
      </c>
      <c r="AI172">
        <v>0</v>
      </c>
      <c r="AJ172">
        <v>0</v>
      </c>
      <c r="AK172" t="s">
        <v>65</v>
      </c>
      <c r="AL172">
        <v>0</v>
      </c>
      <c r="AM172">
        <v>0</v>
      </c>
      <c r="AN172">
        <v>0</v>
      </c>
      <c r="AO172">
        <v>0</v>
      </c>
      <c r="AP172" t="b">
        <v>0</v>
      </c>
      <c r="AQ172" t="s">
        <v>58</v>
      </c>
      <c r="AR172" t="s">
        <v>58</v>
      </c>
      <c r="AS172" t="s">
        <v>71</v>
      </c>
      <c r="AT172">
        <v>14</v>
      </c>
      <c r="AU172">
        <v>9</v>
      </c>
      <c r="AV172">
        <v>12</v>
      </c>
      <c r="AW172">
        <v>11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s">
        <v>61</v>
      </c>
      <c r="BF172" t="s">
        <v>57</v>
      </c>
      <c r="BG172" t="s">
        <v>55</v>
      </c>
      <c r="BH172" t="s">
        <v>58</v>
      </c>
      <c r="BI172" t="s">
        <v>58</v>
      </c>
    </row>
    <row r="173" spans="1:61" x14ac:dyDescent="0.25">
      <c r="A173" t="str" cm="1">
        <f t="array" ref="A173">_xlfn.IFS(AS173="RegularSeason",C173,AS173&lt;&gt;"RegularSeason",R173)</f>
        <v>00101101010010100000000000001101</v>
      </c>
      <c r="B173" t="str" cm="1">
        <f t="array" ref="B173">_xlfn.IFS(AS173="RegularSeason",D173,AS173&lt;&gt;"RegularSeason",K173)</f>
        <v>00101101010010100000000000010110</v>
      </c>
      <c r="C173" t="str">
        <f t="shared" si="6"/>
        <v>00101101010010100000000000001101</v>
      </c>
      <c r="D173" t="str">
        <f t="shared" si="7"/>
        <v>00101101010010100000000000010110</v>
      </c>
      <c r="E173" t="str" cm="1">
        <f t="array" ref="E173">_xlfn.XLOOKUP(_xlfn.XLOOKUP(G173,New!A:A,New!M:M,NONE),TeamIdentity!A:A,TeamIdentity!C:C,NONE)</f>
        <v>00001101</v>
      </c>
      <c r="F173" t="str" cm="1">
        <f t="array" ref="F173">_xlfn.XLOOKUP(_xlfn.XLOOKUP(G173,New!A:A,New!F:F,NONE),TeamIdentity!A:A,TeamIdentity!C:C,NONE)</f>
        <v>00010110</v>
      </c>
      <c r="G173" t="str">
        <f t="shared" si="8"/>
        <v>7-8</v>
      </c>
      <c r="H173" t="s">
        <v>54</v>
      </c>
      <c r="I173" t="s">
        <v>54</v>
      </c>
      <c r="J173" t="s">
        <v>54</v>
      </c>
      <c r="K173" t="s">
        <v>526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539</v>
      </c>
      <c r="S173">
        <v>-1</v>
      </c>
      <c r="T173">
        <v>0</v>
      </c>
      <c r="U173">
        <v>-1</v>
      </c>
      <c r="V173">
        <v>0</v>
      </c>
      <c r="W173" t="s">
        <v>70</v>
      </c>
      <c r="X173">
        <v>0</v>
      </c>
      <c r="Y173">
        <v>0</v>
      </c>
      <c r="Z173">
        <v>965</v>
      </c>
      <c r="AA173" t="s">
        <v>57</v>
      </c>
      <c r="AB173">
        <v>0</v>
      </c>
      <c r="AC173">
        <v>0</v>
      </c>
      <c r="AD173">
        <v>0</v>
      </c>
      <c r="AE173">
        <v>0</v>
      </c>
      <c r="AF173" t="s">
        <v>67</v>
      </c>
      <c r="AG173">
        <v>0</v>
      </c>
      <c r="AH173">
        <v>0</v>
      </c>
      <c r="AI173">
        <v>0</v>
      </c>
      <c r="AJ173">
        <v>0</v>
      </c>
      <c r="AK173" t="s">
        <v>60</v>
      </c>
      <c r="AL173">
        <v>0</v>
      </c>
      <c r="AM173">
        <v>0</v>
      </c>
      <c r="AN173">
        <v>0</v>
      </c>
      <c r="AO173">
        <v>0</v>
      </c>
      <c r="AP173" t="b">
        <v>0</v>
      </c>
      <c r="AQ173" t="s">
        <v>58</v>
      </c>
      <c r="AR173" t="s">
        <v>58</v>
      </c>
      <c r="AS173" t="s">
        <v>71</v>
      </c>
      <c r="AT173">
        <v>14</v>
      </c>
      <c r="AU173">
        <v>7</v>
      </c>
      <c r="AV173">
        <v>8</v>
      </c>
      <c r="AW173">
        <v>11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s">
        <v>61</v>
      </c>
      <c r="BF173" t="s">
        <v>57</v>
      </c>
      <c r="BG173" t="s">
        <v>55</v>
      </c>
      <c r="BH173" t="s">
        <v>58</v>
      </c>
      <c r="BI173" t="s">
        <v>58</v>
      </c>
    </row>
    <row r="174" spans="1:61" x14ac:dyDescent="0.25">
      <c r="A174" t="str" cm="1">
        <f t="array" ref="A174">_xlfn.IFS(AS174="RegularSeason",C174,AS174&lt;&gt;"RegularSeason",R174)</f>
        <v>00101101010010100000000000011001</v>
      </c>
      <c r="B174" t="str" cm="1">
        <f t="array" ref="B174">_xlfn.IFS(AS174="RegularSeason",D174,AS174&lt;&gt;"RegularSeason",K174)</f>
        <v>00101101010010100000000000001011</v>
      </c>
      <c r="C174" t="str">
        <f t="shared" si="6"/>
        <v>00101101010010100000000000011001</v>
      </c>
      <c r="D174" t="str">
        <f t="shared" si="7"/>
        <v>00101101010010100000000000001011</v>
      </c>
      <c r="E174" t="str" cm="1">
        <f t="array" ref="E174">_xlfn.XLOOKUP(_xlfn.XLOOKUP(G174,New!A:A,New!M:M,NONE),TeamIdentity!A:A,TeamIdentity!C:C,NONE)</f>
        <v>00011001</v>
      </c>
      <c r="F174" t="str" cm="1">
        <f t="array" ref="F174">_xlfn.XLOOKUP(_xlfn.XLOOKUP(G174,New!A:A,New!F:F,NONE),TeamIdentity!A:A,TeamIdentity!C:C,NONE)</f>
        <v>00001011</v>
      </c>
      <c r="G174" t="str">
        <f t="shared" si="8"/>
        <v>7-6</v>
      </c>
      <c r="H174" t="s">
        <v>54</v>
      </c>
      <c r="I174" t="s">
        <v>54</v>
      </c>
      <c r="J174" t="s">
        <v>54</v>
      </c>
      <c r="K174" t="s">
        <v>514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541</v>
      </c>
      <c r="S174">
        <v>-1</v>
      </c>
      <c r="T174">
        <v>0</v>
      </c>
      <c r="U174">
        <v>-1</v>
      </c>
      <c r="V174">
        <v>0</v>
      </c>
      <c r="W174" t="s">
        <v>70</v>
      </c>
      <c r="X174">
        <v>0</v>
      </c>
      <c r="Y174">
        <v>0</v>
      </c>
      <c r="Z174">
        <v>780</v>
      </c>
      <c r="AA174" t="s">
        <v>57</v>
      </c>
      <c r="AB174">
        <v>0</v>
      </c>
      <c r="AC174">
        <v>0</v>
      </c>
      <c r="AD174">
        <v>0</v>
      </c>
      <c r="AE174">
        <v>0</v>
      </c>
      <c r="AF174" t="s">
        <v>67</v>
      </c>
      <c r="AG174">
        <v>0</v>
      </c>
      <c r="AH174">
        <v>0</v>
      </c>
      <c r="AI174">
        <v>0</v>
      </c>
      <c r="AJ174">
        <v>0</v>
      </c>
      <c r="AK174" t="s">
        <v>60</v>
      </c>
      <c r="AL174">
        <v>0</v>
      </c>
      <c r="AM174">
        <v>0</v>
      </c>
      <c r="AN174">
        <v>0</v>
      </c>
      <c r="AO174">
        <v>0</v>
      </c>
      <c r="AP174" t="b">
        <v>0</v>
      </c>
      <c r="AQ174" t="s">
        <v>58</v>
      </c>
      <c r="AR174" t="s">
        <v>58</v>
      </c>
      <c r="AS174" t="s">
        <v>71</v>
      </c>
      <c r="AT174">
        <v>14</v>
      </c>
      <c r="AU174">
        <v>7</v>
      </c>
      <c r="AV174">
        <v>6</v>
      </c>
      <c r="AW174">
        <v>11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s">
        <v>61</v>
      </c>
      <c r="BF174" t="s">
        <v>57</v>
      </c>
      <c r="BG174" t="s">
        <v>55</v>
      </c>
      <c r="BH174" t="s">
        <v>58</v>
      </c>
      <c r="BI174" t="s">
        <v>58</v>
      </c>
    </row>
    <row r="175" spans="1:61" x14ac:dyDescent="0.25">
      <c r="A175" t="str" cm="1">
        <f t="array" ref="A175">_xlfn.IFS(AS175="RegularSeason",C175,AS175&lt;&gt;"RegularSeason",R175)</f>
        <v>00101101010010100000000000011011</v>
      </c>
      <c r="B175" t="str" cm="1">
        <f t="array" ref="B175">_xlfn.IFS(AS175="RegularSeason",D175,AS175&lt;&gt;"RegularSeason",K175)</f>
        <v>00101101010010100000000000010110</v>
      </c>
      <c r="C175" t="str">
        <f t="shared" si="6"/>
        <v>00101101010010100000000000011011</v>
      </c>
      <c r="D175" t="str">
        <f t="shared" si="7"/>
        <v>00101101010010100000000000010110</v>
      </c>
      <c r="E175" t="str" cm="1">
        <f t="array" ref="E175">_xlfn.XLOOKUP(_xlfn.XLOOKUP(G175,New!A:A,New!M:M,NONE),TeamIdentity!A:A,TeamIdentity!C:C,NONE)</f>
        <v>00011011</v>
      </c>
      <c r="F175" t="str" cm="1">
        <f t="array" ref="F175">_xlfn.XLOOKUP(_xlfn.XLOOKUP(G175,New!A:A,New!F:F,NONE),TeamIdentity!A:A,TeamIdentity!C:C,NONE)</f>
        <v>00010110</v>
      </c>
      <c r="G175" t="str">
        <f t="shared" si="8"/>
        <v>8-4</v>
      </c>
      <c r="H175" t="s">
        <v>54</v>
      </c>
      <c r="I175" t="s">
        <v>54</v>
      </c>
      <c r="J175" t="s">
        <v>54</v>
      </c>
      <c r="K175" t="s">
        <v>537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523</v>
      </c>
      <c r="S175">
        <v>-1</v>
      </c>
      <c r="T175">
        <v>0</v>
      </c>
      <c r="U175">
        <v>-1</v>
      </c>
      <c r="V175">
        <v>0</v>
      </c>
      <c r="W175" t="s">
        <v>70</v>
      </c>
      <c r="X175">
        <v>0</v>
      </c>
      <c r="Y175">
        <v>0</v>
      </c>
      <c r="Z175">
        <v>780</v>
      </c>
      <c r="AA175" t="s">
        <v>57</v>
      </c>
      <c r="AB175">
        <v>0</v>
      </c>
      <c r="AC175">
        <v>0</v>
      </c>
      <c r="AD175">
        <v>0</v>
      </c>
      <c r="AE175">
        <v>0</v>
      </c>
      <c r="AF175" t="s">
        <v>67</v>
      </c>
      <c r="AG175">
        <v>0</v>
      </c>
      <c r="AH175">
        <v>0</v>
      </c>
      <c r="AI175">
        <v>0</v>
      </c>
      <c r="AJ175">
        <v>0</v>
      </c>
      <c r="AK175" t="s">
        <v>60</v>
      </c>
      <c r="AL175">
        <v>0</v>
      </c>
      <c r="AM175">
        <v>0</v>
      </c>
      <c r="AN175">
        <v>0</v>
      </c>
      <c r="AO175">
        <v>0</v>
      </c>
      <c r="AP175" t="b">
        <v>0</v>
      </c>
      <c r="AQ175" t="s">
        <v>58</v>
      </c>
      <c r="AR175" t="s">
        <v>58</v>
      </c>
      <c r="AS175" t="s">
        <v>71</v>
      </c>
      <c r="AT175">
        <v>14</v>
      </c>
      <c r="AU175">
        <v>8</v>
      </c>
      <c r="AV175">
        <v>4</v>
      </c>
      <c r="AW175">
        <v>11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s">
        <v>61</v>
      </c>
      <c r="BF175" t="s">
        <v>57</v>
      </c>
      <c r="BG175" t="s">
        <v>55</v>
      </c>
      <c r="BH175" t="s">
        <v>58</v>
      </c>
      <c r="BI175" t="s">
        <v>58</v>
      </c>
    </row>
    <row r="176" spans="1:61" x14ac:dyDescent="0.25">
      <c r="A176" t="str" cm="1">
        <f t="array" ref="A176">_xlfn.IFS(AS176="RegularSeason",C176,AS176&lt;&gt;"RegularSeason",R176)</f>
        <v>00101101010010100000000000011101</v>
      </c>
      <c r="B176" t="str" cm="1">
        <f t="array" ref="B176">_xlfn.IFS(AS176="RegularSeason",D176,AS176&lt;&gt;"RegularSeason",K176)</f>
        <v>00101101010010100000000000010101</v>
      </c>
      <c r="C176" t="str">
        <f t="shared" si="6"/>
        <v>00101101010010100000000000011101</v>
      </c>
      <c r="D176" t="str">
        <f t="shared" si="7"/>
        <v>00101101010010100000000000010101</v>
      </c>
      <c r="E176" t="str" cm="1">
        <f t="array" ref="E176">_xlfn.XLOOKUP(_xlfn.XLOOKUP(G176,New!A:A,New!M:M,NONE),TeamIdentity!A:A,TeamIdentity!C:C,NONE)</f>
        <v>00011101</v>
      </c>
      <c r="F176" t="str" cm="1">
        <f t="array" ref="F176">_xlfn.XLOOKUP(_xlfn.XLOOKUP(G176,New!A:A,New!F:F,NONE),TeamIdentity!A:A,TeamIdentity!C:C,NONE)</f>
        <v>00010101</v>
      </c>
      <c r="G176" t="str">
        <f t="shared" si="8"/>
        <v>6-4</v>
      </c>
      <c r="H176" t="s">
        <v>54</v>
      </c>
      <c r="I176" t="s">
        <v>54</v>
      </c>
      <c r="J176" t="s">
        <v>54</v>
      </c>
      <c r="K176" t="s">
        <v>520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534</v>
      </c>
      <c r="S176">
        <v>-1</v>
      </c>
      <c r="T176">
        <v>0</v>
      </c>
      <c r="U176">
        <v>-1</v>
      </c>
      <c r="V176">
        <v>0</v>
      </c>
      <c r="W176" t="s">
        <v>70</v>
      </c>
      <c r="X176">
        <v>0</v>
      </c>
      <c r="Y176">
        <v>0</v>
      </c>
      <c r="Z176">
        <v>780</v>
      </c>
      <c r="AA176" t="s">
        <v>57</v>
      </c>
      <c r="AB176">
        <v>0</v>
      </c>
      <c r="AC176">
        <v>0</v>
      </c>
      <c r="AD176">
        <v>0</v>
      </c>
      <c r="AE176">
        <v>0</v>
      </c>
      <c r="AF176" t="s">
        <v>67</v>
      </c>
      <c r="AG176">
        <v>0</v>
      </c>
      <c r="AH176">
        <v>0</v>
      </c>
      <c r="AI176">
        <v>0</v>
      </c>
      <c r="AJ176">
        <v>0</v>
      </c>
      <c r="AK176" t="s">
        <v>60</v>
      </c>
      <c r="AL176">
        <v>0</v>
      </c>
      <c r="AM176">
        <v>0</v>
      </c>
      <c r="AN176">
        <v>0</v>
      </c>
      <c r="AO176">
        <v>0</v>
      </c>
      <c r="AP176" t="b">
        <v>0</v>
      </c>
      <c r="AQ176" t="s">
        <v>58</v>
      </c>
      <c r="AR176" t="s">
        <v>58</v>
      </c>
      <c r="AS176" t="s">
        <v>71</v>
      </c>
      <c r="AT176">
        <v>14</v>
      </c>
      <c r="AU176">
        <v>6</v>
      </c>
      <c r="AV176">
        <v>4</v>
      </c>
      <c r="AW176">
        <v>11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s">
        <v>61</v>
      </c>
      <c r="BF176" t="s">
        <v>57</v>
      </c>
      <c r="BG176" t="s">
        <v>55</v>
      </c>
      <c r="BH176" t="s">
        <v>58</v>
      </c>
      <c r="BI176" t="s">
        <v>58</v>
      </c>
    </row>
    <row r="177" spans="1:61" x14ac:dyDescent="0.25">
      <c r="A177" t="str" cm="1">
        <f t="array" ref="A177">_xlfn.IFS(AS177="RegularSeason",C177,AS177&lt;&gt;"RegularSeason",R177)</f>
        <v>00101101010010100000000000011100</v>
      </c>
      <c r="B177" t="str" cm="1">
        <f t="array" ref="B177">_xlfn.IFS(AS177="RegularSeason",D177,AS177&lt;&gt;"RegularSeason",K177)</f>
        <v>00101101010010100000000000010111</v>
      </c>
      <c r="C177" t="str">
        <f t="shared" si="6"/>
        <v>00101101010010100000000000011100</v>
      </c>
      <c r="D177" t="str">
        <f t="shared" si="7"/>
        <v>00101101010010100000000000010111</v>
      </c>
      <c r="E177" t="str" cm="1">
        <f t="array" ref="E177">_xlfn.XLOOKUP(_xlfn.XLOOKUP(G177,New!A:A,New!M:M,NONE),TeamIdentity!A:A,TeamIdentity!C:C,NONE)</f>
        <v>00011100</v>
      </c>
      <c r="F177" t="str" cm="1">
        <f t="array" ref="F177">_xlfn.XLOOKUP(_xlfn.XLOOKUP(G177,New!A:A,New!F:F,NONE),TeamIdentity!A:A,TeamIdentity!C:C,NONE)</f>
        <v>00010111</v>
      </c>
      <c r="G177" t="str">
        <f t="shared" si="8"/>
        <v>8-13</v>
      </c>
      <c r="H177" t="s">
        <v>54</v>
      </c>
      <c r="I177" t="s">
        <v>54</v>
      </c>
      <c r="J177" t="s">
        <v>54</v>
      </c>
      <c r="K177" t="s">
        <v>522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524</v>
      </c>
      <c r="S177">
        <v>-1</v>
      </c>
      <c r="T177">
        <v>0</v>
      </c>
      <c r="U177">
        <v>-1</v>
      </c>
      <c r="V177">
        <v>0</v>
      </c>
      <c r="W177" t="s">
        <v>70</v>
      </c>
      <c r="X177">
        <v>0</v>
      </c>
      <c r="Y177">
        <v>0</v>
      </c>
      <c r="Z177">
        <v>1220</v>
      </c>
      <c r="AA177" t="s">
        <v>57</v>
      </c>
      <c r="AB177">
        <v>0</v>
      </c>
      <c r="AC177">
        <v>0</v>
      </c>
      <c r="AD177">
        <v>0</v>
      </c>
      <c r="AE177">
        <v>0</v>
      </c>
      <c r="AF177" t="s">
        <v>68</v>
      </c>
      <c r="AG177">
        <v>0</v>
      </c>
      <c r="AH177">
        <v>0</v>
      </c>
      <c r="AI177">
        <v>0</v>
      </c>
      <c r="AJ177">
        <v>0</v>
      </c>
      <c r="AK177" t="s">
        <v>68</v>
      </c>
      <c r="AL177">
        <v>0</v>
      </c>
      <c r="AM177">
        <v>0</v>
      </c>
      <c r="AN177">
        <v>0</v>
      </c>
      <c r="AO177">
        <v>0</v>
      </c>
      <c r="AP177" t="b">
        <v>0</v>
      </c>
      <c r="AQ177" t="s">
        <v>58</v>
      </c>
      <c r="AR177" t="s">
        <v>58</v>
      </c>
      <c r="AS177" t="s">
        <v>71</v>
      </c>
      <c r="AT177">
        <v>14</v>
      </c>
      <c r="AU177">
        <v>8</v>
      </c>
      <c r="AV177">
        <v>13</v>
      </c>
      <c r="AW177">
        <v>11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s">
        <v>61</v>
      </c>
      <c r="BF177" t="s">
        <v>57</v>
      </c>
      <c r="BG177" t="s">
        <v>55</v>
      </c>
      <c r="BH177" t="s">
        <v>58</v>
      </c>
      <c r="BI177" t="s">
        <v>58</v>
      </c>
    </row>
    <row r="178" spans="1:61" x14ac:dyDescent="0.25">
      <c r="A178" t="str" cm="1">
        <f t="array" ref="A178">_xlfn.IFS(AS178="RegularSeason",C178,AS178&lt;&gt;"RegularSeason",R178)</f>
        <v>00101101010010100000000000100010</v>
      </c>
      <c r="B178" t="str" cm="1">
        <f t="array" ref="B178">_xlfn.IFS(AS178="RegularSeason",D178,AS178&lt;&gt;"RegularSeason",K178)</f>
        <v>00101101010010100000000000100011</v>
      </c>
      <c r="C178" t="str">
        <f t="shared" si="6"/>
        <v>00101101010010100000000000100010</v>
      </c>
      <c r="D178" t="str">
        <f t="shared" si="7"/>
        <v>00101101010010100000000000100011</v>
      </c>
      <c r="E178" t="str" cm="1">
        <f t="array" ref="E178">_xlfn.XLOOKUP(_xlfn.XLOOKUP(G178,New!A:A,New!M:M,NONE),TeamIdentity!A:A,TeamIdentity!C:C,NONE)</f>
        <v>00100010</v>
      </c>
      <c r="F178" t="str" cm="1">
        <f t="array" ref="F178">_xlfn.XLOOKUP(_xlfn.XLOOKUP(G178,New!A:A,New!F:F,NONE),TeamIdentity!A:A,TeamIdentity!C:C,NONE)</f>
        <v>00100011</v>
      </c>
      <c r="G178" t="str">
        <f t="shared" si="8"/>
        <v>9-11</v>
      </c>
      <c r="H178" t="s">
        <v>54</v>
      </c>
      <c r="I178" t="s">
        <v>54</v>
      </c>
      <c r="J178" t="s">
        <v>54</v>
      </c>
      <c r="K178" t="s">
        <v>516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514</v>
      </c>
      <c r="S178">
        <v>-1</v>
      </c>
      <c r="T178">
        <v>0</v>
      </c>
      <c r="U178">
        <v>-1</v>
      </c>
      <c r="V178">
        <v>0</v>
      </c>
      <c r="W178" t="s">
        <v>70</v>
      </c>
      <c r="X178">
        <v>0</v>
      </c>
      <c r="Y178">
        <v>0</v>
      </c>
      <c r="Z178">
        <v>1220</v>
      </c>
      <c r="AA178" t="s">
        <v>57</v>
      </c>
      <c r="AB178">
        <v>0</v>
      </c>
      <c r="AC178">
        <v>0</v>
      </c>
      <c r="AD178">
        <v>0</v>
      </c>
      <c r="AE178">
        <v>0</v>
      </c>
      <c r="AF178" t="s">
        <v>60</v>
      </c>
      <c r="AG178">
        <v>0</v>
      </c>
      <c r="AH178">
        <v>0</v>
      </c>
      <c r="AI178">
        <v>0</v>
      </c>
      <c r="AJ178">
        <v>0</v>
      </c>
      <c r="AK178" t="s">
        <v>60</v>
      </c>
      <c r="AL178">
        <v>0</v>
      </c>
      <c r="AM178">
        <v>0</v>
      </c>
      <c r="AN178">
        <v>0</v>
      </c>
      <c r="AO178">
        <v>0</v>
      </c>
      <c r="AP178" t="b">
        <v>0</v>
      </c>
      <c r="AQ178" t="s">
        <v>58</v>
      </c>
      <c r="AR178" t="s">
        <v>58</v>
      </c>
      <c r="AS178" t="s">
        <v>71</v>
      </c>
      <c r="AT178">
        <v>14</v>
      </c>
      <c r="AU178">
        <v>9</v>
      </c>
      <c r="AV178">
        <v>11</v>
      </c>
      <c r="AW178">
        <v>11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s">
        <v>61</v>
      </c>
      <c r="BF178" t="s">
        <v>57</v>
      </c>
      <c r="BG178" t="s">
        <v>55</v>
      </c>
      <c r="BH178" t="s">
        <v>58</v>
      </c>
      <c r="BI178" t="s">
        <v>58</v>
      </c>
    </row>
    <row r="179" spans="1:61" x14ac:dyDescent="0.25">
      <c r="A179" t="str" cm="1">
        <f t="array" ref="A179">_xlfn.IFS(AS179="RegularSeason",C179,AS179&lt;&gt;"RegularSeason",R179)</f>
        <v>00101101010010100000000000000011</v>
      </c>
      <c r="B179" t="str" cm="1">
        <f t="array" ref="B179">_xlfn.IFS(AS179="RegularSeason",D179,AS179&lt;&gt;"RegularSeason",K179)</f>
        <v>00101101010010100000000000010110</v>
      </c>
      <c r="C179" t="str">
        <f t="shared" si="6"/>
        <v>00101101010010100000000000000011</v>
      </c>
      <c r="D179" t="str">
        <f t="shared" si="7"/>
        <v>00101101010010100000000000010110</v>
      </c>
      <c r="E179" t="str" cm="1">
        <f t="array" ref="E179">_xlfn.XLOOKUP(_xlfn.XLOOKUP(G179,New!A:A,New!M:M,NONE),TeamIdentity!A:A,TeamIdentity!C:C,NONE)</f>
        <v>00000011</v>
      </c>
      <c r="F179" t="str" cm="1">
        <f t="array" ref="F179">_xlfn.XLOOKUP(_xlfn.XLOOKUP(G179,New!A:A,New!F:F,NONE),TeamIdentity!A:A,TeamIdentity!C:C,NONE)</f>
        <v>00010110</v>
      </c>
      <c r="G179" t="str">
        <f t="shared" si="8"/>
        <v>6-5</v>
      </c>
      <c r="H179" t="s">
        <v>54</v>
      </c>
      <c r="I179" t="s">
        <v>54</v>
      </c>
      <c r="J179" t="s">
        <v>54</v>
      </c>
      <c r="K179" t="s">
        <v>526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523</v>
      </c>
      <c r="S179">
        <v>-1</v>
      </c>
      <c r="T179">
        <v>0</v>
      </c>
      <c r="U179">
        <v>-1</v>
      </c>
      <c r="V179">
        <v>0</v>
      </c>
      <c r="W179" t="s">
        <v>70</v>
      </c>
      <c r="X179">
        <v>0</v>
      </c>
      <c r="Y179">
        <v>0</v>
      </c>
      <c r="Z179">
        <v>780</v>
      </c>
      <c r="AA179" t="s">
        <v>57</v>
      </c>
      <c r="AB179">
        <v>0</v>
      </c>
      <c r="AC179">
        <v>0</v>
      </c>
      <c r="AD179">
        <v>0</v>
      </c>
      <c r="AE179">
        <v>0</v>
      </c>
      <c r="AF179" t="s">
        <v>67</v>
      </c>
      <c r="AG179">
        <v>0</v>
      </c>
      <c r="AH179">
        <v>0</v>
      </c>
      <c r="AI179">
        <v>0</v>
      </c>
      <c r="AJ179">
        <v>0</v>
      </c>
      <c r="AK179" t="s">
        <v>60</v>
      </c>
      <c r="AL179">
        <v>0</v>
      </c>
      <c r="AM179">
        <v>0</v>
      </c>
      <c r="AN179">
        <v>0</v>
      </c>
      <c r="AO179">
        <v>0</v>
      </c>
      <c r="AP179" t="b">
        <v>0</v>
      </c>
      <c r="AQ179" t="s">
        <v>58</v>
      </c>
      <c r="AR179" t="s">
        <v>58</v>
      </c>
      <c r="AS179" t="s">
        <v>71</v>
      </c>
      <c r="AT179">
        <v>14</v>
      </c>
      <c r="AU179">
        <v>6</v>
      </c>
      <c r="AV179">
        <v>5</v>
      </c>
      <c r="AW179">
        <v>11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s">
        <v>61</v>
      </c>
      <c r="BF179" t="s">
        <v>57</v>
      </c>
      <c r="BG179" t="s">
        <v>55</v>
      </c>
      <c r="BH179" t="s">
        <v>58</v>
      </c>
      <c r="BI179" t="s">
        <v>58</v>
      </c>
    </row>
    <row r="180" spans="1:61" x14ac:dyDescent="0.25">
      <c r="A180" t="str" cm="1">
        <f t="array" ref="A180">_xlfn.IFS(AS180="RegularSeason",C180,AS180&lt;&gt;"RegularSeason",R180)</f>
        <v>00101101010010100000000000010011</v>
      </c>
      <c r="B180" t="str" cm="1">
        <f t="array" ref="B180">_xlfn.IFS(AS180="RegularSeason",D180,AS180&lt;&gt;"RegularSeason",K180)</f>
        <v>00101101010010100000000000001111</v>
      </c>
      <c r="C180" t="str">
        <f t="shared" si="6"/>
        <v>00101101010010100000000000010011</v>
      </c>
      <c r="D180" t="str">
        <f t="shared" si="7"/>
        <v>00101101010010100000000000001111</v>
      </c>
      <c r="E180" t="str" cm="1">
        <f t="array" ref="E180">_xlfn.XLOOKUP(_xlfn.XLOOKUP(G180,New!A:A,New!M:M,NONE),TeamIdentity!A:A,TeamIdentity!C:C,NONE)</f>
        <v>00010011</v>
      </c>
      <c r="F180" t="str" cm="1">
        <f t="array" ref="F180">_xlfn.XLOOKUP(_xlfn.XLOOKUP(G180,New!A:A,New!F:F,NONE),TeamIdentity!A:A,TeamIdentity!C:C,NONE)</f>
        <v>00001111</v>
      </c>
      <c r="G180" t="str">
        <f t="shared" si="8"/>
        <v>6-6</v>
      </c>
      <c r="H180" t="s">
        <v>54</v>
      </c>
      <c r="I180" t="s">
        <v>54</v>
      </c>
      <c r="J180" t="s">
        <v>54</v>
      </c>
      <c r="K180" t="s">
        <v>529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537</v>
      </c>
      <c r="S180">
        <v>-1</v>
      </c>
      <c r="T180">
        <v>0</v>
      </c>
      <c r="U180">
        <v>-1</v>
      </c>
      <c r="V180">
        <v>0</v>
      </c>
      <c r="W180" t="s">
        <v>70</v>
      </c>
      <c r="X180">
        <v>0</v>
      </c>
      <c r="Y180">
        <v>0</v>
      </c>
      <c r="Z180">
        <v>780</v>
      </c>
      <c r="AA180" t="s">
        <v>57</v>
      </c>
      <c r="AB180">
        <v>0</v>
      </c>
      <c r="AC180">
        <v>0</v>
      </c>
      <c r="AD180">
        <v>0</v>
      </c>
      <c r="AE180">
        <v>0</v>
      </c>
      <c r="AF180" t="s">
        <v>67</v>
      </c>
      <c r="AG180">
        <v>0</v>
      </c>
      <c r="AH180">
        <v>0</v>
      </c>
      <c r="AI180">
        <v>0</v>
      </c>
      <c r="AJ180">
        <v>0</v>
      </c>
      <c r="AK180" t="s">
        <v>60</v>
      </c>
      <c r="AL180">
        <v>0</v>
      </c>
      <c r="AM180">
        <v>0</v>
      </c>
      <c r="AN180">
        <v>0</v>
      </c>
      <c r="AO180">
        <v>0</v>
      </c>
      <c r="AP180" t="b">
        <v>0</v>
      </c>
      <c r="AQ180" t="s">
        <v>58</v>
      </c>
      <c r="AR180" t="s">
        <v>58</v>
      </c>
      <c r="AS180" t="s">
        <v>71</v>
      </c>
      <c r="AT180">
        <v>14</v>
      </c>
      <c r="AU180">
        <v>6</v>
      </c>
      <c r="AV180">
        <v>6</v>
      </c>
      <c r="AW180">
        <v>11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s">
        <v>61</v>
      </c>
      <c r="BF180" t="s">
        <v>57</v>
      </c>
      <c r="BG180" t="s">
        <v>55</v>
      </c>
      <c r="BH180" t="s">
        <v>58</v>
      </c>
      <c r="BI180" t="s">
        <v>58</v>
      </c>
    </row>
    <row r="181" spans="1:61" x14ac:dyDescent="0.25">
      <c r="A181" t="str" cm="1">
        <f t="array" ref="A181">_xlfn.IFS(AS181="RegularSeason",C181,AS181&lt;&gt;"RegularSeason",R181)</f>
        <v>00101101010010100000000000000111</v>
      </c>
      <c r="B181" t="str" cm="1">
        <f t="array" ref="B181">_xlfn.IFS(AS181="RegularSeason",D181,AS181&lt;&gt;"RegularSeason",K181)</f>
        <v>00101101010010100000000000100001</v>
      </c>
      <c r="C181" t="str">
        <f t="shared" si="6"/>
        <v>00101101010010100000000000000111</v>
      </c>
      <c r="D181" t="str">
        <f t="shared" si="7"/>
        <v>00101101010010100000000000100001</v>
      </c>
      <c r="E181" t="str" cm="1">
        <f t="array" ref="E181">_xlfn.XLOOKUP(_xlfn.XLOOKUP(G181,New!A:A,New!M:M,NONE),TeamIdentity!A:A,TeamIdentity!C:C,NONE)</f>
        <v>00000111</v>
      </c>
      <c r="F181" t="str" cm="1">
        <f t="array" ref="F181">_xlfn.XLOOKUP(_xlfn.XLOOKUP(G181,New!A:A,New!F:F,NONE),TeamIdentity!A:A,TeamIdentity!C:C,NONE)</f>
        <v>00100001</v>
      </c>
      <c r="G181" t="str">
        <f t="shared" si="8"/>
        <v>8-10</v>
      </c>
      <c r="H181" t="s">
        <v>54</v>
      </c>
      <c r="I181" t="s">
        <v>54</v>
      </c>
      <c r="J181" t="s">
        <v>54</v>
      </c>
      <c r="K181" t="s">
        <v>515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513</v>
      </c>
      <c r="S181">
        <v>-1</v>
      </c>
      <c r="T181">
        <v>0</v>
      </c>
      <c r="U181">
        <v>-1</v>
      </c>
      <c r="V181">
        <v>0</v>
      </c>
      <c r="W181" t="s">
        <v>70</v>
      </c>
      <c r="X181">
        <v>0</v>
      </c>
      <c r="Y181">
        <v>0</v>
      </c>
      <c r="Z181">
        <v>975</v>
      </c>
      <c r="AA181" t="s">
        <v>57</v>
      </c>
      <c r="AB181">
        <v>0</v>
      </c>
      <c r="AC181">
        <v>0</v>
      </c>
      <c r="AD181">
        <v>0</v>
      </c>
      <c r="AE181">
        <v>0</v>
      </c>
      <c r="AF181" t="s">
        <v>67</v>
      </c>
      <c r="AG181">
        <v>0</v>
      </c>
      <c r="AH181">
        <v>0</v>
      </c>
      <c r="AI181">
        <v>0</v>
      </c>
      <c r="AJ181">
        <v>0</v>
      </c>
      <c r="AK181" t="s">
        <v>60</v>
      </c>
      <c r="AL181">
        <v>0</v>
      </c>
      <c r="AM181">
        <v>0</v>
      </c>
      <c r="AN181">
        <v>0</v>
      </c>
      <c r="AO181">
        <v>0</v>
      </c>
      <c r="AP181" t="b">
        <v>0</v>
      </c>
      <c r="AQ181" t="s">
        <v>58</v>
      </c>
      <c r="AR181" t="s">
        <v>58</v>
      </c>
      <c r="AS181" t="s">
        <v>71</v>
      </c>
      <c r="AT181">
        <v>14</v>
      </c>
      <c r="AU181">
        <v>8</v>
      </c>
      <c r="AV181">
        <v>10</v>
      </c>
      <c r="AW181">
        <v>11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s">
        <v>61</v>
      </c>
      <c r="BF181" t="s">
        <v>57</v>
      </c>
      <c r="BG181" t="s">
        <v>55</v>
      </c>
      <c r="BH181" t="s">
        <v>58</v>
      </c>
      <c r="BI181" t="s">
        <v>58</v>
      </c>
    </row>
    <row r="182" spans="1:61" x14ac:dyDescent="0.25">
      <c r="A182" t="str" cm="1">
        <f t="array" ref="A182">_xlfn.IFS(AS182="RegularSeason",C182,AS182&lt;&gt;"RegularSeason",R182)</f>
        <v>00101101010010100000000000000100</v>
      </c>
      <c r="B182" t="str" cm="1">
        <f t="array" ref="B182">_xlfn.IFS(AS182="RegularSeason",D182,AS182&lt;&gt;"RegularSeason",K182)</f>
        <v>00101101010010100000000000000001</v>
      </c>
      <c r="C182" t="str">
        <f t="shared" si="6"/>
        <v>00101101010010100000000000000100</v>
      </c>
      <c r="D182" t="str">
        <f t="shared" si="7"/>
        <v>00101101010010100000000000000001</v>
      </c>
      <c r="E182" t="str" cm="1">
        <f t="array" ref="E182">_xlfn.XLOOKUP(_xlfn.XLOOKUP(G182,New!A:A,New!M:M,NONE),TeamIdentity!A:A,TeamIdentity!C:C,NONE)</f>
        <v>00000100</v>
      </c>
      <c r="F182" t="str" cm="1">
        <f t="array" ref="F182">_xlfn.XLOOKUP(_xlfn.XLOOKUP(G182,New!A:A,New!F:F,NONE),TeamIdentity!A:A,TeamIdentity!C:C,NONE)</f>
        <v>00000001</v>
      </c>
      <c r="G182" t="str">
        <f t="shared" si="8"/>
        <v>8-12</v>
      </c>
      <c r="H182" t="s">
        <v>54</v>
      </c>
      <c r="I182" t="s">
        <v>54</v>
      </c>
      <c r="J182" t="s">
        <v>54</v>
      </c>
      <c r="K182" t="s">
        <v>538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514</v>
      </c>
      <c r="S182">
        <v>-1</v>
      </c>
      <c r="T182">
        <v>0</v>
      </c>
      <c r="U182">
        <v>-1</v>
      </c>
      <c r="V182">
        <v>0</v>
      </c>
      <c r="W182" t="s">
        <v>70</v>
      </c>
      <c r="X182">
        <v>0</v>
      </c>
      <c r="Y182">
        <v>0</v>
      </c>
      <c r="Z182">
        <v>1230</v>
      </c>
      <c r="AA182" t="s">
        <v>57</v>
      </c>
      <c r="AB182">
        <v>0</v>
      </c>
      <c r="AC182">
        <v>0</v>
      </c>
      <c r="AD182">
        <v>0</v>
      </c>
      <c r="AE182">
        <v>0</v>
      </c>
      <c r="AF182" t="s">
        <v>65</v>
      </c>
      <c r="AG182">
        <v>0</v>
      </c>
      <c r="AH182">
        <v>0</v>
      </c>
      <c r="AI182">
        <v>0</v>
      </c>
      <c r="AJ182">
        <v>0</v>
      </c>
      <c r="AK182" t="s">
        <v>65</v>
      </c>
      <c r="AL182">
        <v>0</v>
      </c>
      <c r="AM182">
        <v>0</v>
      </c>
      <c r="AN182">
        <v>0</v>
      </c>
      <c r="AO182">
        <v>0</v>
      </c>
      <c r="AP182" t="b">
        <v>0</v>
      </c>
      <c r="AQ182" t="s">
        <v>58</v>
      </c>
      <c r="AR182" t="s">
        <v>58</v>
      </c>
      <c r="AS182" t="s">
        <v>71</v>
      </c>
      <c r="AT182">
        <v>14</v>
      </c>
      <c r="AU182">
        <v>8</v>
      </c>
      <c r="AV182">
        <v>12</v>
      </c>
      <c r="AW182">
        <v>11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s">
        <v>61</v>
      </c>
      <c r="BF182" t="s">
        <v>57</v>
      </c>
      <c r="BG182" t="s">
        <v>55</v>
      </c>
      <c r="BH182" t="s">
        <v>58</v>
      </c>
      <c r="BI182" t="s">
        <v>58</v>
      </c>
    </row>
    <row r="183" spans="1:61" x14ac:dyDescent="0.25">
      <c r="A183" t="str" cm="1">
        <f t="array" ref="A183">_xlfn.IFS(AS183="RegularSeason",C183,AS183&lt;&gt;"RegularSeason",R183)</f>
        <v>00101101010010100000000000011111</v>
      </c>
      <c r="B183" t="str" cm="1">
        <f t="array" ref="B183">_xlfn.IFS(AS183="RegularSeason",D183,AS183&lt;&gt;"RegularSeason",K183)</f>
        <v>00101101010010100000000000011011</v>
      </c>
      <c r="C183" t="str">
        <f t="shared" si="6"/>
        <v>00101101010010100000000000011111</v>
      </c>
      <c r="D183" t="str">
        <f t="shared" si="7"/>
        <v>00101101010010100000000000011011</v>
      </c>
      <c r="E183" t="str" cm="1">
        <f t="array" ref="E183">_xlfn.XLOOKUP(_xlfn.XLOOKUP(G183,New!A:A,New!M:M,NONE),TeamIdentity!A:A,TeamIdentity!C:C,NONE)</f>
        <v>00011111</v>
      </c>
      <c r="F183" t="str" cm="1">
        <f t="array" ref="F183">_xlfn.XLOOKUP(_xlfn.XLOOKUP(G183,New!A:A,New!F:F,NONE),TeamIdentity!A:A,TeamIdentity!C:C,NONE)</f>
        <v>00011011</v>
      </c>
      <c r="G183" t="str">
        <f t="shared" si="8"/>
        <v>9-0</v>
      </c>
      <c r="H183" t="s">
        <v>54</v>
      </c>
      <c r="I183" t="s">
        <v>54</v>
      </c>
      <c r="J183" t="s">
        <v>54</v>
      </c>
      <c r="K183" t="s">
        <v>527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520</v>
      </c>
      <c r="S183">
        <v>-1</v>
      </c>
      <c r="T183">
        <v>0</v>
      </c>
      <c r="U183">
        <v>-1</v>
      </c>
      <c r="V183">
        <v>0</v>
      </c>
      <c r="W183" t="s">
        <v>70</v>
      </c>
      <c r="X183">
        <v>0</v>
      </c>
      <c r="Y183">
        <v>0</v>
      </c>
      <c r="Z183">
        <v>780</v>
      </c>
      <c r="AA183" t="s">
        <v>57</v>
      </c>
      <c r="AB183">
        <v>0</v>
      </c>
      <c r="AC183">
        <v>0</v>
      </c>
      <c r="AD183">
        <v>0</v>
      </c>
      <c r="AE183">
        <v>0</v>
      </c>
      <c r="AF183" t="s">
        <v>67</v>
      </c>
      <c r="AG183">
        <v>0</v>
      </c>
      <c r="AH183">
        <v>0</v>
      </c>
      <c r="AI183">
        <v>0</v>
      </c>
      <c r="AJ183">
        <v>0</v>
      </c>
      <c r="AK183" t="s">
        <v>60</v>
      </c>
      <c r="AL183">
        <v>0</v>
      </c>
      <c r="AM183">
        <v>0</v>
      </c>
      <c r="AN183">
        <v>0</v>
      </c>
      <c r="AO183">
        <v>0</v>
      </c>
      <c r="AP183" t="b">
        <v>0</v>
      </c>
      <c r="AQ183" t="s">
        <v>58</v>
      </c>
      <c r="AR183" t="s">
        <v>58</v>
      </c>
      <c r="AS183" t="s">
        <v>71</v>
      </c>
      <c r="AT183">
        <v>14</v>
      </c>
      <c r="AU183">
        <v>9</v>
      </c>
      <c r="AV183">
        <v>0</v>
      </c>
      <c r="AW183">
        <v>11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s">
        <v>61</v>
      </c>
      <c r="BF183" t="s">
        <v>57</v>
      </c>
      <c r="BG183" t="s">
        <v>55</v>
      </c>
      <c r="BH183" t="s">
        <v>58</v>
      </c>
      <c r="BI183" t="s">
        <v>58</v>
      </c>
    </row>
    <row r="184" spans="1:61" x14ac:dyDescent="0.25">
      <c r="A184" t="str" cm="1">
        <f t="array" ref="A184">_xlfn.IFS(AS184="RegularSeason",C184,AS184&lt;&gt;"RegularSeason",R184)</f>
        <v>00101101010010100000000000011100</v>
      </c>
      <c r="B184" t="str" cm="1">
        <f t="array" ref="B184">_xlfn.IFS(AS184="RegularSeason",D184,AS184&lt;&gt;"RegularSeason",K184)</f>
        <v>00101101010010100000000000011001</v>
      </c>
      <c r="C184" t="str">
        <f t="shared" si="6"/>
        <v>00101101010010100000000000011100</v>
      </c>
      <c r="D184" t="str">
        <f t="shared" si="7"/>
        <v>00101101010010100000000000011001</v>
      </c>
      <c r="E184" t="str" cm="1">
        <f t="array" ref="E184">_xlfn.XLOOKUP(_xlfn.XLOOKUP(G184,New!A:A,New!M:M,NONE),TeamIdentity!A:A,TeamIdentity!C:C,NONE)</f>
        <v>00011100</v>
      </c>
      <c r="F184" t="str" cm="1">
        <f t="array" ref="F184">_xlfn.XLOOKUP(_xlfn.XLOOKUP(G184,New!A:A,New!F:F,NONE),TeamIdentity!A:A,TeamIdentity!C:C,NONE)</f>
        <v>00011001</v>
      </c>
      <c r="G184" t="str">
        <f t="shared" si="8"/>
        <v>9-1</v>
      </c>
      <c r="H184" t="s">
        <v>54</v>
      </c>
      <c r="I184" t="s">
        <v>54</v>
      </c>
      <c r="J184" t="s">
        <v>54</v>
      </c>
      <c r="K184" t="s">
        <v>533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519</v>
      </c>
      <c r="S184">
        <v>-1</v>
      </c>
      <c r="T184">
        <v>0</v>
      </c>
      <c r="U184">
        <v>-1</v>
      </c>
      <c r="V184">
        <v>0</v>
      </c>
      <c r="W184" t="s">
        <v>70</v>
      </c>
      <c r="X184">
        <v>0</v>
      </c>
      <c r="Y184">
        <v>0</v>
      </c>
      <c r="Z184">
        <v>780</v>
      </c>
      <c r="AA184" t="s">
        <v>57</v>
      </c>
      <c r="AB184">
        <v>0</v>
      </c>
      <c r="AC184">
        <v>0</v>
      </c>
      <c r="AD184">
        <v>0</v>
      </c>
      <c r="AE184">
        <v>0</v>
      </c>
      <c r="AF184" t="s">
        <v>67</v>
      </c>
      <c r="AG184">
        <v>0</v>
      </c>
      <c r="AH184">
        <v>0</v>
      </c>
      <c r="AI184">
        <v>0</v>
      </c>
      <c r="AJ184">
        <v>0</v>
      </c>
      <c r="AK184" t="s">
        <v>60</v>
      </c>
      <c r="AL184">
        <v>0</v>
      </c>
      <c r="AM184">
        <v>0</v>
      </c>
      <c r="AN184">
        <v>0</v>
      </c>
      <c r="AO184">
        <v>0</v>
      </c>
      <c r="AP184" t="b">
        <v>0</v>
      </c>
      <c r="AQ184" t="s">
        <v>58</v>
      </c>
      <c r="AR184" t="s">
        <v>58</v>
      </c>
      <c r="AS184" t="s">
        <v>71</v>
      </c>
      <c r="AT184">
        <v>14</v>
      </c>
      <c r="AU184">
        <v>9</v>
      </c>
      <c r="AV184">
        <v>1</v>
      </c>
      <c r="AW184">
        <v>11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s">
        <v>61</v>
      </c>
      <c r="BF184" t="s">
        <v>57</v>
      </c>
      <c r="BG184" t="s">
        <v>55</v>
      </c>
      <c r="BH184" t="s">
        <v>58</v>
      </c>
      <c r="BI184" t="s">
        <v>58</v>
      </c>
    </row>
    <row r="185" spans="1:61" x14ac:dyDescent="0.25">
      <c r="A185" t="str" cm="1">
        <f t="array" ref="A185">_xlfn.IFS(AS185="RegularSeason",C185,AS185&lt;&gt;"RegularSeason",R185)</f>
        <v>00101101010010100000000000001010</v>
      </c>
      <c r="B185" t="str" cm="1">
        <f t="array" ref="B185">_xlfn.IFS(AS185="RegularSeason",D185,AS185&lt;&gt;"RegularSeason",K185)</f>
        <v>00101101010010100000000000001011</v>
      </c>
      <c r="C185" t="str">
        <f t="shared" si="6"/>
        <v>00101101010010100000000000001010</v>
      </c>
      <c r="D185" t="str">
        <f t="shared" si="7"/>
        <v>00101101010010100000000000001011</v>
      </c>
      <c r="E185" t="str" cm="1">
        <f t="array" ref="E185">_xlfn.XLOOKUP(_xlfn.XLOOKUP(G185,New!A:A,New!M:M,NONE),TeamIdentity!A:A,TeamIdentity!C:C,NONE)</f>
        <v>00001010</v>
      </c>
      <c r="F185" t="str" cm="1">
        <f t="array" ref="F185">_xlfn.XLOOKUP(_xlfn.XLOOKUP(G185,New!A:A,New!F:F,NONE),TeamIdentity!A:A,TeamIdentity!C:C,NONE)</f>
        <v>00001011</v>
      </c>
      <c r="G185" t="str">
        <f t="shared" si="8"/>
        <v>8-7</v>
      </c>
      <c r="H185" t="s">
        <v>54</v>
      </c>
      <c r="I185" t="s">
        <v>54</v>
      </c>
      <c r="J185" t="s">
        <v>54</v>
      </c>
      <c r="K185" t="s">
        <v>525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519</v>
      </c>
      <c r="S185">
        <v>-1</v>
      </c>
      <c r="T185">
        <v>0</v>
      </c>
      <c r="U185">
        <v>-1</v>
      </c>
      <c r="V185">
        <v>0</v>
      </c>
      <c r="W185" t="s">
        <v>70</v>
      </c>
      <c r="X185">
        <v>0</v>
      </c>
      <c r="Y185">
        <v>0</v>
      </c>
      <c r="Z185">
        <v>965</v>
      </c>
      <c r="AA185" t="s">
        <v>57</v>
      </c>
      <c r="AB185">
        <v>0</v>
      </c>
      <c r="AC185">
        <v>0</v>
      </c>
      <c r="AD185">
        <v>0</v>
      </c>
      <c r="AE185">
        <v>0</v>
      </c>
      <c r="AF185" t="s">
        <v>67</v>
      </c>
      <c r="AG185">
        <v>0</v>
      </c>
      <c r="AH185">
        <v>0</v>
      </c>
      <c r="AI185">
        <v>0</v>
      </c>
      <c r="AJ185">
        <v>0</v>
      </c>
      <c r="AK185" t="s">
        <v>60</v>
      </c>
      <c r="AL185">
        <v>0</v>
      </c>
      <c r="AM185">
        <v>0</v>
      </c>
      <c r="AN185">
        <v>0</v>
      </c>
      <c r="AO185">
        <v>0</v>
      </c>
      <c r="AP185" t="b">
        <v>0</v>
      </c>
      <c r="AQ185" t="s">
        <v>58</v>
      </c>
      <c r="AR185" t="s">
        <v>58</v>
      </c>
      <c r="AS185" t="s">
        <v>71</v>
      </c>
      <c r="AT185">
        <v>14</v>
      </c>
      <c r="AU185">
        <v>8</v>
      </c>
      <c r="AV185">
        <v>7</v>
      </c>
      <c r="AW185">
        <v>11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s">
        <v>61</v>
      </c>
      <c r="BF185" t="s">
        <v>57</v>
      </c>
      <c r="BG185" t="s">
        <v>55</v>
      </c>
      <c r="BH185" t="s">
        <v>58</v>
      </c>
      <c r="BI185" t="s">
        <v>58</v>
      </c>
    </row>
    <row r="186" spans="1:61" x14ac:dyDescent="0.25">
      <c r="A186" t="str" cm="1">
        <f t="array" ref="A186">_xlfn.IFS(AS186="RegularSeason",C186,AS186&lt;&gt;"RegularSeason",R186)</f>
        <v>00101101010010100000000000011110</v>
      </c>
      <c r="B186" t="str" cm="1">
        <f t="array" ref="B186">_xlfn.IFS(AS186="RegularSeason",D186,AS186&lt;&gt;"RegularSeason",K186)</f>
        <v>00101101010010100000000000000101</v>
      </c>
      <c r="C186" t="str">
        <f t="shared" si="6"/>
        <v>00101101010010100000000000011110</v>
      </c>
      <c r="D186" t="str">
        <f t="shared" si="7"/>
        <v>00101101010010100000000000000101</v>
      </c>
      <c r="E186" t="str" cm="1">
        <f t="array" ref="E186">_xlfn.XLOOKUP(_xlfn.XLOOKUP(G186,New!A:A,New!M:M,NONE),TeamIdentity!A:A,TeamIdentity!C:C,NONE)</f>
        <v>00011110</v>
      </c>
      <c r="F186" t="str" cm="1">
        <f t="array" ref="F186">_xlfn.XLOOKUP(_xlfn.XLOOKUP(G186,New!A:A,New!F:F,NONE),TeamIdentity!A:A,TeamIdentity!C:C,NONE)</f>
        <v>00000101</v>
      </c>
      <c r="G186" t="str">
        <f t="shared" si="8"/>
        <v>10-0</v>
      </c>
      <c r="H186" t="s">
        <v>54</v>
      </c>
      <c r="I186" t="s">
        <v>54</v>
      </c>
      <c r="J186" t="s">
        <v>54</v>
      </c>
      <c r="K186" t="s">
        <v>530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540</v>
      </c>
      <c r="S186">
        <v>-1</v>
      </c>
      <c r="T186">
        <v>0</v>
      </c>
      <c r="U186">
        <v>-1</v>
      </c>
      <c r="V186">
        <v>0</v>
      </c>
      <c r="W186" t="s">
        <v>70</v>
      </c>
      <c r="X186">
        <v>0</v>
      </c>
      <c r="Y186">
        <v>0</v>
      </c>
      <c r="Z186">
        <v>780</v>
      </c>
      <c r="AA186" t="s">
        <v>57</v>
      </c>
      <c r="AB186">
        <v>0</v>
      </c>
      <c r="AC186">
        <v>0</v>
      </c>
      <c r="AD186">
        <v>0</v>
      </c>
      <c r="AE186">
        <v>0</v>
      </c>
      <c r="AF186" t="s">
        <v>67</v>
      </c>
      <c r="AG186">
        <v>0</v>
      </c>
      <c r="AH186">
        <v>0</v>
      </c>
      <c r="AI186">
        <v>0</v>
      </c>
      <c r="AJ186">
        <v>0</v>
      </c>
      <c r="AK186" t="s">
        <v>60</v>
      </c>
      <c r="AL186">
        <v>0</v>
      </c>
      <c r="AM186">
        <v>0</v>
      </c>
      <c r="AN186">
        <v>0</v>
      </c>
      <c r="AO186">
        <v>0</v>
      </c>
      <c r="AP186" t="b">
        <v>0</v>
      </c>
      <c r="AQ186" t="s">
        <v>58</v>
      </c>
      <c r="AR186" t="s">
        <v>58</v>
      </c>
      <c r="AS186" t="s">
        <v>71</v>
      </c>
      <c r="AT186">
        <v>14</v>
      </c>
      <c r="AU186">
        <v>10</v>
      </c>
      <c r="AV186">
        <v>0</v>
      </c>
      <c r="AW186">
        <v>11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s">
        <v>61</v>
      </c>
      <c r="BF186" t="s">
        <v>57</v>
      </c>
      <c r="BG186" t="s">
        <v>55</v>
      </c>
      <c r="BH186" t="s">
        <v>58</v>
      </c>
      <c r="BI186" t="s">
        <v>58</v>
      </c>
    </row>
    <row r="187" spans="1:61" x14ac:dyDescent="0.25">
      <c r="A187" t="str" cm="1">
        <f t="array" ref="A187">_xlfn.IFS(AS187="RegularSeason",C187,AS187&lt;&gt;"RegularSeason",R187)</f>
        <v>00101101010010100000000000010000</v>
      </c>
      <c r="B187" t="str" cm="1">
        <f t="array" ref="B187">_xlfn.IFS(AS187="RegularSeason",D187,AS187&lt;&gt;"RegularSeason",K187)</f>
        <v>00101101010010100000000000001110</v>
      </c>
      <c r="C187" t="str">
        <f t="shared" si="6"/>
        <v>00101101010010100000000000010000</v>
      </c>
      <c r="D187" t="str">
        <f t="shared" si="7"/>
        <v>00101101010010100000000000001110</v>
      </c>
      <c r="E187" t="str" cm="1">
        <f t="array" ref="E187">_xlfn.XLOOKUP(_xlfn.XLOOKUP(G187,New!A:A,New!M:M,NONE),TeamIdentity!A:A,TeamIdentity!C:C,NONE)</f>
        <v>00010000</v>
      </c>
      <c r="F187" t="str" cm="1">
        <f t="array" ref="F187">_xlfn.XLOOKUP(_xlfn.XLOOKUP(G187,New!A:A,New!F:F,NONE),TeamIdentity!A:A,TeamIdentity!C:C,NONE)</f>
        <v>00001110</v>
      </c>
      <c r="G187" t="str">
        <f t="shared" si="8"/>
        <v>9-9</v>
      </c>
      <c r="H187" t="s">
        <v>54</v>
      </c>
      <c r="I187" t="s">
        <v>54</v>
      </c>
      <c r="J187" t="s">
        <v>54</v>
      </c>
      <c r="K187" t="s">
        <v>542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541</v>
      </c>
      <c r="S187">
        <v>-1</v>
      </c>
      <c r="T187">
        <v>0</v>
      </c>
      <c r="U187">
        <v>-1</v>
      </c>
      <c r="V187">
        <v>0</v>
      </c>
      <c r="W187" t="s">
        <v>70</v>
      </c>
      <c r="X187">
        <v>0</v>
      </c>
      <c r="Y187">
        <v>0</v>
      </c>
      <c r="Z187">
        <v>975</v>
      </c>
      <c r="AA187" t="s">
        <v>57</v>
      </c>
      <c r="AB187">
        <v>0</v>
      </c>
      <c r="AC187">
        <v>0</v>
      </c>
      <c r="AD187">
        <v>0</v>
      </c>
      <c r="AE187">
        <v>0</v>
      </c>
      <c r="AF187" t="s">
        <v>67</v>
      </c>
      <c r="AG187">
        <v>0</v>
      </c>
      <c r="AH187">
        <v>0</v>
      </c>
      <c r="AI187">
        <v>0</v>
      </c>
      <c r="AJ187">
        <v>0</v>
      </c>
      <c r="AK187" t="s">
        <v>60</v>
      </c>
      <c r="AL187">
        <v>0</v>
      </c>
      <c r="AM187">
        <v>0</v>
      </c>
      <c r="AN187">
        <v>0</v>
      </c>
      <c r="AO187">
        <v>0</v>
      </c>
      <c r="AP187" t="b">
        <v>0</v>
      </c>
      <c r="AQ187" t="s">
        <v>58</v>
      </c>
      <c r="AR187" t="s">
        <v>58</v>
      </c>
      <c r="AS187" t="s">
        <v>71</v>
      </c>
      <c r="AT187">
        <v>14</v>
      </c>
      <c r="AU187">
        <v>9</v>
      </c>
      <c r="AV187">
        <v>9</v>
      </c>
      <c r="AW187">
        <v>11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s">
        <v>61</v>
      </c>
      <c r="BF187" t="s">
        <v>57</v>
      </c>
      <c r="BG187" t="s">
        <v>55</v>
      </c>
      <c r="BH187" t="s">
        <v>58</v>
      </c>
      <c r="BI187" t="s">
        <v>58</v>
      </c>
    </row>
    <row r="188" spans="1:61" x14ac:dyDescent="0.25">
      <c r="A188" t="str" cm="1">
        <f t="array" ref="A188">_xlfn.IFS(AS188="RegularSeason",C188,AS188&lt;&gt;"RegularSeason",R188)</f>
        <v>00101101010010100000000000010101</v>
      </c>
      <c r="B188" t="str" cm="1">
        <f t="array" ref="B188">_xlfn.IFS(AS188="RegularSeason",D188,AS188&lt;&gt;"RegularSeason",K188)</f>
        <v>00101101010010100000000000000010</v>
      </c>
      <c r="C188" t="str">
        <f t="shared" si="6"/>
        <v>00101101010010100000000000010101</v>
      </c>
      <c r="D188" t="str">
        <f t="shared" si="7"/>
        <v>00101101010010100000000000000010</v>
      </c>
      <c r="E188" t="str" cm="1">
        <f t="array" ref="E188">_xlfn.XLOOKUP(_xlfn.XLOOKUP(G188,New!A:A,New!M:M,NONE),TeamIdentity!A:A,TeamIdentity!C:C,NONE)</f>
        <v>00010101</v>
      </c>
      <c r="F188" t="str" cm="1">
        <f t="array" ref="F188">_xlfn.XLOOKUP(_xlfn.XLOOKUP(G188,New!A:A,New!F:F,NONE),TeamIdentity!A:A,TeamIdentity!C:C,NONE)</f>
        <v>00000010</v>
      </c>
      <c r="G188" t="str">
        <f t="shared" si="8"/>
        <v>9-7</v>
      </c>
      <c r="H188" t="s">
        <v>54</v>
      </c>
      <c r="I188" t="s">
        <v>54</v>
      </c>
      <c r="J188" t="s">
        <v>54</v>
      </c>
      <c r="K188" t="s">
        <v>532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525</v>
      </c>
      <c r="S188">
        <v>-1</v>
      </c>
      <c r="T188">
        <v>0</v>
      </c>
      <c r="U188">
        <v>-1</v>
      </c>
      <c r="V188">
        <v>0</v>
      </c>
      <c r="W188" t="s">
        <v>70</v>
      </c>
      <c r="X188">
        <v>0</v>
      </c>
      <c r="Y188">
        <v>0</v>
      </c>
      <c r="Z188">
        <v>965</v>
      </c>
      <c r="AA188" t="s">
        <v>57</v>
      </c>
      <c r="AB188">
        <v>0</v>
      </c>
      <c r="AC188">
        <v>0</v>
      </c>
      <c r="AD188">
        <v>0</v>
      </c>
      <c r="AE188">
        <v>0</v>
      </c>
      <c r="AF188" t="s">
        <v>67</v>
      </c>
      <c r="AG188">
        <v>0</v>
      </c>
      <c r="AH188">
        <v>0</v>
      </c>
      <c r="AI188">
        <v>0</v>
      </c>
      <c r="AJ188">
        <v>0</v>
      </c>
      <c r="AK188" t="s">
        <v>60</v>
      </c>
      <c r="AL188">
        <v>0</v>
      </c>
      <c r="AM188">
        <v>0</v>
      </c>
      <c r="AN188">
        <v>0</v>
      </c>
      <c r="AO188">
        <v>0</v>
      </c>
      <c r="AP188" t="b">
        <v>0</v>
      </c>
      <c r="AQ188" t="s">
        <v>58</v>
      </c>
      <c r="AR188" t="s">
        <v>58</v>
      </c>
      <c r="AS188" t="s">
        <v>71</v>
      </c>
      <c r="AT188">
        <v>14</v>
      </c>
      <c r="AU188">
        <v>9</v>
      </c>
      <c r="AV188">
        <v>7</v>
      </c>
      <c r="AW188">
        <v>11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s">
        <v>61</v>
      </c>
      <c r="BF188" t="s">
        <v>57</v>
      </c>
      <c r="BG188" t="s">
        <v>55</v>
      </c>
      <c r="BH188" t="s">
        <v>58</v>
      </c>
      <c r="BI188" t="s">
        <v>58</v>
      </c>
    </row>
    <row r="189" spans="1:61" x14ac:dyDescent="0.25">
      <c r="A189" t="str" cm="1">
        <f t="array" ref="A189">_xlfn.IFS(AS189="RegularSeason",C189,AS189&lt;&gt;"RegularSeason",R189)</f>
        <v>00101101010010100000000000001111</v>
      </c>
      <c r="B189" t="str" cm="1">
        <f t="array" ref="B189">_xlfn.IFS(AS189="RegularSeason",D189,AS189&lt;&gt;"RegularSeason",K189)</f>
        <v>00101101010010100000000000000100</v>
      </c>
      <c r="C189" t="str">
        <f t="shared" si="6"/>
        <v>00101101010010100000000000001111</v>
      </c>
      <c r="D189" t="str">
        <f t="shared" si="7"/>
        <v>00101101010010100000000000000100</v>
      </c>
      <c r="E189" t="str" cm="1">
        <f t="array" ref="E189">_xlfn.XLOOKUP(_xlfn.XLOOKUP(G189,New!A:A,New!M:M,NONE),TeamIdentity!A:A,TeamIdentity!C:C,NONE)</f>
        <v>00001111</v>
      </c>
      <c r="F189" t="str" cm="1">
        <f t="array" ref="F189">_xlfn.XLOOKUP(_xlfn.XLOOKUP(G189,New!A:A,New!F:F,NONE),TeamIdentity!A:A,TeamIdentity!C:C,NONE)</f>
        <v>00000100</v>
      </c>
      <c r="G189" t="str">
        <f t="shared" si="8"/>
        <v>9-2</v>
      </c>
      <c r="H189" t="s">
        <v>54</v>
      </c>
      <c r="I189" t="s">
        <v>54</v>
      </c>
      <c r="J189" t="s">
        <v>54</v>
      </c>
      <c r="K189" t="s">
        <v>521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524</v>
      </c>
      <c r="S189">
        <v>-1</v>
      </c>
      <c r="T189">
        <v>0</v>
      </c>
      <c r="U189">
        <v>-1</v>
      </c>
      <c r="V189">
        <v>0</v>
      </c>
      <c r="W189" t="s">
        <v>70</v>
      </c>
      <c r="X189">
        <v>0</v>
      </c>
      <c r="Y189">
        <v>0</v>
      </c>
      <c r="Z189">
        <v>780</v>
      </c>
      <c r="AA189" t="s">
        <v>57</v>
      </c>
      <c r="AB189">
        <v>0</v>
      </c>
      <c r="AC189">
        <v>0</v>
      </c>
      <c r="AD189">
        <v>0</v>
      </c>
      <c r="AE189">
        <v>0</v>
      </c>
      <c r="AF189" t="s">
        <v>67</v>
      </c>
      <c r="AG189">
        <v>0</v>
      </c>
      <c r="AH189">
        <v>0</v>
      </c>
      <c r="AI189">
        <v>0</v>
      </c>
      <c r="AJ189">
        <v>0</v>
      </c>
      <c r="AK189" t="s">
        <v>60</v>
      </c>
      <c r="AL189">
        <v>0</v>
      </c>
      <c r="AM189">
        <v>0</v>
      </c>
      <c r="AN189">
        <v>0</v>
      </c>
      <c r="AO189">
        <v>0</v>
      </c>
      <c r="AP189" t="b">
        <v>0</v>
      </c>
      <c r="AQ189" t="s">
        <v>58</v>
      </c>
      <c r="AR189" t="s">
        <v>58</v>
      </c>
      <c r="AS189" t="s">
        <v>71</v>
      </c>
      <c r="AT189">
        <v>14</v>
      </c>
      <c r="AU189">
        <v>9</v>
      </c>
      <c r="AV189">
        <v>2</v>
      </c>
      <c r="AW189">
        <v>11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s">
        <v>61</v>
      </c>
      <c r="BF189" t="s">
        <v>57</v>
      </c>
      <c r="BG189" t="s">
        <v>55</v>
      </c>
      <c r="BH189" t="s">
        <v>58</v>
      </c>
      <c r="BI189" t="s">
        <v>58</v>
      </c>
    </row>
    <row r="190" spans="1:61" x14ac:dyDescent="0.25">
      <c r="A190" t="str" cm="1">
        <f t="array" ref="A190">_xlfn.IFS(AS190="RegularSeason",C190,AS190&lt;&gt;"RegularSeason",R190)</f>
        <v>00101101010010100000000000000001</v>
      </c>
      <c r="B190" t="str" cm="1">
        <f t="array" ref="B190">_xlfn.IFS(AS190="RegularSeason",D190,AS190&lt;&gt;"RegularSeason",K190)</f>
        <v>00101101010010100000000000100100</v>
      </c>
      <c r="C190" t="str">
        <f t="shared" si="6"/>
        <v>00101101010010100000000000000001</v>
      </c>
      <c r="D190" t="str">
        <f t="shared" si="7"/>
        <v>00101101010010100000000000100100</v>
      </c>
      <c r="E190" t="str" cm="1">
        <f t="array" ref="E190">_xlfn.XLOOKUP(_xlfn.XLOOKUP(G190,New!A:A,New!M:M,NONE),TeamIdentity!A:A,TeamIdentity!C:C,NONE)</f>
        <v>00000001</v>
      </c>
      <c r="F190" t="str" cm="1">
        <f t="array" ref="F190">_xlfn.XLOOKUP(_xlfn.XLOOKUP(G190,New!A:A,New!F:F,NONE),TeamIdentity!A:A,TeamIdentity!C:C,NONE)</f>
        <v>00100100</v>
      </c>
      <c r="G190" t="str">
        <f t="shared" si="8"/>
        <v>7-11</v>
      </c>
      <c r="H190" t="s">
        <v>54</v>
      </c>
      <c r="I190" t="s">
        <v>54</v>
      </c>
      <c r="J190" t="s">
        <v>54</v>
      </c>
      <c r="K190" t="s">
        <v>529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528</v>
      </c>
      <c r="S190">
        <v>-1</v>
      </c>
      <c r="T190">
        <v>0</v>
      </c>
      <c r="U190">
        <v>-1</v>
      </c>
      <c r="V190">
        <v>0</v>
      </c>
      <c r="W190" t="s">
        <v>70</v>
      </c>
      <c r="X190">
        <v>0</v>
      </c>
      <c r="Y190">
        <v>0</v>
      </c>
      <c r="Z190">
        <v>975</v>
      </c>
      <c r="AA190" t="s">
        <v>57</v>
      </c>
      <c r="AB190">
        <v>0</v>
      </c>
      <c r="AC190">
        <v>0</v>
      </c>
      <c r="AD190">
        <v>0</v>
      </c>
      <c r="AE190">
        <v>0</v>
      </c>
      <c r="AF190" t="s">
        <v>67</v>
      </c>
      <c r="AG190">
        <v>0</v>
      </c>
      <c r="AH190">
        <v>0</v>
      </c>
      <c r="AI190">
        <v>0</v>
      </c>
      <c r="AJ190">
        <v>0</v>
      </c>
      <c r="AK190" t="s">
        <v>60</v>
      </c>
      <c r="AL190">
        <v>0</v>
      </c>
      <c r="AM190">
        <v>0</v>
      </c>
      <c r="AN190">
        <v>0</v>
      </c>
      <c r="AO190">
        <v>0</v>
      </c>
      <c r="AP190" t="b">
        <v>0</v>
      </c>
      <c r="AQ190" t="s">
        <v>58</v>
      </c>
      <c r="AR190" t="s">
        <v>58</v>
      </c>
      <c r="AS190" t="s">
        <v>71</v>
      </c>
      <c r="AT190">
        <v>14</v>
      </c>
      <c r="AU190">
        <v>7</v>
      </c>
      <c r="AV190">
        <v>11</v>
      </c>
      <c r="AW190">
        <v>11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s">
        <v>61</v>
      </c>
      <c r="BF190" t="s">
        <v>57</v>
      </c>
      <c r="BG190" t="s">
        <v>55</v>
      </c>
      <c r="BH190" t="s">
        <v>58</v>
      </c>
      <c r="BI190" t="s">
        <v>58</v>
      </c>
    </row>
    <row r="191" spans="1:61" x14ac:dyDescent="0.25">
      <c r="A191" t="str" cm="1">
        <f t="array" ref="A191">_xlfn.IFS(AS191="RegularSeason",C191,AS191&lt;&gt;"RegularSeason",R191)</f>
        <v>00101101010010100000000000001110</v>
      </c>
      <c r="B191" t="str" cm="1">
        <f t="array" ref="B191">_xlfn.IFS(AS191="RegularSeason",D191,AS191&lt;&gt;"RegularSeason",K191)</f>
        <v>00101101010010100000000000010110</v>
      </c>
      <c r="C191" t="str">
        <f t="shared" si="6"/>
        <v>00101101010010100000000000001110</v>
      </c>
      <c r="D191" t="str">
        <f t="shared" si="7"/>
        <v>00101101010010100000000000010110</v>
      </c>
      <c r="E191" t="str" cm="1">
        <f t="array" ref="E191">_xlfn.XLOOKUP(_xlfn.XLOOKUP(G191,New!A:A,New!M:M,NONE),TeamIdentity!A:A,TeamIdentity!C:C,NONE)</f>
        <v>00001110</v>
      </c>
      <c r="F191" t="str" cm="1">
        <f t="array" ref="F191">_xlfn.XLOOKUP(_xlfn.XLOOKUP(G191,New!A:A,New!F:F,NONE),TeamIdentity!A:A,TeamIdentity!C:C,NONE)</f>
        <v>00010110</v>
      </c>
      <c r="G191" t="str">
        <f t="shared" si="8"/>
        <v>10-14</v>
      </c>
      <c r="H191" t="s">
        <v>54</v>
      </c>
      <c r="I191" t="s">
        <v>54</v>
      </c>
      <c r="J191" t="s">
        <v>54</v>
      </c>
      <c r="K191" t="s">
        <v>515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517</v>
      </c>
      <c r="S191">
        <v>-1</v>
      </c>
      <c r="T191">
        <v>0</v>
      </c>
      <c r="U191">
        <v>-1</v>
      </c>
      <c r="V191">
        <v>0</v>
      </c>
      <c r="W191" t="s">
        <v>70</v>
      </c>
      <c r="X191">
        <v>0</v>
      </c>
      <c r="Y191">
        <v>0</v>
      </c>
      <c r="Z191">
        <v>1220</v>
      </c>
      <c r="AA191" t="s">
        <v>57</v>
      </c>
      <c r="AB191">
        <v>0</v>
      </c>
      <c r="AC191">
        <v>0</v>
      </c>
      <c r="AD191">
        <v>0</v>
      </c>
      <c r="AE191">
        <v>0</v>
      </c>
      <c r="AF191" t="s">
        <v>68</v>
      </c>
      <c r="AG191">
        <v>0</v>
      </c>
      <c r="AH191">
        <v>0</v>
      </c>
      <c r="AI191">
        <v>0</v>
      </c>
      <c r="AJ191">
        <v>0</v>
      </c>
      <c r="AK191" t="s">
        <v>68</v>
      </c>
      <c r="AL191">
        <v>0</v>
      </c>
      <c r="AM191">
        <v>0</v>
      </c>
      <c r="AN191">
        <v>0</v>
      </c>
      <c r="AO191">
        <v>0</v>
      </c>
      <c r="AP191" t="b">
        <v>0</v>
      </c>
      <c r="AQ191" t="s">
        <v>58</v>
      </c>
      <c r="AR191" t="s">
        <v>58</v>
      </c>
      <c r="AS191" t="s">
        <v>71</v>
      </c>
      <c r="AT191">
        <v>14</v>
      </c>
      <c r="AU191">
        <v>10</v>
      </c>
      <c r="AV191">
        <v>14</v>
      </c>
      <c r="AW191">
        <v>11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s">
        <v>61</v>
      </c>
      <c r="BF191" t="s">
        <v>57</v>
      </c>
      <c r="BG191" t="s">
        <v>55</v>
      </c>
      <c r="BH191" t="s">
        <v>58</v>
      </c>
      <c r="BI191" t="s">
        <v>58</v>
      </c>
    </row>
    <row r="192" spans="1:61" x14ac:dyDescent="0.25">
      <c r="A192" t="str" cm="1">
        <f t="array" ref="A192">_xlfn.IFS(AS192="RegularSeason",C192,AS192&lt;&gt;"RegularSeason",R192)</f>
        <v>00101101010010100000000000100100</v>
      </c>
      <c r="B192" t="str" cm="1">
        <f t="array" ref="B192">_xlfn.IFS(AS192="RegularSeason",D192,AS192&lt;&gt;"RegularSeason",K192)</f>
        <v>00101101010010100000000000010111</v>
      </c>
      <c r="C192" t="str">
        <f t="shared" si="6"/>
        <v>00101101010010100000000000100100</v>
      </c>
      <c r="D192" t="str">
        <f t="shared" si="7"/>
        <v>00101101010010100000000000010111</v>
      </c>
      <c r="E192" t="str" cm="1">
        <f t="array" ref="E192">_xlfn.XLOOKUP(_xlfn.XLOOKUP(G192,New!A:A,New!M:M,NONE),TeamIdentity!A:A,TeamIdentity!C:C,NONE)</f>
        <v>00100100</v>
      </c>
      <c r="F192" t="str" cm="1">
        <f t="array" ref="F192">_xlfn.XLOOKUP(_xlfn.XLOOKUP(G192,New!A:A,New!F:F,NONE),TeamIdentity!A:A,TeamIdentity!C:C,NONE)</f>
        <v>00010111</v>
      </c>
      <c r="G192" t="str">
        <f t="shared" si="8"/>
        <v>9-3</v>
      </c>
      <c r="H192" t="s">
        <v>54</v>
      </c>
      <c r="I192" t="s">
        <v>54</v>
      </c>
      <c r="J192" t="s">
        <v>54</v>
      </c>
      <c r="K192" t="s">
        <v>536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534</v>
      </c>
      <c r="S192">
        <v>-1</v>
      </c>
      <c r="T192">
        <v>0</v>
      </c>
      <c r="U192">
        <v>-1</v>
      </c>
      <c r="V192">
        <v>0</v>
      </c>
      <c r="W192" t="s">
        <v>70</v>
      </c>
      <c r="X192">
        <v>0</v>
      </c>
      <c r="Y192">
        <v>0</v>
      </c>
      <c r="Z192">
        <v>780</v>
      </c>
      <c r="AA192" t="s">
        <v>57</v>
      </c>
      <c r="AB192">
        <v>0</v>
      </c>
      <c r="AC192">
        <v>0</v>
      </c>
      <c r="AD192">
        <v>0</v>
      </c>
      <c r="AE192">
        <v>0</v>
      </c>
      <c r="AF192" t="s">
        <v>67</v>
      </c>
      <c r="AG192">
        <v>0</v>
      </c>
      <c r="AH192">
        <v>0</v>
      </c>
      <c r="AI192">
        <v>0</v>
      </c>
      <c r="AJ192">
        <v>0</v>
      </c>
      <c r="AK192" t="s">
        <v>60</v>
      </c>
      <c r="AL192">
        <v>0</v>
      </c>
      <c r="AM192">
        <v>0</v>
      </c>
      <c r="AN192">
        <v>0</v>
      </c>
      <c r="AO192">
        <v>0</v>
      </c>
      <c r="AP192" t="b">
        <v>0</v>
      </c>
      <c r="AQ192" t="s">
        <v>58</v>
      </c>
      <c r="AR192" t="s">
        <v>58</v>
      </c>
      <c r="AS192" t="s">
        <v>71</v>
      </c>
      <c r="AT192">
        <v>14</v>
      </c>
      <c r="AU192">
        <v>9</v>
      </c>
      <c r="AV192">
        <v>3</v>
      </c>
      <c r="AW192">
        <v>11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s">
        <v>61</v>
      </c>
      <c r="BF192" t="s">
        <v>57</v>
      </c>
      <c r="BG192" t="s">
        <v>55</v>
      </c>
      <c r="BH192" t="s">
        <v>58</v>
      </c>
      <c r="BI192" t="s">
        <v>58</v>
      </c>
    </row>
    <row r="193" spans="1:61" x14ac:dyDescent="0.25">
      <c r="A193" t="str" cm="1">
        <f t="array" ref="A193">_xlfn.IFS(AS193="RegularSeason",C193,AS193&lt;&gt;"RegularSeason",R193)</f>
        <v>00101101010010100000000000010000</v>
      </c>
      <c r="B193" t="str" cm="1">
        <f t="array" ref="B193">_xlfn.IFS(AS193="RegularSeason",D193,AS193&lt;&gt;"RegularSeason",K193)</f>
        <v>00101101010010100000000000010001</v>
      </c>
      <c r="C193" t="str">
        <f t="shared" si="6"/>
        <v>00101101010010100000000000010000</v>
      </c>
      <c r="D193" t="str">
        <f t="shared" si="7"/>
        <v>00101101010010100000000000010001</v>
      </c>
      <c r="E193" t="str" cm="1">
        <f t="array" ref="E193">_xlfn.XLOOKUP(_xlfn.XLOOKUP(G193,New!A:A,New!M:M,NONE),TeamIdentity!A:A,TeamIdentity!C:C,NONE)</f>
        <v>00010000</v>
      </c>
      <c r="F193" t="str" cm="1">
        <f t="array" ref="F193">_xlfn.XLOOKUP(_xlfn.XLOOKUP(G193,New!A:A,New!F:F,NONE),TeamIdentity!A:A,TeamIdentity!C:C,NONE)</f>
        <v>00010001</v>
      </c>
      <c r="G193" t="str">
        <f t="shared" si="8"/>
        <v>7-7</v>
      </c>
      <c r="H193" t="s">
        <v>54</v>
      </c>
      <c r="I193" t="s">
        <v>54</v>
      </c>
      <c r="J193" t="s">
        <v>54</v>
      </c>
      <c r="K193" t="s">
        <v>537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540</v>
      </c>
      <c r="S193">
        <v>-1</v>
      </c>
      <c r="T193">
        <v>0</v>
      </c>
      <c r="U193">
        <v>-1</v>
      </c>
      <c r="V193">
        <v>0</v>
      </c>
      <c r="W193" t="s">
        <v>70</v>
      </c>
      <c r="X193">
        <v>0</v>
      </c>
      <c r="Y193">
        <v>0</v>
      </c>
      <c r="Z193">
        <v>780</v>
      </c>
      <c r="AA193" t="s">
        <v>57</v>
      </c>
      <c r="AB193">
        <v>0</v>
      </c>
      <c r="AC193">
        <v>0</v>
      </c>
      <c r="AD193">
        <v>0</v>
      </c>
      <c r="AE193">
        <v>0</v>
      </c>
      <c r="AF193" t="s">
        <v>67</v>
      </c>
      <c r="AG193">
        <v>0</v>
      </c>
      <c r="AH193">
        <v>0</v>
      </c>
      <c r="AI193">
        <v>0</v>
      </c>
      <c r="AJ193">
        <v>0</v>
      </c>
      <c r="AK193" t="s">
        <v>60</v>
      </c>
      <c r="AL193">
        <v>0</v>
      </c>
      <c r="AM193">
        <v>0</v>
      </c>
      <c r="AN193">
        <v>0</v>
      </c>
      <c r="AO193">
        <v>0</v>
      </c>
      <c r="AP193" t="b">
        <v>0</v>
      </c>
      <c r="AQ193" t="s">
        <v>58</v>
      </c>
      <c r="AR193" t="s">
        <v>58</v>
      </c>
      <c r="AS193" t="s">
        <v>71</v>
      </c>
      <c r="AT193">
        <v>14</v>
      </c>
      <c r="AU193">
        <v>7</v>
      </c>
      <c r="AV193">
        <v>7</v>
      </c>
      <c r="AW193">
        <v>11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s">
        <v>61</v>
      </c>
      <c r="BF193" t="s">
        <v>57</v>
      </c>
      <c r="BG193" t="s">
        <v>55</v>
      </c>
      <c r="BH193" t="s">
        <v>58</v>
      </c>
      <c r="BI193" t="s">
        <v>58</v>
      </c>
    </row>
    <row r="194" spans="1:61" x14ac:dyDescent="0.25">
      <c r="A194" t="str" cm="1">
        <f t="array" ref="A194">_xlfn.IFS(AS194="RegularSeason",C194,AS194&lt;&gt;"RegularSeason",R194)</f>
        <v>00101101010010100000000000100001</v>
      </c>
      <c r="B194" t="str" cm="1">
        <f t="array" ref="B194">_xlfn.IFS(AS194="RegularSeason",D194,AS194&lt;&gt;"RegularSeason",K194)</f>
        <v>00101101010010100000000000011110</v>
      </c>
      <c r="C194" t="str">
        <f t="shared" si="6"/>
        <v>00101101010010100000000000100001</v>
      </c>
      <c r="D194" t="str">
        <f t="shared" si="7"/>
        <v>00101101010010100000000000011110</v>
      </c>
      <c r="E194" t="str" cm="1">
        <f t="array" ref="E194">_xlfn.XLOOKUP(_xlfn.XLOOKUP(G194,New!A:A,New!M:M,NONE),TeamIdentity!A:A,TeamIdentity!C:C,NONE)</f>
        <v>00100001</v>
      </c>
      <c r="F194" t="str" cm="1">
        <f t="array" ref="F194">_xlfn.XLOOKUP(_xlfn.XLOOKUP(G194,New!A:A,New!F:F,NONE),TeamIdentity!A:A,TeamIdentity!C:C,NONE)</f>
        <v>00011110</v>
      </c>
      <c r="G194" t="str">
        <f t="shared" si="8"/>
        <v>9-4</v>
      </c>
      <c r="H194" t="s">
        <v>54</v>
      </c>
      <c r="I194" t="s">
        <v>54</v>
      </c>
      <c r="J194" t="s">
        <v>54</v>
      </c>
      <c r="K194" t="s">
        <v>512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518</v>
      </c>
      <c r="S194">
        <v>-1</v>
      </c>
      <c r="T194">
        <v>0</v>
      </c>
      <c r="U194">
        <v>-1</v>
      </c>
      <c r="V194">
        <v>0</v>
      </c>
      <c r="W194" t="s">
        <v>70</v>
      </c>
      <c r="X194">
        <v>0</v>
      </c>
      <c r="Y194">
        <v>0</v>
      </c>
      <c r="Z194">
        <v>780</v>
      </c>
      <c r="AA194" t="s">
        <v>57</v>
      </c>
      <c r="AB194">
        <v>0</v>
      </c>
      <c r="AC194">
        <v>0</v>
      </c>
      <c r="AD194">
        <v>0</v>
      </c>
      <c r="AE194">
        <v>0</v>
      </c>
      <c r="AF194" t="s">
        <v>67</v>
      </c>
      <c r="AG194">
        <v>0</v>
      </c>
      <c r="AH194">
        <v>0</v>
      </c>
      <c r="AI194">
        <v>0</v>
      </c>
      <c r="AJ194">
        <v>0</v>
      </c>
      <c r="AK194" t="s">
        <v>60</v>
      </c>
      <c r="AL194">
        <v>0</v>
      </c>
      <c r="AM194">
        <v>0</v>
      </c>
      <c r="AN194">
        <v>0</v>
      </c>
      <c r="AO194">
        <v>0</v>
      </c>
      <c r="AP194" t="b">
        <v>0</v>
      </c>
      <c r="AQ194" t="s">
        <v>58</v>
      </c>
      <c r="AR194" t="s">
        <v>58</v>
      </c>
      <c r="AS194" t="s">
        <v>71</v>
      </c>
      <c r="AT194">
        <v>14</v>
      </c>
      <c r="AU194">
        <v>9</v>
      </c>
      <c r="AV194">
        <v>4</v>
      </c>
      <c r="AW194">
        <v>11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s">
        <v>61</v>
      </c>
      <c r="BF194" t="s">
        <v>57</v>
      </c>
      <c r="BG194" t="s">
        <v>55</v>
      </c>
      <c r="BH194" t="s">
        <v>58</v>
      </c>
      <c r="BI194" t="s">
        <v>58</v>
      </c>
    </row>
    <row r="195" spans="1:61" x14ac:dyDescent="0.25">
      <c r="A195" t="str" cm="1">
        <f t="array" ref="A195">_xlfn.IFS(AS195="RegularSeason",C195,AS195&lt;&gt;"RegularSeason",R195)</f>
        <v>00101101010010100000000000001010</v>
      </c>
      <c r="B195" t="str" cm="1">
        <f t="array" ref="B195">_xlfn.IFS(AS195="RegularSeason",D195,AS195&lt;&gt;"RegularSeason",K195)</f>
        <v>00101101010010100000000000001111</v>
      </c>
      <c r="C195" t="str">
        <f t="shared" ref="C195:C258" si="9">_xlfn.CONCAT(LEFT(R195,24),E195)</f>
        <v>00101101010010100000000000001010</v>
      </c>
      <c r="D195" t="str">
        <f t="shared" ref="D195:D258" si="10">_xlfn.CONCAT(LEFT(K195,24),F195)</f>
        <v>00101101010010100000000000001111</v>
      </c>
      <c r="E195" t="str" cm="1">
        <f t="array" ref="E195">_xlfn.XLOOKUP(_xlfn.XLOOKUP(G195,New!A:A,New!M:M,NONE),TeamIdentity!A:A,TeamIdentity!C:C,NONE)</f>
        <v>00001010</v>
      </c>
      <c r="F195" t="str" cm="1">
        <f t="array" ref="F195">_xlfn.XLOOKUP(_xlfn.XLOOKUP(G195,New!A:A,New!F:F,NONE),TeamIdentity!A:A,TeamIdentity!C:C,NONE)</f>
        <v>00001111</v>
      </c>
      <c r="G195" t="str">
        <f t="shared" ref="G195:G258" si="11">_xlfn.CONCAT(AU195,"-",AV195)</f>
        <v>10-8</v>
      </c>
      <c r="H195" t="s">
        <v>54</v>
      </c>
      <c r="I195" t="s">
        <v>54</v>
      </c>
      <c r="J195" t="s">
        <v>54</v>
      </c>
      <c r="K195" t="s">
        <v>528</v>
      </c>
      <c r="L195" t="s">
        <v>54</v>
      </c>
      <c r="M195" t="s">
        <v>54</v>
      </c>
      <c r="N195" t="s">
        <v>54</v>
      </c>
      <c r="O195" t="s">
        <v>54</v>
      </c>
      <c r="P195" t="s">
        <v>54</v>
      </c>
      <c r="Q195" t="s">
        <v>54</v>
      </c>
      <c r="R195" t="s">
        <v>539</v>
      </c>
      <c r="S195">
        <v>-1</v>
      </c>
      <c r="T195">
        <v>0</v>
      </c>
      <c r="U195">
        <v>-1</v>
      </c>
      <c r="V195">
        <v>0</v>
      </c>
      <c r="W195" t="s">
        <v>70</v>
      </c>
      <c r="X195">
        <v>0</v>
      </c>
      <c r="Y195">
        <v>0</v>
      </c>
      <c r="Z195">
        <v>965</v>
      </c>
      <c r="AA195" t="s">
        <v>57</v>
      </c>
      <c r="AB195">
        <v>0</v>
      </c>
      <c r="AC195">
        <v>0</v>
      </c>
      <c r="AD195">
        <v>0</v>
      </c>
      <c r="AE195">
        <v>0</v>
      </c>
      <c r="AF195" t="s">
        <v>67</v>
      </c>
      <c r="AG195">
        <v>0</v>
      </c>
      <c r="AH195">
        <v>0</v>
      </c>
      <c r="AI195">
        <v>0</v>
      </c>
      <c r="AJ195">
        <v>0</v>
      </c>
      <c r="AK195" t="s">
        <v>60</v>
      </c>
      <c r="AL195">
        <v>0</v>
      </c>
      <c r="AM195">
        <v>0</v>
      </c>
      <c r="AN195">
        <v>0</v>
      </c>
      <c r="AO195">
        <v>0</v>
      </c>
      <c r="AP195" t="b">
        <v>0</v>
      </c>
      <c r="AQ195" t="s">
        <v>58</v>
      </c>
      <c r="AR195" t="s">
        <v>58</v>
      </c>
      <c r="AS195" t="s">
        <v>71</v>
      </c>
      <c r="AT195">
        <v>14</v>
      </c>
      <c r="AU195">
        <v>10</v>
      </c>
      <c r="AV195">
        <v>8</v>
      </c>
      <c r="AW195">
        <v>11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s">
        <v>61</v>
      </c>
      <c r="BF195" t="s">
        <v>57</v>
      </c>
      <c r="BG195" t="s">
        <v>55</v>
      </c>
      <c r="BH195" t="s">
        <v>58</v>
      </c>
      <c r="BI195" t="s">
        <v>58</v>
      </c>
    </row>
    <row r="196" spans="1:61" x14ac:dyDescent="0.25">
      <c r="A196" t="str" cm="1">
        <f t="array" ref="A196">_xlfn.IFS(AS196="RegularSeason",C196,AS196&lt;&gt;"RegularSeason",R196)</f>
        <v>00101101010010100000000000100001</v>
      </c>
      <c r="B196" t="str" cm="1">
        <f t="array" ref="B196">_xlfn.IFS(AS196="RegularSeason",D196,AS196&lt;&gt;"RegularSeason",K196)</f>
        <v>00101101010010100000000000010101</v>
      </c>
      <c r="C196" t="str">
        <f t="shared" si="9"/>
        <v>00101101010010100000000000100001</v>
      </c>
      <c r="D196" t="str">
        <f t="shared" si="10"/>
        <v>00101101010010100000000000010101</v>
      </c>
      <c r="E196" t="str" cm="1">
        <f t="array" ref="E196">_xlfn.XLOOKUP(_xlfn.XLOOKUP(G196,New!A:A,New!M:M,NONE),TeamIdentity!A:A,TeamIdentity!C:C,NONE)</f>
        <v>00100001</v>
      </c>
      <c r="F196" t="str" cm="1">
        <f t="array" ref="F196">_xlfn.XLOOKUP(_xlfn.XLOOKUP(G196,New!A:A,New!F:F,NONE),TeamIdentity!A:A,TeamIdentity!C:C,NONE)</f>
        <v>00010101</v>
      </c>
      <c r="G196" t="str">
        <f t="shared" si="11"/>
        <v>10-9</v>
      </c>
      <c r="H196" t="s">
        <v>54</v>
      </c>
      <c r="I196" t="s">
        <v>54</v>
      </c>
      <c r="J196" t="s">
        <v>54</v>
      </c>
      <c r="K196" t="s">
        <v>526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527</v>
      </c>
      <c r="S196">
        <v>-1</v>
      </c>
      <c r="T196">
        <v>0</v>
      </c>
      <c r="U196">
        <v>-1</v>
      </c>
      <c r="V196">
        <v>0</v>
      </c>
      <c r="W196" t="s">
        <v>70</v>
      </c>
      <c r="X196">
        <v>0</v>
      </c>
      <c r="Y196">
        <v>0</v>
      </c>
      <c r="Z196">
        <v>965</v>
      </c>
      <c r="AA196" t="s">
        <v>57</v>
      </c>
      <c r="AB196">
        <v>0</v>
      </c>
      <c r="AC196">
        <v>0</v>
      </c>
      <c r="AD196">
        <v>0</v>
      </c>
      <c r="AE196">
        <v>0</v>
      </c>
      <c r="AF196" t="s">
        <v>67</v>
      </c>
      <c r="AG196">
        <v>0</v>
      </c>
      <c r="AH196">
        <v>0</v>
      </c>
      <c r="AI196">
        <v>0</v>
      </c>
      <c r="AJ196">
        <v>0</v>
      </c>
      <c r="AK196" t="s">
        <v>60</v>
      </c>
      <c r="AL196">
        <v>0</v>
      </c>
      <c r="AM196">
        <v>0</v>
      </c>
      <c r="AN196">
        <v>0</v>
      </c>
      <c r="AO196">
        <v>0</v>
      </c>
      <c r="AP196" t="b">
        <v>0</v>
      </c>
      <c r="AQ196" t="s">
        <v>58</v>
      </c>
      <c r="AR196" t="s">
        <v>58</v>
      </c>
      <c r="AS196" t="s">
        <v>71</v>
      </c>
      <c r="AT196">
        <v>14</v>
      </c>
      <c r="AU196">
        <v>10</v>
      </c>
      <c r="AV196">
        <v>9</v>
      </c>
      <c r="AW196">
        <v>11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s">
        <v>61</v>
      </c>
      <c r="BF196" t="s">
        <v>57</v>
      </c>
      <c r="BG196" t="s">
        <v>55</v>
      </c>
      <c r="BH196" t="s">
        <v>58</v>
      </c>
      <c r="BI196" t="s">
        <v>58</v>
      </c>
    </row>
    <row r="197" spans="1:61" x14ac:dyDescent="0.25">
      <c r="A197" t="str" cm="1">
        <f t="array" ref="A197">_xlfn.IFS(AS197="RegularSeason",C197,AS197&lt;&gt;"RegularSeason",R197)</f>
        <v>00101101010010100000000000100000</v>
      </c>
      <c r="B197" t="str" cm="1">
        <f t="array" ref="B197">_xlfn.IFS(AS197="RegularSeason",D197,AS197&lt;&gt;"RegularSeason",K197)</f>
        <v>00101101010010100000000000010000</v>
      </c>
      <c r="C197" t="str">
        <f t="shared" si="9"/>
        <v>00101101010010100000000000100000</v>
      </c>
      <c r="D197" t="str">
        <f t="shared" si="10"/>
        <v>00101101010010100000000000010000</v>
      </c>
      <c r="E197" t="str" cm="1">
        <f t="array" ref="E197">_xlfn.XLOOKUP(_xlfn.XLOOKUP(G197,New!A:A,New!M:M,NONE),TeamIdentity!A:A,TeamIdentity!C:C,NONE)</f>
        <v>00100000</v>
      </c>
      <c r="F197" t="str" cm="1">
        <f t="array" ref="F197">_xlfn.XLOOKUP(_xlfn.XLOOKUP(G197,New!A:A,New!F:F,NONE),TeamIdentity!A:A,TeamIdentity!C:C,NONE)</f>
        <v>00010000</v>
      </c>
      <c r="G197" t="str">
        <f t="shared" si="11"/>
        <v>10-1</v>
      </c>
      <c r="H197" t="s">
        <v>54</v>
      </c>
      <c r="I197" t="s">
        <v>54</v>
      </c>
      <c r="J197" t="s">
        <v>54</v>
      </c>
      <c r="K197" t="s">
        <v>518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513</v>
      </c>
      <c r="S197">
        <v>-1</v>
      </c>
      <c r="T197">
        <v>0</v>
      </c>
      <c r="U197">
        <v>-1</v>
      </c>
      <c r="V197">
        <v>0</v>
      </c>
      <c r="W197" t="s">
        <v>70</v>
      </c>
      <c r="X197">
        <v>0</v>
      </c>
      <c r="Y197">
        <v>0</v>
      </c>
      <c r="Z197">
        <v>780</v>
      </c>
      <c r="AA197" t="s">
        <v>57</v>
      </c>
      <c r="AB197">
        <v>0</v>
      </c>
      <c r="AC197">
        <v>0</v>
      </c>
      <c r="AD197">
        <v>0</v>
      </c>
      <c r="AE197">
        <v>0</v>
      </c>
      <c r="AF197" t="s">
        <v>67</v>
      </c>
      <c r="AG197">
        <v>0</v>
      </c>
      <c r="AH197">
        <v>0</v>
      </c>
      <c r="AI197">
        <v>0</v>
      </c>
      <c r="AJ197">
        <v>0</v>
      </c>
      <c r="AK197" t="s">
        <v>60</v>
      </c>
      <c r="AL197">
        <v>0</v>
      </c>
      <c r="AM197">
        <v>0</v>
      </c>
      <c r="AN197">
        <v>0</v>
      </c>
      <c r="AO197">
        <v>0</v>
      </c>
      <c r="AP197" t="b">
        <v>0</v>
      </c>
      <c r="AQ197" t="s">
        <v>58</v>
      </c>
      <c r="AR197" t="s">
        <v>58</v>
      </c>
      <c r="AS197" t="s">
        <v>71</v>
      </c>
      <c r="AT197">
        <v>14</v>
      </c>
      <c r="AU197">
        <v>10</v>
      </c>
      <c r="AV197">
        <v>1</v>
      </c>
      <c r="AW197">
        <v>11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s">
        <v>61</v>
      </c>
      <c r="BF197" t="s">
        <v>57</v>
      </c>
      <c r="BG197" t="s">
        <v>55</v>
      </c>
      <c r="BH197" t="s">
        <v>58</v>
      </c>
      <c r="BI197" t="s">
        <v>58</v>
      </c>
    </row>
    <row r="198" spans="1:61" x14ac:dyDescent="0.25">
      <c r="A198" t="str" cm="1">
        <f t="array" ref="A198">_xlfn.IFS(AS198="RegularSeason",C198,AS198&lt;&gt;"RegularSeason",R198)</f>
        <v>00101101010010100000000000010101</v>
      </c>
      <c r="B198" t="str" cm="1">
        <f t="array" ref="B198">_xlfn.IFS(AS198="RegularSeason",D198,AS198&lt;&gt;"RegularSeason",K198)</f>
        <v>00101101010010100000000000000101</v>
      </c>
      <c r="C198" t="str">
        <f t="shared" si="9"/>
        <v>00101101010010100000000000010101</v>
      </c>
      <c r="D198" t="str">
        <f t="shared" si="10"/>
        <v>00101101010010100000000000000101</v>
      </c>
      <c r="E198" t="str" cm="1">
        <f t="array" ref="E198">_xlfn.XLOOKUP(_xlfn.XLOOKUP(G198,New!A:A,New!M:M,NONE),TeamIdentity!A:A,TeamIdentity!C:C,NONE)</f>
        <v>00010101</v>
      </c>
      <c r="F198" t="str" cm="1">
        <f t="array" ref="F198">_xlfn.XLOOKUP(_xlfn.XLOOKUP(G198,New!A:A,New!F:F,NONE),TeamIdentity!A:A,TeamIdentity!C:C,NONE)</f>
        <v>00000101</v>
      </c>
      <c r="G198" t="str">
        <f t="shared" si="11"/>
        <v>11-0</v>
      </c>
      <c r="H198" t="s">
        <v>54</v>
      </c>
      <c r="I198" t="s">
        <v>54</v>
      </c>
      <c r="J198" t="s">
        <v>54</v>
      </c>
      <c r="K198" t="s">
        <v>538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530</v>
      </c>
      <c r="S198">
        <v>-1</v>
      </c>
      <c r="T198">
        <v>0</v>
      </c>
      <c r="U198">
        <v>-1</v>
      </c>
      <c r="V198">
        <v>0</v>
      </c>
      <c r="W198" t="s">
        <v>70</v>
      </c>
      <c r="X198">
        <v>0</v>
      </c>
      <c r="Y198">
        <v>0</v>
      </c>
      <c r="Z198">
        <v>780</v>
      </c>
      <c r="AA198" t="s">
        <v>57</v>
      </c>
      <c r="AB198">
        <v>0</v>
      </c>
      <c r="AC198">
        <v>0</v>
      </c>
      <c r="AD198">
        <v>0</v>
      </c>
      <c r="AE198">
        <v>0</v>
      </c>
      <c r="AF198" t="s">
        <v>67</v>
      </c>
      <c r="AG198">
        <v>0</v>
      </c>
      <c r="AH198">
        <v>0</v>
      </c>
      <c r="AI198">
        <v>0</v>
      </c>
      <c r="AJ198">
        <v>0</v>
      </c>
      <c r="AK198" t="s">
        <v>60</v>
      </c>
      <c r="AL198">
        <v>0</v>
      </c>
      <c r="AM198">
        <v>0</v>
      </c>
      <c r="AN198">
        <v>0</v>
      </c>
      <c r="AO198">
        <v>0</v>
      </c>
      <c r="AP198" t="b">
        <v>0</v>
      </c>
      <c r="AQ198" t="s">
        <v>58</v>
      </c>
      <c r="AR198" t="s">
        <v>58</v>
      </c>
      <c r="AS198" t="s">
        <v>71</v>
      </c>
      <c r="AT198">
        <v>14</v>
      </c>
      <c r="AU198">
        <v>11</v>
      </c>
      <c r="AV198">
        <v>0</v>
      </c>
      <c r="AW198">
        <v>11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s">
        <v>61</v>
      </c>
      <c r="BF198" t="s">
        <v>57</v>
      </c>
      <c r="BG198" t="s">
        <v>55</v>
      </c>
      <c r="BH198" t="s">
        <v>58</v>
      </c>
      <c r="BI198" t="s">
        <v>58</v>
      </c>
    </row>
    <row r="199" spans="1:61" x14ac:dyDescent="0.25">
      <c r="A199" t="str" cm="1">
        <f t="array" ref="A199">_xlfn.IFS(AS199="RegularSeason",C199,AS199&lt;&gt;"RegularSeason",R199)</f>
        <v>00101101010010100000000000011111</v>
      </c>
      <c r="B199" t="str" cm="1">
        <f t="array" ref="B199">_xlfn.IFS(AS199="RegularSeason",D199,AS199&lt;&gt;"RegularSeason",K199)</f>
        <v>00101101010010100000000000010111</v>
      </c>
      <c r="C199" t="str">
        <f t="shared" si="9"/>
        <v>00101101010010100000000000011111</v>
      </c>
      <c r="D199" t="str">
        <f t="shared" si="10"/>
        <v>00101101010010100000000000010111</v>
      </c>
      <c r="E199" t="str" cm="1">
        <f t="array" ref="E199">_xlfn.XLOOKUP(_xlfn.XLOOKUP(G199,New!A:A,New!M:M,NONE),TeamIdentity!A:A,TeamIdentity!C:C,NONE)</f>
        <v>00011111</v>
      </c>
      <c r="F199" t="str" cm="1">
        <f t="array" ref="F199">_xlfn.XLOOKUP(_xlfn.XLOOKUP(G199,New!A:A,New!F:F,NONE),TeamIdentity!A:A,TeamIdentity!C:C,NONE)</f>
        <v>00010111</v>
      </c>
      <c r="G199" t="str">
        <f t="shared" si="11"/>
        <v>10-13</v>
      </c>
      <c r="H199" t="s">
        <v>54</v>
      </c>
      <c r="I199" t="s">
        <v>54</v>
      </c>
      <c r="J199" t="s">
        <v>54</v>
      </c>
      <c r="K199" t="s">
        <v>516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525</v>
      </c>
      <c r="S199">
        <v>-1</v>
      </c>
      <c r="T199">
        <v>0</v>
      </c>
      <c r="U199">
        <v>-1</v>
      </c>
      <c r="V199">
        <v>0</v>
      </c>
      <c r="W199" t="s">
        <v>70</v>
      </c>
      <c r="X199">
        <v>0</v>
      </c>
      <c r="Y199">
        <v>0</v>
      </c>
      <c r="Z199">
        <v>1230</v>
      </c>
      <c r="AA199" t="s">
        <v>57</v>
      </c>
      <c r="AB199">
        <v>0</v>
      </c>
      <c r="AC199">
        <v>0</v>
      </c>
      <c r="AD199">
        <v>0</v>
      </c>
      <c r="AE199">
        <v>0</v>
      </c>
      <c r="AF199" t="s">
        <v>65</v>
      </c>
      <c r="AG199">
        <v>0</v>
      </c>
      <c r="AH199">
        <v>0</v>
      </c>
      <c r="AI199">
        <v>0</v>
      </c>
      <c r="AJ199">
        <v>0</v>
      </c>
      <c r="AK199" t="s">
        <v>65</v>
      </c>
      <c r="AL199">
        <v>0</v>
      </c>
      <c r="AM199">
        <v>0</v>
      </c>
      <c r="AN199">
        <v>0</v>
      </c>
      <c r="AO199">
        <v>0</v>
      </c>
      <c r="AP199" t="b">
        <v>0</v>
      </c>
      <c r="AQ199" t="s">
        <v>58</v>
      </c>
      <c r="AR199" t="s">
        <v>58</v>
      </c>
      <c r="AS199" t="s">
        <v>71</v>
      </c>
      <c r="AT199">
        <v>14</v>
      </c>
      <c r="AU199">
        <v>10</v>
      </c>
      <c r="AV199">
        <v>13</v>
      </c>
      <c r="AW199">
        <v>11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s">
        <v>61</v>
      </c>
      <c r="BF199" t="s">
        <v>57</v>
      </c>
      <c r="BG199" t="s">
        <v>55</v>
      </c>
      <c r="BH199" t="s">
        <v>58</v>
      </c>
      <c r="BI199" t="s">
        <v>58</v>
      </c>
    </row>
    <row r="200" spans="1:61" x14ac:dyDescent="0.25">
      <c r="A200" t="str" cm="1">
        <f t="array" ref="A200">_xlfn.IFS(AS200="RegularSeason",C200,AS200&lt;&gt;"RegularSeason",R200)</f>
        <v>00101101010010100000000000000111</v>
      </c>
      <c r="B200" t="str" cm="1">
        <f t="array" ref="B200">_xlfn.IFS(AS200="RegularSeason",D200,AS200&lt;&gt;"RegularSeason",K200)</f>
        <v>00101101010010100000000000100010</v>
      </c>
      <c r="C200" t="str">
        <f t="shared" si="9"/>
        <v>00101101010010100000000000000111</v>
      </c>
      <c r="D200" t="str">
        <f t="shared" si="10"/>
        <v>00101101010010100000000000100010</v>
      </c>
      <c r="E200" t="str" cm="1">
        <f t="array" ref="E200">_xlfn.XLOOKUP(_xlfn.XLOOKUP(G200,New!A:A,New!M:M,NONE),TeamIdentity!A:A,TeamIdentity!C:C,NONE)</f>
        <v>00000111</v>
      </c>
      <c r="F200" t="str" cm="1">
        <f t="array" ref="F200">_xlfn.XLOOKUP(_xlfn.XLOOKUP(G200,New!A:A,New!F:F,NONE),TeamIdentity!A:A,TeamIdentity!C:C,NONE)</f>
        <v>00100010</v>
      </c>
      <c r="G200" t="str">
        <f t="shared" si="11"/>
        <v>10-2</v>
      </c>
      <c r="H200" t="s">
        <v>54</v>
      </c>
      <c r="I200" t="s">
        <v>54</v>
      </c>
      <c r="J200" t="s">
        <v>54</v>
      </c>
      <c r="K200" t="s">
        <v>531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529</v>
      </c>
      <c r="S200">
        <v>-1</v>
      </c>
      <c r="T200">
        <v>0</v>
      </c>
      <c r="U200">
        <v>-1</v>
      </c>
      <c r="V200">
        <v>0</v>
      </c>
      <c r="W200" t="s">
        <v>70</v>
      </c>
      <c r="X200">
        <v>0</v>
      </c>
      <c r="Y200">
        <v>0</v>
      </c>
      <c r="Z200">
        <v>780</v>
      </c>
      <c r="AA200" t="s">
        <v>57</v>
      </c>
      <c r="AB200">
        <v>0</v>
      </c>
      <c r="AC200">
        <v>0</v>
      </c>
      <c r="AD200">
        <v>0</v>
      </c>
      <c r="AE200">
        <v>0</v>
      </c>
      <c r="AF200" t="s">
        <v>67</v>
      </c>
      <c r="AG200">
        <v>0</v>
      </c>
      <c r="AH200">
        <v>0</v>
      </c>
      <c r="AI200">
        <v>0</v>
      </c>
      <c r="AJ200">
        <v>0</v>
      </c>
      <c r="AK200" t="s">
        <v>60</v>
      </c>
      <c r="AL200">
        <v>0</v>
      </c>
      <c r="AM200">
        <v>0</v>
      </c>
      <c r="AN200">
        <v>0</v>
      </c>
      <c r="AO200">
        <v>0</v>
      </c>
      <c r="AP200" t="b">
        <v>0</v>
      </c>
      <c r="AQ200" t="s">
        <v>58</v>
      </c>
      <c r="AR200" t="s">
        <v>58</v>
      </c>
      <c r="AS200" t="s">
        <v>71</v>
      </c>
      <c r="AT200">
        <v>14</v>
      </c>
      <c r="AU200">
        <v>10</v>
      </c>
      <c r="AV200">
        <v>2</v>
      </c>
      <c r="AW200">
        <v>11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s">
        <v>61</v>
      </c>
      <c r="BF200" t="s">
        <v>57</v>
      </c>
      <c r="BG200" t="s">
        <v>55</v>
      </c>
      <c r="BH200" t="s">
        <v>58</v>
      </c>
      <c r="BI200" t="s">
        <v>58</v>
      </c>
    </row>
    <row r="201" spans="1:61" x14ac:dyDescent="0.25">
      <c r="A201" t="str" cm="1">
        <f t="array" ref="A201">_xlfn.IFS(AS201="RegularSeason",C201,AS201&lt;&gt;"RegularSeason",R201)</f>
        <v>00101101010010100000000000010001</v>
      </c>
      <c r="B201" t="str" cm="1">
        <f t="array" ref="B201">_xlfn.IFS(AS201="RegularSeason",D201,AS201&lt;&gt;"RegularSeason",K201)</f>
        <v>00101101010010100000000000000011</v>
      </c>
      <c r="C201" t="str">
        <f t="shared" si="9"/>
        <v>00101101010010100000000000010001</v>
      </c>
      <c r="D201" t="str">
        <f t="shared" si="10"/>
        <v>00101101010010100000000000000011</v>
      </c>
      <c r="E201" t="str" cm="1">
        <f t="array" ref="E201">_xlfn.XLOOKUP(_xlfn.XLOOKUP(G201,New!A:A,New!M:M,NONE),TeamIdentity!A:A,TeamIdentity!C:C,NONE)</f>
        <v>00010001</v>
      </c>
      <c r="F201" t="str" cm="1">
        <f t="array" ref="F201">_xlfn.XLOOKUP(_xlfn.XLOOKUP(G201,New!A:A,New!F:F,NONE),TeamIdentity!A:A,TeamIdentity!C:C,NONE)</f>
        <v>00000011</v>
      </c>
      <c r="G201" t="str">
        <f t="shared" si="11"/>
        <v>9-5</v>
      </c>
      <c r="H201" t="s">
        <v>54</v>
      </c>
      <c r="I201" t="s">
        <v>54</v>
      </c>
      <c r="J201" t="s">
        <v>54</v>
      </c>
      <c r="K201" t="s">
        <v>511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523</v>
      </c>
      <c r="S201">
        <v>-1</v>
      </c>
      <c r="T201">
        <v>0</v>
      </c>
      <c r="U201">
        <v>-1</v>
      </c>
      <c r="V201">
        <v>0</v>
      </c>
      <c r="W201" t="s">
        <v>70</v>
      </c>
      <c r="X201">
        <v>0</v>
      </c>
      <c r="Y201">
        <v>0</v>
      </c>
      <c r="Z201">
        <v>780</v>
      </c>
      <c r="AA201" t="s">
        <v>57</v>
      </c>
      <c r="AB201">
        <v>0</v>
      </c>
      <c r="AC201">
        <v>0</v>
      </c>
      <c r="AD201">
        <v>0</v>
      </c>
      <c r="AE201">
        <v>0</v>
      </c>
      <c r="AF201" t="s">
        <v>67</v>
      </c>
      <c r="AG201">
        <v>0</v>
      </c>
      <c r="AH201">
        <v>0</v>
      </c>
      <c r="AI201">
        <v>0</v>
      </c>
      <c r="AJ201">
        <v>0</v>
      </c>
      <c r="AK201" t="s">
        <v>60</v>
      </c>
      <c r="AL201">
        <v>0</v>
      </c>
      <c r="AM201">
        <v>0</v>
      </c>
      <c r="AN201">
        <v>0</v>
      </c>
      <c r="AO201">
        <v>0</v>
      </c>
      <c r="AP201" t="b">
        <v>0</v>
      </c>
      <c r="AQ201" t="s">
        <v>58</v>
      </c>
      <c r="AR201" t="s">
        <v>58</v>
      </c>
      <c r="AS201" t="s">
        <v>71</v>
      </c>
      <c r="AT201">
        <v>14</v>
      </c>
      <c r="AU201">
        <v>9</v>
      </c>
      <c r="AV201">
        <v>5</v>
      </c>
      <c r="AW201">
        <v>11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s">
        <v>61</v>
      </c>
      <c r="BF201" t="s">
        <v>57</v>
      </c>
      <c r="BG201" t="s">
        <v>55</v>
      </c>
      <c r="BH201" t="s">
        <v>58</v>
      </c>
      <c r="BI201" t="s">
        <v>58</v>
      </c>
    </row>
    <row r="202" spans="1:61" x14ac:dyDescent="0.25">
      <c r="A202" t="str" cm="1">
        <f t="array" ref="A202">_xlfn.IFS(AS202="RegularSeason",C202,AS202&lt;&gt;"RegularSeason",R202)</f>
        <v>00101101010010100000000000000000</v>
      </c>
      <c r="B202" t="str" cm="1">
        <f t="array" ref="B202">_xlfn.IFS(AS202="RegularSeason",D202,AS202&lt;&gt;"RegularSeason",K202)</f>
        <v>00101101010010100000000000011110</v>
      </c>
      <c r="C202" t="str">
        <f t="shared" si="9"/>
        <v>00101101010010100000000000000000</v>
      </c>
      <c r="D202" t="str">
        <f t="shared" si="10"/>
        <v>00101101010010100000000000011110</v>
      </c>
      <c r="E202" t="str" cm="1">
        <f t="array" ref="E202">_xlfn.XLOOKUP(_xlfn.XLOOKUP(G202,New!A:A,New!M:M,NONE),TeamIdentity!A:A,TeamIdentity!C:C,NONE)</f>
        <v>00000000</v>
      </c>
      <c r="F202" t="str" cm="1">
        <f t="array" ref="F202">_xlfn.XLOOKUP(_xlfn.XLOOKUP(G202,New!A:A,New!F:F,NONE),TeamIdentity!A:A,TeamIdentity!C:C,NONE)</f>
        <v>00011110</v>
      </c>
      <c r="G202" t="str">
        <f t="shared" si="11"/>
        <v>8-5</v>
      </c>
      <c r="H202" t="s">
        <v>54</v>
      </c>
      <c r="I202" t="s">
        <v>54</v>
      </c>
      <c r="J202" t="s">
        <v>54</v>
      </c>
      <c r="K202" t="s">
        <v>531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511</v>
      </c>
      <c r="S202">
        <v>-1</v>
      </c>
      <c r="T202">
        <v>0</v>
      </c>
      <c r="U202">
        <v>-1</v>
      </c>
      <c r="V202">
        <v>0</v>
      </c>
      <c r="W202" t="s">
        <v>70</v>
      </c>
      <c r="X202">
        <v>0</v>
      </c>
      <c r="Y202">
        <v>0</v>
      </c>
      <c r="Z202">
        <v>780</v>
      </c>
      <c r="AA202" t="s">
        <v>57</v>
      </c>
      <c r="AB202">
        <v>0</v>
      </c>
      <c r="AC202">
        <v>0</v>
      </c>
      <c r="AD202">
        <v>0</v>
      </c>
      <c r="AE202">
        <v>0</v>
      </c>
      <c r="AF202" t="s">
        <v>67</v>
      </c>
      <c r="AG202">
        <v>0</v>
      </c>
      <c r="AH202">
        <v>0</v>
      </c>
      <c r="AI202">
        <v>0</v>
      </c>
      <c r="AJ202">
        <v>0</v>
      </c>
      <c r="AK202" t="s">
        <v>60</v>
      </c>
      <c r="AL202">
        <v>0</v>
      </c>
      <c r="AM202">
        <v>0</v>
      </c>
      <c r="AN202">
        <v>0</v>
      </c>
      <c r="AO202">
        <v>0</v>
      </c>
      <c r="AP202" t="b">
        <v>0</v>
      </c>
      <c r="AQ202" t="s">
        <v>58</v>
      </c>
      <c r="AR202" t="s">
        <v>58</v>
      </c>
      <c r="AS202" t="s">
        <v>71</v>
      </c>
      <c r="AT202">
        <v>14</v>
      </c>
      <c r="AU202">
        <v>8</v>
      </c>
      <c r="AV202">
        <v>5</v>
      </c>
      <c r="AW202">
        <v>11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s">
        <v>61</v>
      </c>
      <c r="BF202" t="s">
        <v>57</v>
      </c>
      <c r="BG202" t="s">
        <v>55</v>
      </c>
      <c r="BH202" t="s">
        <v>58</v>
      </c>
      <c r="BI202" t="s">
        <v>58</v>
      </c>
    </row>
    <row r="203" spans="1:61" x14ac:dyDescent="0.25">
      <c r="A203" t="str" cm="1">
        <f t="array" ref="A203">_xlfn.IFS(AS203="RegularSeason",C203,AS203&lt;&gt;"RegularSeason",R203)</f>
        <v>00101101010010100000000000001100</v>
      </c>
      <c r="B203" t="str" cm="1">
        <f t="array" ref="B203">_xlfn.IFS(AS203="RegularSeason",D203,AS203&lt;&gt;"RegularSeason",K203)</f>
        <v>00101101010010100000000000011100</v>
      </c>
      <c r="C203" t="str">
        <f t="shared" si="9"/>
        <v>00101101010010100000000000001100</v>
      </c>
      <c r="D203" t="str">
        <f t="shared" si="10"/>
        <v>00101101010010100000000000011100</v>
      </c>
      <c r="E203" t="str" cm="1">
        <f t="array" ref="E203">_xlfn.XLOOKUP(_xlfn.XLOOKUP(G203,New!A:A,New!M:M,NONE),TeamIdentity!A:A,TeamIdentity!C:C,NONE)</f>
        <v>00001100</v>
      </c>
      <c r="F203" t="str" cm="1">
        <f t="array" ref="F203">_xlfn.XLOOKUP(_xlfn.XLOOKUP(G203,New!A:A,New!F:F,NONE),TeamIdentity!A:A,TeamIdentity!C:C,NONE)</f>
        <v>00011100</v>
      </c>
      <c r="G203" t="str">
        <f t="shared" si="11"/>
        <v>10-10</v>
      </c>
      <c r="H203" t="s">
        <v>54</v>
      </c>
      <c r="I203" t="s">
        <v>54</v>
      </c>
      <c r="J203" t="s">
        <v>54</v>
      </c>
      <c r="K203" t="s">
        <v>538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533</v>
      </c>
      <c r="S203">
        <v>-1</v>
      </c>
      <c r="T203">
        <v>0</v>
      </c>
      <c r="U203">
        <v>-1</v>
      </c>
      <c r="V203">
        <v>0</v>
      </c>
      <c r="W203" t="s">
        <v>70</v>
      </c>
      <c r="X203">
        <v>0</v>
      </c>
      <c r="Y203">
        <v>0</v>
      </c>
      <c r="Z203">
        <v>965</v>
      </c>
      <c r="AA203" t="s">
        <v>57</v>
      </c>
      <c r="AB203">
        <v>0</v>
      </c>
      <c r="AC203">
        <v>0</v>
      </c>
      <c r="AD203">
        <v>0</v>
      </c>
      <c r="AE203">
        <v>0</v>
      </c>
      <c r="AF203" t="s">
        <v>67</v>
      </c>
      <c r="AG203">
        <v>0</v>
      </c>
      <c r="AH203">
        <v>0</v>
      </c>
      <c r="AI203">
        <v>0</v>
      </c>
      <c r="AJ203">
        <v>0</v>
      </c>
      <c r="AK203" t="s">
        <v>60</v>
      </c>
      <c r="AL203">
        <v>0</v>
      </c>
      <c r="AM203">
        <v>0</v>
      </c>
      <c r="AN203">
        <v>0</v>
      </c>
      <c r="AO203">
        <v>0</v>
      </c>
      <c r="AP203" t="b">
        <v>0</v>
      </c>
      <c r="AQ203" t="s">
        <v>58</v>
      </c>
      <c r="AR203" t="s">
        <v>58</v>
      </c>
      <c r="AS203" t="s">
        <v>71</v>
      </c>
      <c r="AT203">
        <v>14</v>
      </c>
      <c r="AU203">
        <v>10</v>
      </c>
      <c r="AV203">
        <v>10</v>
      </c>
      <c r="AW203">
        <v>11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s">
        <v>61</v>
      </c>
      <c r="BF203" t="s">
        <v>57</v>
      </c>
      <c r="BG203" t="s">
        <v>55</v>
      </c>
      <c r="BH203" t="s">
        <v>58</v>
      </c>
      <c r="BI203" t="s">
        <v>58</v>
      </c>
    </row>
    <row r="204" spans="1:61" x14ac:dyDescent="0.25">
      <c r="A204" t="str" cm="1">
        <f t="array" ref="A204">_xlfn.IFS(AS204="RegularSeason",C204,AS204&lt;&gt;"RegularSeason",R204)</f>
        <v>00101101010010100000000000010001</v>
      </c>
      <c r="B204" t="str" cm="1">
        <f t="array" ref="B204">_xlfn.IFS(AS204="RegularSeason",D204,AS204&lt;&gt;"RegularSeason",K204)</f>
        <v>00101101010010100000000000000110</v>
      </c>
      <c r="C204" t="str">
        <f t="shared" si="9"/>
        <v>00101101010010100000000000010001</v>
      </c>
      <c r="D204" t="str">
        <f t="shared" si="10"/>
        <v>00101101010010100000000000000110</v>
      </c>
      <c r="E204" t="str" cm="1">
        <f t="array" ref="E204">_xlfn.XLOOKUP(_xlfn.XLOOKUP(G204,New!A:A,New!M:M,NONE),TeamIdentity!A:A,TeamIdentity!C:C,NONE)</f>
        <v>00010001</v>
      </c>
      <c r="F204" t="str" cm="1">
        <f t="array" ref="F204">_xlfn.XLOOKUP(_xlfn.XLOOKUP(G204,New!A:A,New!F:F,NONE),TeamIdentity!A:A,TeamIdentity!C:C,NONE)</f>
        <v>00000110</v>
      </c>
      <c r="G204" t="str">
        <f t="shared" si="11"/>
        <v>10-12</v>
      </c>
      <c r="H204" t="s">
        <v>54</v>
      </c>
      <c r="I204" t="s">
        <v>54</v>
      </c>
      <c r="J204" t="s">
        <v>54</v>
      </c>
      <c r="K204" t="s">
        <v>532</v>
      </c>
      <c r="L204" t="s">
        <v>54</v>
      </c>
      <c r="M204" t="s">
        <v>54</v>
      </c>
      <c r="N204" t="s">
        <v>54</v>
      </c>
      <c r="O204" t="s">
        <v>54</v>
      </c>
      <c r="P204" t="s">
        <v>54</v>
      </c>
      <c r="Q204" t="s">
        <v>54</v>
      </c>
      <c r="R204" t="s">
        <v>536</v>
      </c>
      <c r="S204">
        <v>-1</v>
      </c>
      <c r="T204">
        <v>0</v>
      </c>
      <c r="U204">
        <v>-1</v>
      </c>
      <c r="V204">
        <v>0</v>
      </c>
      <c r="W204" t="s">
        <v>70</v>
      </c>
      <c r="X204">
        <v>0</v>
      </c>
      <c r="Y204">
        <v>0</v>
      </c>
      <c r="Z204">
        <v>1220</v>
      </c>
      <c r="AA204" t="s">
        <v>57</v>
      </c>
      <c r="AB204">
        <v>0</v>
      </c>
      <c r="AC204">
        <v>0</v>
      </c>
      <c r="AD204">
        <v>0</v>
      </c>
      <c r="AE204">
        <v>0</v>
      </c>
      <c r="AF204" t="s">
        <v>60</v>
      </c>
      <c r="AG204">
        <v>0</v>
      </c>
      <c r="AH204">
        <v>0</v>
      </c>
      <c r="AI204">
        <v>0</v>
      </c>
      <c r="AJ204">
        <v>0</v>
      </c>
      <c r="AK204" t="s">
        <v>60</v>
      </c>
      <c r="AL204">
        <v>0</v>
      </c>
      <c r="AM204">
        <v>0</v>
      </c>
      <c r="AN204">
        <v>0</v>
      </c>
      <c r="AO204">
        <v>0</v>
      </c>
      <c r="AP204" t="b">
        <v>0</v>
      </c>
      <c r="AQ204" t="s">
        <v>58</v>
      </c>
      <c r="AR204" t="s">
        <v>58</v>
      </c>
      <c r="AS204" t="s">
        <v>71</v>
      </c>
      <c r="AT204">
        <v>14</v>
      </c>
      <c r="AU204">
        <v>10</v>
      </c>
      <c r="AV204">
        <v>12</v>
      </c>
      <c r="AW204">
        <v>11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s">
        <v>61</v>
      </c>
      <c r="BF204" t="s">
        <v>57</v>
      </c>
      <c r="BG204" t="s">
        <v>55</v>
      </c>
      <c r="BH204" t="s">
        <v>58</v>
      </c>
      <c r="BI204" t="s">
        <v>58</v>
      </c>
    </row>
    <row r="205" spans="1:61" x14ac:dyDescent="0.25">
      <c r="A205" t="str" cm="1">
        <f t="array" ref="A205">_xlfn.IFS(AS205="RegularSeason",C205,AS205&lt;&gt;"RegularSeason",R205)</f>
        <v>00101101010010100000000000001010</v>
      </c>
      <c r="B205" t="str" cm="1">
        <f t="array" ref="B205">_xlfn.IFS(AS205="RegularSeason",D205,AS205&lt;&gt;"RegularSeason",K205)</f>
        <v>00101101010010100000000000000101</v>
      </c>
      <c r="C205" t="str">
        <f t="shared" si="9"/>
        <v>00101101010010100000000000001010</v>
      </c>
      <c r="D205" t="str">
        <f t="shared" si="10"/>
        <v>00101101010010100000000000000101</v>
      </c>
      <c r="E205" t="str" cm="1">
        <f t="array" ref="E205">_xlfn.XLOOKUP(_xlfn.XLOOKUP(G205,New!A:A,New!M:M,NONE),TeamIdentity!A:A,TeamIdentity!C:C,NONE)</f>
        <v>00001010</v>
      </c>
      <c r="F205" t="str" cm="1">
        <f t="array" ref="F205">_xlfn.XLOOKUP(_xlfn.XLOOKUP(G205,New!A:A,New!F:F,NONE),TeamIdentity!A:A,TeamIdentity!C:C,NONE)</f>
        <v>00000101</v>
      </c>
      <c r="G205" t="str">
        <f t="shared" si="11"/>
        <v>9-13</v>
      </c>
      <c r="H205" t="s">
        <v>54</v>
      </c>
      <c r="I205" t="s">
        <v>54</v>
      </c>
      <c r="J205" t="s">
        <v>54</v>
      </c>
      <c r="K205" t="s">
        <v>540</v>
      </c>
      <c r="L205" t="s">
        <v>54</v>
      </c>
      <c r="M205" t="s">
        <v>54</v>
      </c>
      <c r="N205" t="s">
        <v>54</v>
      </c>
      <c r="O205" t="s">
        <v>54</v>
      </c>
      <c r="P205" t="s">
        <v>54</v>
      </c>
      <c r="Q205" t="s">
        <v>54</v>
      </c>
      <c r="R205" t="s">
        <v>515</v>
      </c>
      <c r="S205">
        <v>-1</v>
      </c>
      <c r="T205">
        <v>0</v>
      </c>
      <c r="U205">
        <v>-1</v>
      </c>
      <c r="V205">
        <v>0</v>
      </c>
      <c r="W205" t="s">
        <v>70</v>
      </c>
      <c r="X205">
        <v>0</v>
      </c>
      <c r="Y205">
        <v>0</v>
      </c>
      <c r="Z205">
        <v>1220</v>
      </c>
      <c r="AA205" t="s">
        <v>57</v>
      </c>
      <c r="AB205">
        <v>0</v>
      </c>
      <c r="AC205">
        <v>0</v>
      </c>
      <c r="AD205">
        <v>0</v>
      </c>
      <c r="AE205">
        <v>0</v>
      </c>
      <c r="AF205" t="s">
        <v>68</v>
      </c>
      <c r="AG205">
        <v>0</v>
      </c>
      <c r="AH205">
        <v>0</v>
      </c>
      <c r="AI205">
        <v>0</v>
      </c>
      <c r="AJ205">
        <v>0</v>
      </c>
      <c r="AK205" t="s">
        <v>68</v>
      </c>
      <c r="AL205">
        <v>0</v>
      </c>
      <c r="AM205">
        <v>0</v>
      </c>
      <c r="AN205">
        <v>0</v>
      </c>
      <c r="AO205">
        <v>0</v>
      </c>
      <c r="AP205" t="b">
        <v>0</v>
      </c>
      <c r="AQ205" t="s">
        <v>58</v>
      </c>
      <c r="AR205" t="s">
        <v>58</v>
      </c>
      <c r="AS205" t="s">
        <v>71</v>
      </c>
      <c r="AT205">
        <v>14</v>
      </c>
      <c r="AU205">
        <v>9</v>
      </c>
      <c r="AV205">
        <v>13</v>
      </c>
      <c r="AW205">
        <v>11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s">
        <v>61</v>
      </c>
      <c r="BF205" t="s">
        <v>57</v>
      </c>
      <c r="BG205" t="s">
        <v>55</v>
      </c>
      <c r="BH205" t="s">
        <v>58</v>
      </c>
      <c r="BI205" t="s">
        <v>58</v>
      </c>
    </row>
    <row r="206" spans="1:61" x14ac:dyDescent="0.25">
      <c r="A206" t="str" cm="1">
        <f t="array" ref="A206">_xlfn.IFS(AS206="RegularSeason",C206,AS206&lt;&gt;"RegularSeason",R206)</f>
        <v>00101101010010100000000000010101</v>
      </c>
      <c r="B206" t="str" cm="1">
        <f t="array" ref="B206">_xlfn.IFS(AS206="RegularSeason",D206,AS206&lt;&gt;"RegularSeason",K206)</f>
        <v>00101101010010100000000000001100</v>
      </c>
      <c r="C206" t="str">
        <f t="shared" si="9"/>
        <v>00101101010010100000000000010101</v>
      </c>
      <c r="D206" t="str">
        <f t="shared" si="10"/>
        <v>00101101010010100000000000001100</v>
      </c>
      <c r="E206" t="str" cm="1">
        <f t="array" ref="E206">_xlfn.XLOOKUP(_xlfn.XLOOKUP(G206,New!A:A,New!M:M,NONE),TeamIdentity!A:A,TeamIdentity!C:C,NONE)</f>
        <v>00010101</v>
      </c>
      <c r="F206" t="str" cm="1">
        <f t="array" ref="F206">_xlfn.XLOOKUP(_xlfn.XLOOKUP(G206,New!A:A,New!F:F,NONE),TeamIdentity!A:A,TeamIdentity!C:C,NONE)</f>
        <v>00001100</v>
      </c>
      <c r="G206" t="str">
        <f t="shared" si="11"/>
        <v>8-8</v>
      </c>
      <c r="H206" t="s">
        <v>54</v>
      </c>
      <c r="I206" t="s">
        <v>54</v>
      </c>
      <c r="J206" t="s">
        <v>54</v>
      </c>
      <c r="K206" t="s">
        <v>530</v>
      </c>
      <c r="L206" t="s">
        <v>54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542</v>
      </c>
      <c r="S206">
        <v>-1</v>
      </c>
      <c r="T206">
        <v>0</v>
      </c>
      <c r="U206">
        <v>-1</v>
      </c>
      <c r="V206">
        <v>0</v>
      </c>
      <c r="W206" t="s">
        <v>70</v>
      </c>
      <c r="X206">
        <v>0</v>
      </c>
      <c r="Y206">
        <v>0</v>
      </c>
      <c r="Z206">
        <v>965</v>
      </c>
      <c r="AA206" t="s">
        <v>57</v>
      </c>
      <c r="AB206">
        <v>0</v>
      </c>
      <c r="AC206">
        <v>0</v>
      </c>
      <c r="AD206">
        <v>0</v>
      </c>
      <c r="AE206">
        <v>0</v>
      </c>
      <c r="AF206" t="s">
        <v>67</v>
      </c>
      <c r="AG206">
        <v>0</v>
      </c>
      <c r="AH206">
        <v>0</v>
      </c>
      <c r="AI206">
        <v>0</v>
      </c>
      <c r="AJ206">
        <v>0</v>
      </c>
      <c r="AK206" t="s">
        <v>60</v>
      </c>
      <c r="AL206">
        <v>0</v>
      </c>
      <c r="AM206">
        <v>0</v>
      </c>
      <c r="AN206">
        <v>0</v>
      </c>
      <c r="AO206">
        <v>0</v>
      </c>
      <c r="AP206" t="b">
        <v>0</v>
      </c>
      <c r="AQ206" t="s">
        <v>58</v>
      </c>
      <c r="AR206" t="s">
        <v>58</v>
      </c>
      <c r="AS206" t="s">
        <v>71</v>
      </c>
      <c r="AT206">
        <v>14</v>
      </c>
      <c r="AU206">
        <v>8</v>
      </c>
      <c r="AV206">
        <v>8</v>
      </c>
      <c r="AW206">
        <v>11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s">
        <v>61</v>
      </c>
      <c r="BF206" t="s">
        <v>57</v>
      </c>
      <c r="BG206" t="s">
        <v>55</v>
      </c>
      <c r="BH206" t="s">
        <v>58</v>
      </c>
      <c r="BI206" t="s">
        <v>58</v>
      </c>
    </row>
    <row r="207" spans="1:61" x14ac:dyDescent="0.25">
      <c r="A207" t="str" cm="1">
        <f t="array" ref="A207">_xlfn.IFS(AS207="RegularSeason",C207,AS207&lt;&gt;"RegularSeason",R207)</f>
        <v>00101101010010100000000000000110</v>
      </c>
      <c r="B207" t="str" cm="1">
        <f t="array" ref="B207">_xlfn.IFS(AS207="RegularSeason",D207,AS207&lt;&gt;"RegularSeason",K207)</f>
        <v>00101101010010100000000000100100</v>
      </c>
      <c r="C207" t="str">
        <f t="shared" si="9"/>
        <v>00101101010010100000000000000110</v>
      </c>
      <c r="D207" t="str">
        <f t="shared" si="10"/>
        <v>00101101010010100000000000100100</v>
      </c>
      <c r="E207" t="str" cm="1">
        <f t="array" ref="E207">_xlfn.XLOOKUP(_xlfn.XLOOKUP(G207,New!A:A,New!M:M,NONE),TeamIdentity!A:A,TeamIdentity!C:C,NONE)</f>
        <v>00000110</v>
      </c>
      <c r="F207" t="str" cm="1">
        <f t="array" ref="F207">_xlfn.XLOOKUP(_xlfn.XLOOKUP(G207,New!A:A,New!F:F,NONE),TeamIdentity!A:A,TeamIdentity!C:C,NONE)</f>
        <v>00100100</v>
      </c>
      <c r="G207" t="str">
        <f t="shared" si="11"/>
        <v>8-6</v>
      </c>
      <c r="H207" t="s">
        <v>54</v>
      </c>
      <c r="I207" t="s">
        <v>54</v>
      </c>
      <c r="J207" t="s">
        <v>54</v>
      </c>
      <c r="K207" t="s">
        <v>521</v>
      </c>
      <c r="L207" t="s">
        <v>54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516</v>
      </c>
      <c r="S207">
        <v>-1</v>
      </c>
      <c r="T207">
        <v>0</v>
      </c>
      <c r="U207">
        <v>-1</v>
      </c>
      <c r="V207">
        <v>0</v>
      </c>
      <c r="W207" t="s">
        <v>70</v>
      </c>
      <c r="X207">
        <v>0</v>
      </c>
      <c r="Y207">
        <v>0</v>
      </c>
      <c r="Z207">
        <v>780</v>
      </c>
      <c r="AA207" t="s">
        <v>57</v>
      </c>
      <c r="AB207">
        <v>0</v>
      </c>
      <c r="AC207">
        <v>0</v>
      </c>
      <c r="AD207">
        <v>0</v>
      </c>
      <c r="AE207">
        <v>0</v>
      </c>
      <c r="AF207" t="s">
        <v>67</v>
      </c>
      <c r="AG207">
        <v>0</v>
      </c>
      <c r="AH207">
        <v>0</v>
      </c>
      <c r="AI207">
        <v>0</v>
      </c>
      <c r="AJ207">
        <v>0</v>
      </c>
      <c r="AK207" t="s">
        <v>60</v>
      </c>
      <c r="AL207">
        <v>0</v>
      </c>
      <c r="AM207">
        <v>0</v>
      </c>
      <c r="AN207">
        <v>0</v>
      </c>
      <c r="AO207">
        <v>0</v>
      </c>
      <c r="AP207" t="b">
        <v>0</v>
      </c>
      <c r="AQ207" t="s">
        <v>58</v>
      </c>
      <c r="AR207" t="s">
        <v>58</v>
      </c>
      <c r="AS207" t="s">
        <v>71</v>
      </c>
      <c r="AT207">
        <v>14</v>
      </c>
      <c r="AU207">
        <v>8</v>
      </c>
      <c r="AV207">
        <v>6</v>
      </c>
      <c r="AW207">
        <v>11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s">
        <v>61</v>
      </c>
      <c r="BF207" t="s">
        <v>57</v>
      </c>
      <c r="BG207" t="s">
        <v>55</v>
      </c>
      <c r="BH207" t="s">
        <v>58</v>
      </c>
      <c r="BI207" t="s">
        <v>58</v>
      </c>
    </row>
    <row r="208" spans="1:61" x14ac:dyDescent="0.25">
      <c r="A208" t="str" cm="1">
        <f t="array" ref="A208">_xlfn.IFS(AS208="RegularSeason",C208,AS208&lt;&gt;"RegularSeason",R208)</f>
        <v>00101101010010100000000000000010</v>
      </c>
      <c r="B208" t="str" cm="1">
        <f t="array" ref="B208">_xlfn.IFS(AS208="RegularSeason",D208,AS208&lt;&gt;"RegularSeason",K208)</f>
        <v>00101101010010100000000000000111</v>
      </c>
      <c r="C208" t="str">
        <f t="shared" si="9"/>
        <v>00101101010010100000000000000010</v>
      </c>
      <c r="D208" t="str">
        <f t="shared" si="10"/>
        <v>00101101010010100000000000000111</v>
      </c>
      <c r="E208" t="str" cm="1">
        <f t="array" ref="E208">_xlfn.XLOOKUP(_xlfn.XLOOKUP(G208,New!A:A,New!M:M,NONE),TeamIdentity!A:A,TeamIdentity!C:C,NONE)</f>
        <v>00000010</v>
      </c>
      <c r="F208" t="str" cm="1">
        <f t="array" ref="F208">_xlfn.XLOOKUP(_xlfn.XLOOKUP(G208,New!A:A,New!F:F,NONE),TeamIdentity!A:A,TeamIdentity!C:C,NONE)</f>
        <v>00000111</v>
      </c>
      <c r="G208" t="str">
        <f t="shared" si="11"/>
        <v>11-1</v>
      </c>
      <c r="H208" t="s">
        <v>54</v>
      </c>
      <c r="I208" t="s">
        <v>54</v>
      </c>
      <c r="J208" t="s">
        <v>54</v>
      </c>
      <c r="K208" t="s">
        <v>539</v>
      </c>
      <c r="L208" t="s">
        <v>54</v>
      </c>
      <c r="M208" t="s">
        <v>54</v>
      </c>
      <c r="N208" t="s">
        <v>54</v>
      </c>
      <c r="O208" t="s">
        <v>54</v>
      </c>
      <c r="P208" t="s">
        <v>54</v>
      </c>
      <c r="Q208" t="s">
        <v>54</v>
      </c>
      <c r="R208" t="s">
        <v>535</v>
      </c>
      <c r="S208">
        <v>-1</v>
      </c>
      <c r="T208">
        <v>0</v>
      </c>
      <c r="U208">
        <v>-1</v>
      </c>
      <c r="V208">
        <v>0</v>
      </c>
      <c r="W208" t="s">
        <v>70</v>
      </c>
      <c r="X208">
        <v>0</v>
      </c>
      <c r="Y208">
        <v>0</v>
      </c>
      <c r="Z208">
        <v>780</v>
      </c>
      <c r="AA208" t="s">
        <v>57</v>
      </c>
      <c r="AB208">
        <v>0</v>
      </c>
      <c r="AC208">
        <v>0</v>
      </c>
      <c r="AD208">
        <v>0</v>
      </c>
      <c r="AE208">
        <v>0</v>
      </c>
      <c r="AF208" t="s">
        <v>67</v>
      </c>
      <c r="AG208">
        <v>0</v>
      </c>
      <c r="AH208">
        <v>0</v>
      </c>
      <c r="AI208">
        <v>0</v>
      </c>
      <c r="AJ208">
        <v>0</v>
      </c>
      <c r="AK208" t="s">
        <v>60</v>
      </c>
      <c r="AL208">
        <v>0</v>
      </c>
      <c r="AM208">
        <v>0</v>
      </c>
      <c r="AN208">
        <v>0</v>
      </c>
      <c r="AO208">
        <v>0</v>
      </c>
      <c r="AP208" t="b">
        <v>0</v>
      </c>
      <c r="AQ208" t="s">
        <v>58</v>
      </c>
      <c r="AR208" t="s">
        <v>58</v>
      </c>
      <c r="AS208" t="s">
        <v>71</v>
      </c>
      <c r="AT208">
        <v>14</v>
      </c>
      <c r="AU208">
        <v>11</v>
      </c>
      <c r="AV208">
        <v>1</v>
      </c>
      <c r="AW208">
        <v>11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s">
        <v>61</v>
      </c>
      <c r="BF208" t="s">
        <v>57</v>
      </c>
      <c r="BG208" t="s">
        <v>55</v>
      </c>
      <c r="BH208" t="s">
        <v>58</v>
      </c>
      <c r="BI208" t="s">
        <v>58</v>
      </c>
    </row>
    <row r="209" spans="1:61" x14ac:dyDescent="0.25">
      <c r="A209" t="str" cm="1">
        <f t="array" ref="A209">_xlfn.IFS(AS209="RegularSeason",C209,AS209&lt;&gt;"RegularSeason",R209)</f>
        <v>00101101010010100000000000000101</v>
      </c>
      <c r="B209" t="str" cm="1">
        <f t="array" ref="B209">_xlfn.IFS(AS209="RegularSeason",D209,AS209&lt;&gt;"RegularSeason",K209)</f>
        <v>00101101010010100000000000100010</v>
      </c>
      <c r="C209" t="str">
        <f t="shared" si="9"/>
        <v>00101101010010100000000000000101</v>
      </c>
      <c r="D209" t="str">
        <f t="shared" si="10"/>
        <v>00101101010010100000000000100010</v>
      </c>
      <c r="E209" t="str" cm="1">
        <f t="array" ref="E209">_xlfn.XLOOKUP(_xlfn.XLOOKUP(G209,New!A:A,New!M:M,NONE),TeamIdentity!A:A,TeamIdentity!C:C,NONE)</f>
        <v>00000101</v>
      </c>
      <c r="F209" t="str" cm="1">
        <f t="array" ref="F209">_xlfn.XLOOKUP(_xlfn.XLOOKUP(G209,New!A:A,New!F:F,NONE),TeamIdentity!A:A,TeamIdentity!C:C,NONE)</f>
        <v>00100010</v>
      </c>
      <c r="G209" t="str">
        <f t="shared" si="11"/>
        <v>12-7</v>
      </c>
      <c r="H209" t="s">
        <v>54</v>
      </c>
      <c r="I209" t="s">
        <v>54</v>
      </c>
      <c r="J209" t="s">
        <v>54</v>
      </c>
      <c r="K209" t="s">
        <v>538</v>
      </c>
      <c r="L209" t="s">
        <v>54</v>
      </c>
      <c r="M209" t="s">
        <v>54</v>
      </c>
      <c r="N209" t="s">
        <v>54</v>
      </c>
      <c r="O209" t="s">
        <v>54</v>
      </c>
      <c r="P209" t="s">
        <v>54</v>
      </c>
      <c r="Q209" t="s">
        <v>54</v>
      </c>
      <c r="R209" t="s">
        <v>542</v>
      </c>
      <c r="S209">
        <v>-1</v>
      </c>
      <c r="T209">
        <v>0</v>
      </c>
      <c r="U209">
        <v>-1</v>
      </c>
      <c r="V209">
        <v>0</v>
      </c>
      <c r="W209" t="s">
        <v>70</v>
      </c>
      <c r="X209">
        <v>0</v>
      </c>
      <c r="Y209">
        <v>0</v>
      </c>
      <c r="Z209">
        <v>965</v>
      </c>
      <c r="AA209" t="s">
        <v>57</v>
      </c>
      <c r="AB209">
        <v>0</v>
      </c>
      <c r="AC209">
        <v>0</v>
      </c>
      <c r="AD209">
        <v>0</v>
      </c>
      <c r="AE209">
        <v>0</v>
      </c>
      <c r="AF209" t="s">
        <v>67</v>
      </c>
      <c r="AG209">
        <v>0</v>
      </c>
      <c r="AH209">
        <v>0</v>
      </c>
      <c r="AI209">
        <v>0</v>
      </c>
      <c r="AJ209">
        <v>0</v>
      </c>
      <c r="AK209" t="s">
        <v>60</v>
      </c>
      <c r="AL209">
        <v>0</v>
      </c>
      <c r="AM209">
        <v>0</v>
      </c>
      <c r="AN209">
        <v>0</v>
      </c>
      <c r="AO209">
        <v>0</v>
      </c>
      <c r="AP209" t="b">
        <v>0</v>
      </c>
      <c r="AQ209" t="s">
        <v>58</v>
      </c>
      <c r="AR209" t="s">
        <v>58</v>
      </c>
      <c r="AS209" t="s">
        <v>71</v>
      </c>
      <c r="AT209">
        <v>14</v>
      </c>
      <c r="AU209">
        <v>12</v>
      </c>
      <c r="AV209">
        <v>7</v>
      </c>
      <c r="AW209">
        <v>11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s">
        <v>61</v>
      </c>
      <c r="BF209" t="s">
        <v>57</v>
      </c>
      <c r="BG209" t="s">
        <v>55</v>
      </c>
      <c r="BH209" t="s">
        <v>58</v>
      </c>
      <c r="BI209" t="s">
        <v>58</v>
      </c>
    </row>
    <row r="210" spans="1:61" x14ac:dyDescent="0.25">
      <c r="A210" t="str" cm="1">
        <f t="array" ref="A210">_xlfn.IFS(AS210="RegularSeason",C210,AS210&lt;&gt;"RegularSeason",R210)</f>
        <v>00101101010010100000000000100100</v>
      </c>
      <c r="B210" t="str" cm="1">
        <f t="array" ref="B210">_xlfn.IFS(AS210="RegularSeason",D210,AS210&lt;&gt;"RegularSeason",K210)</f>
        <v>00101101010010100000000000000010</v>
      </c>
      <c r="C210" t="str">
        <f t="shared" si="9"/>
        <v>00101101010010100000000000100100</v>
      </c>
      <c r="D210" t="str">
        <f t="shared" si="10"/>
        <v>00101101010010100000000000000010</v>
      </c>
      <c r="E210" t="str" cm="1">
        <f t="array" ref="E210">_xlfn.XLOOKUP(_xlfn.XLOOKUP(G210,New!A:A,New!M:M,NONE),TeamIdentity!A:A,TeamIdentity!C:C,NONE)</f>
        <v>00100100</v>
      </c>
      <c r="F210" t="str" cm="1">
        <f t="array" ref="F210">_xlfn.XLOOKUP(_xlfn.XLOOKUP(G210,New!A:A,New!F:F,NONE),TeamIdentity!A:A,TeamIdentity!C:C,NONE)</f>
        <v>00000010</v>
      </c>
      <c r="G210" t="str">
        <f t="shared" si="11"/>
        <v>12-13</v>
      </c>
      <c r="H210" t="s">
        <v>54</v>
      </c>
      <c r="I210" t="s">
        <v>54</v>
      </c>
      <c r="J210" t="s">
        <v>54</v>
      </c>
      <c r="K210" t="s">
        <v>519</v>
      </c>
      <c r="L210" t="s">
        <v>54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526</v>
      </c>
      <c r="S210">
        <v>-1</v>
      </c>
      <c r="T210">
        <v>0</v>
      </c>
      <c r="U210">
        <v>-1</v>
      </c>
      <c r="V210">
        <v>0</v>
      </c>
      <c r="W210" t="s">
        <v>70</v>
      </c>
      <c r="X210">
        <v>0</v>
      </c>
      <c r="Y210">
        <v>0</v>
      </c>
      <c r="Z210">
        <v>1220</v>
      </c>
      <c r="AA210" t="s">
        <v>57</v>
      </c>
      <c r="AB210">
        <v>0</v>
      </c>
      <c r="AC210">
        <v>0</v>
      </c>
      <c r="AD210">
        <v>0</v>
      </c>
      <c r="AE210">
        <v>0</v>
      </c>
      <c r="AF210" t="s">
        <v>68</v>
      </c>
      <c r="AG210">
        <v>0</v>
      </c>
      <c r="AH210">
        <v>0</v>
      </c>
      <c r="AI210">
        <v>0</v>
      </c>
      <c r="AJ210">
        <v>0</v>
      </c>
      <c r="AK210" t="s">
        <v>68</v>
      </c>
      <c r="AL210">
        <v>0</v>
      </c>
      <c r="AM210">
        <v>0</v>
      </c>
      <c r="AN210">
        <v>0</v>
      </c>
      <c r="AO210">
        <v>0</v>
      </c>
      <c r="AP210" t="b">
        <v>0</v>
      </c>
      <c r="AQ210" t="s">
        <v>58</v>
      </c>
      <c r="AR210" t="s">
        <v>58</v>
      </c>
      <c r="AS210" t="s">
        <v>71</v>
      </c>
      <c r="AT210">
        <v>14</v>
      </c>
      <c r="AU210">
        <v>12</v>
      </c>
      <c r="AV210">
        <v>13</v>
      </c>
      <c r="AW210">
        <v>11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s">
        <v>61</v>
      </c>
      <c r="BF210" t="s">
        <v>57</v>
      </c>
      <c r="BG210" t="s">
        <v>55</v>
      </c>
      <c r="BH210" t="s">
        <v>58</v>
      </c>
      <c r="BI210" t="s">
        <v>58</v>
      </c>
    </row>
    <row r="211" spans="1:61" x14ac:dyDescent="0.25">
      <c r="A211" t="str" cm="1">
        <f t="array" ref="A211">_xlfn.IFS(AS211="RegularSeason",C211,AS211&lt;&gt;"RegularSeason",R211)</f>
        <v>00101101010010100000000000011010</v>
      </c>
      <c r="B211" t="str" cm="1">
        <f t="array" ref="B211">_xlfn.IFS(AS211="RegularSeason",D211,AS211&lt;&gt;"RegularSeason",K211)</f>
        <v>00101101010010100000000000000000</v>
      </c>
      <c r="C211" t="str">
        <f t="shared" si="9"/>
        <v>00101101010010100000000000011010</v>
      </c>
      <c r="D211" t="str">
        <f t="shared" si="10"/>
        <v>00101101010010100000000000000000</v>
      </c>
      <c r="E211" t="str" cm="1">
        <f t="array" ref="E211">_xlfn.XLOOKUP(_xlfn.XLOOKUP(G211,New!A:A,New!M:M,NONE),TeamIdentity!A:A,TeamIdentity!C:C,NONE)</f>
        <v>00011010</v>
      </c>
      <c r="F211" t="str" cm="1">
        <f t="array" ref="F211">_xlfn.XLOOKUP(_xlfn.XLOOKUP(G211,New!A:A,New!F:F,NONE),TeamIdentity!A:A,TeamIdentity!C:C,NONE)</f>
        <v>00000000</v>
      </c>
      <c r="G211" t="str">
        <f t="shared" si="11"/>
        <v>10-11</v>
      </c>
      <c r="H211" t="s">
        <v>54</v>
      </c>
      <c r="I211" t="s">
        <v>54</v>
      </c>
      <c r="J211" t="s">
        <v>54</v>
      </c>
      <c r="K211" t="s">
        <v>519</v>
      </c>
      <c r="L211" t="s">
        <v>54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522</v>
      </c>
      <c r="S211">
        <v>-1</v>
      </c>
      <c r="T211">
        <v>0</v>
      </c>
      <c r="U211">
        <v>-1</v>
      </c>
      <c r="V211">
        <v>0</v>
      </c>
      <c r="W211" t="s">
        <v>70</v>
      </c>
      <c r="X211">
        <v>0</v>
      </c>
      <c r="Y211">
        <v>0</v>
      </c>
      <c r="Z211">
        <v>975</v>
      </c>
      <c r="AA211" t="s">
        <v>57</v>
      </c>
      <c r="AB211">
        <v>0</v>
      </c>
      <c r="AC211">
        <v>0</v>
      </c>
      <c r="AD211">
        <v>0</v>
      </c>
      <c r="AE211">
        <v>0</v>
      </c>
      <c r="AF211" t="s">
        <v>67</v>
      </c>
      <c r="AG211">
        <v>0</v>
      </c>
      <c r="AH211">
        <v>0</v>
      </c>
      <c r="AI211">
        <v>0</v>
      </c>
      <c r="AJ211">
        <v>0</v>
      </c>
      <c r="AK211" t="s">
        <v>60</v>
      </c>
      <c r="AL211">
        <v>0</v>
      </c>
      <c r="AM211">
        <v>0</v>
      </c>
      <c r="AN211">
        <v>0</v>
      </c>
      <c r="AO211">
        <v>0</v>
      </c>
      <c r="AP211" t="b">
        <v>0</v>
      </c>
      <c r="AQ211" t="s">
        <v>58</v>
      </c>
      <c r="AR211" t="s">
        <v>58</v>
      </c>
      <c r="AS211" t="s">
        <v>71</v>
      </c>
      <c r="AT211">
        <v>14</v>
      </c>
      <c r="AU211">
        <v>10</v>
      </c>
      <c r="AV211">
        <v>11</v>
      </c>
      <c r="AW211">
        <v>11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s">
        <v>61</v>
      </c>
      <c r="BF211" t="s">
        <v>57</v>
      </c>
      <c r="BG211" t="s">
        <v>55</v>
      </c>
      <c r="BH211" t="s">
        <v>58</v>
      </c>
      <c r="BI211" t="s">
        <v>58</v>
      </c>
    </row>
    <row r="212" spans="1:61" x14ac:dyDescent="0.25">
      <c r="A212" t="str" cm="1">
        <f t="array" ref="A212">_xlfn.IFS(AS212="RegularSeason",C212,AS212&lt;&gt;"RegularSeason",R212)</f>
        <v>00101101010010100000000000011001</v>
      </c>
      <c r="B212" t="str" cm="1">
        <f t="array" ref="B212">_xlfn.IFS(AS212="RegularSeason",D212,AS212&lt;&gt;"RegularSeason",K212)</f>
        <v>00101101010010100000000000000100</v>
      </c>
      <c r="C212" t="str">
        <f t="shared" si="9"/>
        <v>00101101010010100000000000011001</v>
      </c>
      <c r="D212" t="str">
        <f t="shared" si="10"/>
        <v>00101101010010100000000000000100</v>
      </c>
      <c r="E212" t="str" cm="1">
        <f t="array" ref="E212">_xlfn.XLOOKUP(_xlfn.XLOOKUP(G212,New!A:A,New!M:M,NONE),TeamIdentity!A:A,TeamIdentity!C:C,NONE)</f>
        <v>00011001</v>
      </c>
      <c r="F212" t="str" cm="1">
        <f t="array" ref="F212">_xlfn.XLOOKUP(_xlfn.XLOOKUP(G212,New!A:A,New!F:F,NONE),TeamIdentity!A:A,TeamIdentity!C:C,NONE)</f>
        <v>00000100</v>
      </c>
      <c r="G212" t="str">
        <f t="shared" si="11"/>
        <v>10-3</v>
      </c>
      <c r="H212" t="s">
        <v>54</v>
      </c>
      <c r="I212" t="s">
        <v>54</v>
      </c>
      <c r="J212" t="s">
        <v>54</v>
      </c>
      <c r="K212" t="s">
        <v>523</v>
      </c>
      <c r="L212" t="s">
        <v>54</v>
      </c>
      <c r="M212" t="s">
        <v>54</v>
      </c>
      <c r="N212" t="s">
        <v>54</v>
      </c>
      <c r="O212" t="s">
        <v>54</v>
      </c>
      <c r="P212" t="s">
        <v>54</v>
      </c>
      <c r="Q212" t="s">
        <v>54</v>
      </c>
      <c r="R212" t="s">
        <v>535</v>
      </c>
      <c r="S212">
        <v>-1</v>
      </c>
      <c r="T212">
        <v>0</v>
      </c>
      <c r="U212">
        <v>-1</v>
      </c>
      <c r="V212">
        <v>0</v>
      </c>
      <c r="W212" t="s">
        <v>70</v>
      </c>
      <c r="X212">
        <v>0</v>
      </c>
      <c r="Y212">
        <v>0</v>
      </c>
      <c r="Z212">
        <v>780</v>
      </c>
      <c r="AA212" t="s">
        <v>57</v>
      </c>
      <c r="AB212">
        <v>0</v>
      </c>
      <c r="AC212">
        <v>0</v>
      </c>
      <c r="AD212">
        <v>0</v>
      </c>
      <c r="AE212">
        <v>0</v>
      </c>
      <c r="AF212" t="s">
        <v>67</v>
      </c>
      <c r="AG212">
        <v>0</v>
      </c>
      <c r="AH212">
        <v>0</v>
      </c>
      <c r="AI212">
        <v>0</v>
      </c>
      <c r="AJ212">
        <v>0</v>
      </c>
      <c r="AK212" t="s">
        <v>60</v>
      </c>
      <c r="AL212">
        <v>0</v>
      </c>
      <c r="AM212">
        <v>0</v>
      </c>
      <c r="AN212">
        <v>0</v>
      </c>
      <c r="AO212">
        <v>0</v>
      </c>
      <c r="AP212" t="b">
        <v>0</v>
      </c>
      <c r="AQ212" t="s">
        <v>58</v>
      </c>
      <c r="AR212" t="s">
        <v>58</v>
      </c>
      <c r="AS212" t="s">
        <v>71</v>
      </c>
      <c r="AT212">
        <v>14</v>
      </c>
      <c r="AU212">
        <v>10</v>
      </c>
      <c r="AV212">
        <v>3</v>
      </c>
      <c r="AW212">
        <v>11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s">
        <v>61</v>
      </c>
      <c r="BF212" t="s">
        <v>57</v>
      </c>
      <c r="BG212" t="s">
        <v>55</v>
      </c>
      <c r="BH212" t="s">
        <v>58</v>
      </c>
      <c r="BI212" t="s">
        <v>58</v>
      </c>
    </row>
    <row r="213" spans="1:61" x14ac:dyDescent="0.25">
      <c r="A213" t="str" cm="1">
        <f t="array" ref="A213">_xlfn.IFS(AS213="RegularSeason",C213,AS213&lt;&gt;"RegularSeason",R213)</f>
        <v>00101101010010100000000000001101</v>
      </c>
      <c r="B213" t="str" cm="1">
        <f t="array" ref="B213">_xlfn.IFS(AS213="RegularSeason",D213,AS213&lt;&gt;"RegularSeason",K213)</f>
        <v>00101101010010100000000000011010</v>
      </c>
      <c r="C213" t="str">
        <f t="shared" si="9"/>
        <v>00101101010010100000000000001101</v>
      </c>
      <c r="D213" t="str">
        <f t="shared" si="10"/>
        <v>00101101010010100000000000011010</v>
      </c>
      <c r="E213" t="str" cm="1">
        <f t="array" ref="E213">_xlfn.XLOOKUP(_xlfn.XLOOKUP(G213,New!A:A,New!M:M,NONE),TeamIdentity!A:A,TeamIdentity!C:C,NONE)</f>
        <v>00001101</v>
      </c>
      <c r="F213" t="str" cm="1">
        <f t="array" ref="F213">_xlfn.XLOOKUP(_xlfn.XLOOKUP(G213,New!A:A,New!F:F,NONE),TeamIdentity!A:A,TeamIdentity!C:C,NONE)</f>
        <v>00011010</v>
      </c>
      <c r="G213" t="str">
        <f t="shared" si="11"/>
        <v>9-10</v>
      </c>
      <c r="H213" t="s">
        <v>54</v>
      </c>
      <c r="I213" t="s">
        <v>54</v>
      </c>
      <c r="J213" t="s">
        <v>54</v>
      </c>
      <c r="K213" t="s">
        <v>526</v>
      </c>
      <c r="L213" t="s">
        <v>54</v>
      </c>
      <c r="M213" t="s">
        <v>54</v>
      </c>
      <c r="N213" t="s">
        <v>54</v>
      </c>
      <c r="O213" t="s">
        <v>54</v>
      </c>
      <c r="P213" t="s">
        <v>54</v>
      </c>
      <c r="Q213" t="s">
        <v>54</v>
      </c>
      <c r="R213" t="s">
        <v>531</v>
      </c>
      <c r="S213">
        <v>-1</v>
      </c>
      <c r="T213">
        <v>0</v>
      </c>
      <c r="U213">
        <v>-1</v>
      </c>
      <c r="V213">
        <v>0</v>
      </c>
      <c r="W213" t="s">
        <v>70</v>
      </c>
      <c r="X213">
        <v>0</v>
      </c>
      <c r="Y213">
        <v>0</v>
      </c>
      <c r="Z213">
        <v>975</v>
      </c>
      <c r="AA213" t="s">
        <v>57</v>
      </c>
      <c r="AB213">
        <v>0</v>
      </c>
      <c r="AC213">
        <v>0</v>
      </c>
      <c r="AD213">
        <v>0</v>
      </c>
      <c r="AE213">
        <v>0</v>
      </c>
      <c r="AF213" t="s">
        <v>67</v>
      </c>
      <c r="AG213">
        <v>0</v>
      </c>
      <c r="AH213">
        <v>0</v>
      </c>
      <c r="AI213">
        <v>0</v>
      </c>
      <c r="AJ213">
        <v>0</v>
      </c>
      <c r="AK213" t="s">
        <v>60</v>
      </c>
      <c r="AL213">
        <v>0</v>
      </c>
      <c r="AM213">
        <v>0</v>
      </c>
      <c r="AN213">
        <v>0</v>
      </c>
      <c r="AO213">
        <v>0</v>
      </c>
      <c r="AP213" t="b">
        <v>0</v>
      </c>
      <c r="AQ213" t="s">
        <v>58</v>
      </c>
      <c r="AR213" t="s">
        <v>58</v>
      </c>
      <c r="AS213" t="s">
        <v>71</v>
      </c>
      <c r="AT213">
        <v>14</v>
      </c>
      <c r="AU213">
        <v>9</v>
      </c>
      <c r="AV213">
        <v>10</v>
      </c>
      <c r="AW213">
        <v>11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s">
        <v>61</v>
      </c>
      <c r="BF213" t="s">
        <v>57</v>
      </c>
      <c r="BG213" t="s">
        <v>55</v>
      </c>
      <c r="BH213" t="s">
        <v>58</v>
      </c>
      <c r="BI213" t="s">
        <v>58</v>
      </c>
    </row>
    <row r="214" spans="1:61" x14ac:dyDescent="0.25">
      <c r="A214" t="str" cm="1">
        <f t="array" ref="A214">_xlfn.IFS(AS214="RegularSeason",C214,AS214&lt;&gt;"RegularSeason",R214)</f>
        <v>00101101010010100000000000011101</v>
      </c>
      <c r="B214" t="str" cm="1">
        <f t="array" ref="B214">_xlfn.IFS(AS214="RegularSeason",D214,AS214&lt;&gt;"RegularSeason",K214)</f>
        <v>00101101010010100000000000000001</v>
      </c>
      <c r="C214" t="str">
        <f t="shared" si="9"/>
        <v>00101101010010100000000000011101</v>
      </c>
      <c r="D214" t="str">
        <f t="shared" si="10"/>
        <v>00101101010010100000000000000001</v>
      </c>
      <c r="E214" t="str" cm="1">
        <f t="array" ref="E214">_xlfn.XLOOKUP(_xlfn.XLOOKUP(G214,New!A:A,New!M:M,NONE),TeamIdentity!A:A,TeamIdentity!C:C,NONE)</f>
        <v>00011101</v>
      </c>
      <c r="F214" t="str" cm="1">
        <f t="array" ref="F214">_xlfn.XLOOKUP(_xlfn.XLOOKUP(G214,New!A:A,New!F:F,NONE),TeamIdentity!A:A,TeamIdentity!C:C,NONE)</f>
        <v>00000001</v>
      </c>
      <c r="G214" t="str">
        <f t="shared" si="11"/>
        <v>11-8</v>
      </c>
      <c r="H214" t="s">
        <v>54</v>
      </c>
      <c r="I214" t="s">
        <v>54</v>
      </c>
      <c r="J214" t="s">
        <v>54</v>
      </c>
      <c r="K214" t="s">
        <v>529</v>
      </c>
      <c r="L214" t="s">
        <v>54</v>
      </c>
      <c r="M214" t="s">
        <v>54</v>
      </c>
      <c r="N214" t="s">
        <v>54</v>
      </c>
      <c r="O214" t="s">
        <v>54</v>
      </c>
      <c r="P214" t="s">
        <v>54</v>
      </c>
      <c r="Q214" t="s">
        <v>54</v>
      </c>
      <c r="R214" t="s">
        <v>533</v>
      </c>
      <c r="S214">
        <v>-1</v>
      </c>
      <c r="T214">
        <v>0</v>
      </c>
      <c r="U214">
        <v>-1</v>
      </c>
      <c r="V214">
        <v>0</v>
      </c>
      <c r="W214" t="s">
        <v>70</v>
      </c>
      <c r="X214">
        <v>0</v>
      </c>
      <c r="Y214">
        <v>0</v>
      </c>
      <c r="Z214">
        <v>975</v>
      </c>
      <c r="AA214" t="s">
        <v>57</v>
      </c>
      <c r="AB214">
        <v>0</v>
      </c>
      <c r="AC214">
        <v>0</v>
      </c>
      <c r="AD214">
        <v>0</v>
      </c>
      <c r="AE214">
        <v>0</v>
      </c>
      <c r="AF214" t="s">
        <v>67</v>
      </c>
      <c r="AG214">
        <v>0</v>
      </c>
      <c r="AH214">
        <v>0</v>
      </c>
      <c r="AI214">
        <v>0</v>
      </c>
      <c r="AJ214">
        <v>0</v>
      </c>
      <c r="AK214" t="s">
        <v>60</v>
      </c>
      <c r="AL214">
        <v>0</v>
      </c>
      <c r="AM214">
        <v>0</v>
      </c>
      <c r="AN214">
        <v>0</v>
      </c>
      <c r="AO214">
        <v>0</v>
      </c>
      <c r="AP214" t="b">
        <v>0</v>
      </c>
      <c r="AQ214" t="s">
        <v>58</v>
      </c>
      <c r="AR214" t="s">
        <v>58</v>
      </c>
      <c r="AS214" t="s">
        <v>71</v>
      </c>
      <c r="AT214">
        <v>14</v>
      </c>
      <c r="AU214">
        <v>11</v>
      </c>
      <c r="AV214">
        <v>8</v>
      </c>
      <c r="AW214">
        <v>11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s">
        <v>61</v>
      </c>
      <c r="BF214" t="s">
        <v>57</v>
      </c>
      <c r="BG214" t="s">
        <v>55</v>
      </c>
      <c r="BH214" t="s">
        <v>58</v>
      </c>
      <c r="BI214" t="s">
        <v>58</v>
      </c>
    </row>
    <row r="215" spans="1:61" x14ac:dyDescent="0.25">
      <c r="A215" t="str" cm="1">
        <f t="array" ref="A215">_xlfn.IFS(AS215="RegularSeason",C215,AS215&lt;&gt;"RegularSeason",R215)</f>
        <v>00101101010010100000000000011101</v>
      </c>
      <c r="B215" t="str" cm="1">
        <f t="array" ref="B215">_xlfn.IFS(AS215="RegularSeason",D215,AS215&lt;&gt;"RegularSeason",K215)</f>
        <v>00101101010010100000000000000010</v>
      </c>
      <c r="C215" t="str">
        <f t="shared" si="9"/>
        <v>00101101010010100000000000011101</v>
      </c>
      <c r="D215" t="str">
        <f t="shared" si="10"/>
        <v>00101101010010100000000000000010</v>
      </c>
      <c r="E215" t="str" cm="1">
        <f t="array" ref="E215">_xlfn.XLOOKUP(_xlfn.XLOOKUP(G215,New!A:A,New!M:M,NONE),TeamIdentity!A:A,TeamIdentity!C:C,NONE)</f>
        <v>00011101</v>
      </c>
      <c r="F215" t="str" cm="1">
        <f t="array" ref="F215">_xlfn.XLOOKUP(_xlfn.XLOOKUP(G215,New!A:A,New!F:F,NONE),TeamIdentity!A:A,TeamIdentity!C:C,NONE)</f>
        <v>00000010</v>
      </c>
      <c r="G215" t="str">
        <f t="shared" si="11"/>
        <v>10-4</v>
      </c>
      <c r="H215" t="s">
        <v>54</v>
      </c>
      <c r="I215" t="s">
        <v>54</v>
      </c>
      <c r="J215" t="s">
        <v>54</v>
      </c>
      <c r="K215" t="s">
        <v>514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512</v>
      </c>
      <c r="S215">
        <v>-1</v>
      </c>
      <c r="T215">
        <v>0</v>
      </c>
      <c r="U215">
        <v>-1</v>
      </c>
      <c r="V215">
        <v>0</v>
      </c>
      <c r="W215" t="s">
        <v>70</v>
      </c>
      <c r="X215">
        <v>0</v>
      </c>
      <c r="Y215">
        <v>0</v>
      </c>
      <c r="Z215">
        <v>780</v>
      </c>
      <c r="AA215" t="s">
        <v>57</v>
      </c>
      <c r="AB215">
        <v>0</v>
      </c>
      <c r="AC215">
        <v>0</v>
      </c>
      <c r="AD215">
        <v>0</v>
      </c>
      <c r="AE215">
        <v>0</v>
      </c>
      <c r="AF215" t="s">
        <v>67</v>
      </c>
      <c r="AG215">
        <v>0</v>
      </c>
      <c r="AH215">
        <v>0</v>
      </c>
      <c r="AI215">
        <v>0</v>
      </c>
      <c r="AJ215">
        <v>0</v>
      </c>
      <c r="AK215" t="s">
        <v>60</v>
      </c>
      <c r="AL215">
        <v>0</v>
      </c>
      <c r="AM215">
        <v>0</v>
      </c>
      <c r="AN215">
        <v>0</v>
      </c>
      <c r="AO215">
        <v>0</v>
      </c>
      <c r="AP215" t="b">
        <v>0</v>
      </c>
      <c r="AQ215" t="s">
        <v>58</v>
      </c>
      <c r="AR215" t="s">
        <v>58</v>
      </c>
      <c r="AS215" t="s">
        <v>71</v>
      </c>
      <c r="AT215">
        <v>14</v>
      </c>
      <c r="AU215">
        <v>10</v>
      </c>
      <c r="AV215">
        <v>4</v>
      </c>
      <c r="AW215">
        <v>11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s">
        <v>61</v>
      </c>
      <c r="BF215" t="s">
        <v>57</v>
      </c>
      <c r="BG215" t="s">
        <v>55</v>
      </c>
      <c r="BH215" t="s">
        <v>58</v>
      </c>
      <c r="BI215" t="s">
        <v>58</v>
      </c>
    </row>
    <row r="216" spans="1:61" x14ac:dyDescent="0.25">
      <c r="A216" t="str" cm="1">
        <f t="array" ref="A216">_xlfn.IFS(AS216="RegularSeason",C216,AS216&lt;&gt;"RegularSeason",R216)</f>
        <v>00101101010010100000000000100100</v>
      </c>
      <c r="B216" t="str" cm="1">
        <f t="array" ref="B216">_xlfn.IFS(AS216="RegularSeason",D216,AS216&lt;&gt;"RegularSeason",K216)</f>
        <v>00101101010010100000000000011100</v>
      </c>
      <c r="C216" t="str">
        <f t="shared" si="9"/>
        <v>00101101010010100000000000100100</v>
      </c>
      <c r="D216" t="str">
        <f t="shared" si="10"/>
        <v>00101101010010100000000000011100</v>
      </c>
      <c r="E216" t="str" cm="1">
        <f t="array" ref="E216">_xlfn.XLOOKUP(_xlfn.XLOOKUP(G216,New!A:A,New!M:M,NONE),TeamIdentity!A:A,TeamIdentity!C:C,NONE)</f>
        <v>00100100</v>
      </c>
      <c r="F216" t="str" cm="1">
        <f t="array" ref="F216">_xlfn.XLOOKUP(_xlfn.XLOOKUP(G216,New!A:A,New!F:F,NONE),TeamIdentity!A:A,TeamIdentity!C:C,NONE)</f>
        <v>00011100</v>
      </c>
      <c r="G216" t="str">
        <f t="shared" si="11"/>
        <v>11-9</v>
      </c>
      <c r="H216" t="s">
        <v>54</v>
      </c>
      <c r="I216" t="s">
        <v>54</v>
      </c>
      <c r="J216" t="s">
        <v>54</v>
      </c>
      <c r="K216" t="s">
        <v>511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515</v>
      </c>
      <c r="S216">
        <v>-1</v>
      </c>
      <c r="T216">
        <v>0</v>
      </c>
      <c r="U216">
        <v>-1</v>
      </c>
      <c r="V216">
        <v>0</v>
      </c>
      <c r="W216" t="s">
        <v>70</v>
      </c>
      <c r="X216">
        <v>0</v>
      </c>
      <c r="Y216">
        <v>0</v>
      </c>
      <c r="Z216">
        <v>975</v>
      </c>
      <c r="AA216" t="s">
        <v>57</v>
      </c>
      <c r="AB216">
        <v>0</v>
      </c>
      <c r="AC216">
        <v>0</v>
      </c>
      <c r="AD216">
        <v>0</v>
      </c>
      <c r="AE216">
        <v>0</v>
      </c>
      <c r="AF216" t="s">
        <v>67</v>
      </c>
      <c r="AG216">
        <v>0</v>
      </c>
      <c r="AH216">
        <v>0</v>
      </c>
      <c r="AI216">
        <v>0</v>
      </c>
      <c r="AJ216">
        <v>0</v>
      </c>
      <c r="AK216" t="s">
        <v>60</v>
      </c>
      <c r="AL216">
        <v>0</v>
      </c>
      <c r="AM216">
        <v>0</v>
      </c>
      <c r="AN216">
        <v>0</v>
      </c>
      <c r="AO216">
        <v>0</v>
      </c>
      <c r="AP216" t="b">
        <v>0</v>
      </c>
      <c r="AQ216" t="s">
        <v>58</v>
      </c>
      <c r="AR216" t="s">
        <v>58</v>
      </c>
      <c r="AS216" t="s">
        <v>71</v>
      </c>
      <c r="AT216">
        <v>14</v>
      </c>
      <c r="AU216">
        <v>11</v>
      </c>
      <c r="AV216">
        <v>9</v>
      </c>
      <c r="AW216">
        <v>11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s">
        <v>61</v>
      </c>
      <c r="BF216" t="s">
        <v>57</v>
      </c>
      <c r="BG216" t="s">
        <v>55</v>
      </c>
      <c r="BH216" t="s">
        <v>58</v>
      </c>
      <c r="BI216" t="s">
        <v>58</v>
      </c>
    </row>
    <row r="217" spans="1:61" x14ac:dyDescent="0.25">
      <c r="A217" t="str" cm="1">
        <f t="array" ref="A217">_xlfn.IFS(AS217="RegularSeason",C217,AS217&lt;&gt;"RegularSeason",R217)</f>
        <v>00101101010010100000000000001101</v>
      </c>
      <c r="B217" t="str" cm="1">
        <f t="array" ref="B217">_xlfn.IFS(AS217="RegularSeason",D217,AS217&lt;&gt;"RegularSeason",K217)</f>
        <v>00101101010010100000000000010011</v>
      </c>
      <c r="C217" t="str">
        <f t="shared" si="9"/>
        <v>00101101010010100000000000001101</v>
      </c>
      <c r="D217" t="str">
        <f t="shared" si="10"/>
        <v>00101101010010100000000000010011</v>
      </c>
      <c r="E217" t="str" cm="1">
        <f t="array" ref="E217">_xlfn.XLOOKUP(_xlfn.XLOOKUP(G217,New!A:A,New!M:M,NONE),TeamIdentity!A:A,TeamIdentity!C:C,NONE)</f>
        <v>00001101</v>
      </c>
      <c r="F217" t="str" cm="1">
        <f t="array" ref="F217">_xlfn.XLOOKUP(_xlfn.XLOOKUP(G217,New!A:A,New!F:F,NONE),TeamIdentity!A:A,TeamIdentity!C:C,NONE)</f>
        <v>00010011</v>
      </c>
      <c r="G217" t="str">
        <f t="shared" si="11"/>
        <v>12-8</v>
      </c>
      <c r="H217" t="s">
        <v>54</v>
      </c>
      <c r="I217" t="s">
        <v>54</v>
      </c>
      <c r="J217" t="s">
        <v>54</v>
      </c>
      <c r="K217" t="s">
        <v>528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525</v>
      </c>
      <c r="S217">
        <v>-1</v>
      </c>
      <c r="T217">
        <v>0</v>
      </c>
      <c r="U217">
        <v>-1</v>
      </c>
      <c r="V217">
        <v>0</v>
      </c>
      <c r="W217" t="s">
        <v>70</v>
      </c>
      <c r="X217">
        <v>0</v>
      </c>
      <c r="Y217">
        <v>0</v>
      </c>
      <c r="Z217">
        <v>965</v>
      </c>
      <c r="AA217" t="s">
        <v>57</v>
      </c>
      <c r="AB217">
        <v>0</v>
      </c>
      <c r="AC217">
        <v>0</v>
      </c>
      <c r="AD217">
        <v>0</v>
      </c>
      <c r="AE217">
        <v>0</v>
      </c>
      <c r="AF217" t="s">
        <v>67</v>
      </c>
      <c r="AG217">
        <v>0</v>
      </c>
      <c r="AH217">
        <v>0</v>
      </c>
      <c r="AI217">
        <v>0</v>
      </c>
      <c r="AJ217">
        <v>0</v>
      </c>
      <c r="AK217" t="s">
        <v>60</v>
      </c>
      <c r="AL217">
        <v>0</v>
      </c>
      <c r="AM217">
        <v>0</v>
      </c>
      <c r="AN217">
        <v>0</v>
      </c>
      <c r="AO217">
        <v>0</v>
      </c>
      <c r="AP217" t="b">
        <v>0</v>
      </c>
      <c r="AQ217" t="s">
        <v>58</v>
      </c>
      <c r="AR217" t="s">
        <v>58</v>
      </c>
      <c r="AS217" t="s">
        <v>71</v>
      </c>
      <c r="AT217">
        <v>14</v>
      </c>
      <c r="AU217">
        <v>12</v>
      </c>
      <c r="AV217">
        <v>8</v>
      </c>
      <c r="AW217">
        <v>11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s">
        <v>61</v>
      </c>
      <c r="BF217" t="s">
        <v>57</v>
      </c>
      <c r="BG217" t="s">
        <v>55</v>
      </c>
      <c r="BH217" t="s">
        <v>58</v>
      </c>
      <c r="BI217" t="s">
        <v>58</v>
      </c>
    </row>
    <row r="218" spans="1:61" x14ac:dyDescent="0.25">
      <c r="A218" t="str" cm="1">
        <f t="array" ref="A218">_xlfn.IFS(AS218="RegularSeason",C218,AS218&lt;&gt;"RegularSeason",R218)</f>
        <v>00101101010010100000000000011110</v>
      </c>
      <c r="B218" t="str" cm="1">
        <f t="array" ref="B218">_xlfn.IFS(AS218="RegularSeason",D218,AS218&lt;&gt;"RegularSeason",K218)</f>
        <v>00101101010010100000000000001100</v>
      </c>
      <c r="C218" t="str">
        <f t="shared" si="9"/>
        <v>00101101010010100000000000011110</v>
      </c>
      <c r="D218" t="str">
        <f t="shared" si="10"/>
        <v>00101101010010100000000000001100</v>
      </c>
      <c r="E218" t="str" cm="1">
        <f t="array" ref="E218">_xlfn.XLOOKUP(_xlfn.XLOOKUP(G218,New!A:A,New!M:M,NONE),TeamIdentity!A:A,TeamIdentity!C:C,NONE)</f>
        <v>00011110</v>
      </c>
      <c r="F218" t="str" cm="1">
        <f t="array" ref="F218">_xlfn.XLOOKUP(_xlfn.XLOOKUP(G218,New!A:A,New!F:F,NONE),TeamIdentity!A:A,TeamIdentity!C:C,NONE)</f>
        <v>00001100</v>
      </c>
      <c r="G218" t="str">
        <f t="shared" si="11"/>
        <v>11-10</v>
      </c>
      <c r="H218" t="s">
        <v>54</v>
      </c>
      <c r="I218" t="s">
        <v>54</v>
      </c>
      <c r="J218" t="s">
        <v>54</v>
      </c>
      <c r="K218" t="s">
        <v>516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528</v>
      </c>
      <c r="S218">
        <v>-1</v>
      </c>
      <c r="T218">
        <v>0</v>
      </c>
      <c r="U218">
        <v>-1</v>
      </c>
      <c r="V218">
        <v>0</v>
      </c>
      <c r="W218" t="s">
        <v>70</v>
      </c>
      <c r="X218">
        <v>0</v>
      </c>
      <c r="Y218">
        <v>0</v>
      </c>
      <c r="Z218">
        <v>1220</v>
      </c>
      <c r="AA218" t="s">
        <v>57</v>
      </c>
      <c r="AB218">
        <v>0</v>
      </c>
      <c r="AC218">
        <v>0</v>
      </c>
      <c r="AD218">
        <v>0</v>
      </c>
      <c r="AE218">
        <v>0</v>
      </c>
      <c r="AF218" t="s">
        <v>60</v>
      </c>
      <c r="AG218">
        <v>0</v>
      </c>
      <c r="AH218">
        <v>0</v>
      </c>
      <c r="AI218">
        <v>0</v>
      </c>
      <c r="AJ218">
        <v>0</v>
      </c>
      <c r="AK218" t="s">
        <v>60</v>
      </c>
      <c r="AL218">
        <v>0</v>
      </c>
      <c r="AM218">
        <v>0</v>
      </c>
      <c r="AN218">
        <v>0</v>
      </c>
      <c r="AO218">
        <v>0</v>
      </c>
      <c r="AP218" t="b">
        <v>0</v>
      </c>
      <c r="AQ218" t="s">
        <v>58</v>
      </c>
      <c r="AR218" t="s">
        <v>58</v>
      </c>
      <c r="AS218" t="s">
        <v>71</v>
      </c>
      <c r="AT218">
        <v>14</v>
      </c>
      <c r="AU218">
        <v>11</v>
      </c>
      <c r="AV218">
        <v>10</v>
      </c>
      <c r="AW218">
        <v>11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s">
        <v>61</v>
      </c>
      <c r="BF218" t="s">
        <v>57</v>
      </c>
      <c r="BG218" t="s">
        <v>55</v>
      </c>
      <c r="BH218" t="s">
        <v>58</v>
      </c>
      <c r="BI218" t="s">
        <v>58</v>
      </c>
    </row>
    <row r="219" spans="1:61" x14ac:dyDescent="0.25">
      <c r="A219" t="str" cm="1">
        <f t="array" ref="A219">_xlfn.IFS(AS219="RegularSeason",C219,AS219&lt;&gt;"RegularSeason",R219)</f>
        <v>00101101010010100000000000000110</v>
      </c>
      <c r="B219" t="str" cm="1">
        <f t="array" ref="B219">_xlfn.IFS(AS219="RegularSeason",D219,AS219&lt;&gt;"RegularSeason",K219)</f>
        <v>00101101010010100000000000001100</v>
      </c>
      <c r="C219" t="str">
        <f t="shared" si="9"/>
        <v>00101101010010100000000000000110</v>
      </c>
      <c r="D219" t="str">
        <f t="shared" si="10"/>
        <v>00101101010010100000000000001100</v>
      </c>
      <c r="E219" t="str" cm="1">
        <f t="array" ref="E219">_xlfn.XLOOKUP(_xlfn.XLOOKUP(G219,New!A:A,New!M:M,NONE),TeamIdentity!A:A,TeamIdentity!C:C,NONE)</f>
        <v>00000110</v>
      </c>
      <c r="F219" t="str" cm="1">
        <f t="array" ref="F219">_xlfn.XLOOKUP(_xlfn.XLOOKUP(G219,New!A:A,New!F:F,NONE),TeamIdentity!A:A,TeamIdentity!C:C,NONE)</f>
        <v>00001100</v>
      </c>
      <c r="G219" t="str">
        <f t="shared" si="11"/>
        <v>9-8</v>
      </c>
      <c r="H219" t="s">
        <v>54</v>
      </c>
      <c r="I219" t="s">
        <v>54</v>
      </c>
      <c r="J219" t="s">
        <v>54</v>
      </c>
      <c r="K219" t="s">
        <v>535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528</v>
      </c>
      <c r="S219">
        <v>-1</v>
      </c>
      <c r="T219">
        <v>0</v>
      </c>
      <c r="U219">
        <v>-1</v>
      </c>
      <c r="V219">
        <v>0</v>
      </c>
      <c r="W219" t="s">
        <v>70</v>
      </c>
      <c r="X219">
        <v>0</v>
      </c>
      <c r="Y219">
        <v>0</v>
      </c>
      <c r="Z219">
        <v>965</v>
      </c>
      <c r="AA219" t="s">
        <v>57</v>
      </c>
      <c r="AB219">
        <v>0</v>
      </c>
      <c r="AC219">
        <v>0</v>
      </c>
      <c r="AD219">
        <v>0</v>
      </c>
      <c r="AE219">
        <v>0</v>
      </c>
      <c r="AF219" t="s">
        <v>67</v>
      </c>
      <c r="AG219">
        <v>0</v>
      </c>
      <c r="AH219">
        <v>0</v>
      </c>
      <c r="AI219">
        <v>0</v>
      </c>
      <c r="AJ219">
        <v>0</v>
      </c>
      <c r="AK219" t="s">
        <v>60</v>
      </c>
      <c r="AL219">
        <v>0</v>
      </c>
      <c r="AM219">
        <v>0</v>
      </c>
      <c r="AN219">
        <v>0</v>
      </c>
      <c r="AO219">
        <v>0</v>
      </c>
      <c r="AP219" t="b">
        <v>0</v>
      </c>
      <c r="AQ219" t="s">
        <v>58</v>
      </c>
      <c r="AR219" t="s">
        <v>58</v>
      </c>
      <c r="AS219" t="s">
        <v>71</v>
      </c>
      <c r="AT219">
        <v>14</v>
      </c>
      <c r="AU219">
        <v>9</v>
      </c>
      <c r="AV219">
        <v>8</v>
      </c>
      <c r="AW219">
        <v>11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s">
        <v>61</v>
      </c>
      <c r="BF219" t="s">
        <v>57</v>
      </c>
      <c r="BG219" t="s">
        <v>55</v>
      </c>
      <c r="BH219" t="s">
        <v>58</v>
      </c>
      <c r="BI219" t="s">
        <v>58</v>
      </c>
    </row>
    <row r="220" spans="1:61" x14ac:dyDescent="0.25">
      <c r="A220" t="str" cm="1">
        <f t="array" ref="A220">_xlfn.IFS(AS220="RegularSeason",C220,AS220&lt;&gt;"RegularSeason",R220)</f>
        <v>00101101010010100000000000000000</v>
      </c>
      <c r="B220" t="str" cm="1">
        <f t="array" ref="B220">_xlfn.IFS(AS220="RegularSeason",D220,AS220&lt;&gt;"RegularSeason",K220)</f>
        <v>00101101010010100000000000000111</v>
      </c>
      <c r="C220" t="str">
        <f t="shared" si="9"/>
        <v>00101101010010100000000000000000</v>
      </c>
      <c r="D220" t="str">
        <f t="shared" si="10"/>
        <v>00101101010010100000000000000111</v>
      </c>
      <c r="E220" t="str" cm="1">
        <f t="array" ref="E220">_xlfn.XLOOKUP(_xlfn.XLOOKUP(G220,New!A:A,New!M:M,NONE),TeamIdentity!A:A,TeamIdentity!C:C,NONE)</f>
        <v>00000000</v>
      </c>
      <c r="F220" t="str" cm="1">
        <f t="array" ref="F220">_xlfn.XLOOKUP(_xlfn.XLOOKUP(G220,New!A:A,New!F:F,NONE),TeamIdentity!A:A,TeamIdentity!C:C,NONE)</f>
        <v>00000111</v>
      </c>
      <c r="G220" t="str">
        <f t="shared" si="11"/>
        <v>9-6</v>
      </c>
      <c r="H220" t="s">
        <v>54</v>
      </c>
      <c r="I220" t="s">
        <v>54</v>
      </c>
      <c r="J220" t="s">
        <v>54</v>
      </c>
      <c r="K220" t="s">
        <v>517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530</v>
      </c>
      <c r="S220">
        <v>-1</v>
      </c>
      <c r="T220">
        <v>0</v>
      </c>
      <c r="U220">
        <v>-1</v>
      </c>
      <c r="V220">
        <v>0</v>
      </c>
      <c r="W220" t="s">
        <v>70</v>
      </c>
      <c r="X220">
        <v>0</v>
      </c>
      <c r="Y220">
        <v>0</v>
      </c>
      <c r="Z220">
        <v>780</v>
      </c>
      <c r="AA220" t="s">
        <v>57</v>
      </c>
      <c r="AB220">
        <v>0</v>
      </c>
      <c r="AC220">
        <v>0</v>
      </c>
      <c r="AD220">
        <v>0</v>
      </c>
      <c r="AE220">
        <v>0</v>
      </c>
      <c r="AF220" t="s">
        <v>67</v>
      </c>
      <c r="AG220">
        <v>0</v>
      </c>
      <c r="AH220">
        <v>0</v>
      </c>
      <c r="AI220">
        <v>0</v>
      </c>
      <c r="AJ220">
        <v>0</v>
      </c>
      <c r="AK220" t="s">
        <v>60</v>
      </c>
      <c r="AL220">
        <v>0</v>
      </c>
      <c r="AM220">
        <v>0</v>
      </c>
      <c r="AN220">
        <v>0</v>
      </c>
      <c r="AO220">
        <v>0</v>
      </c>
      <c r="AP220" t="b">
        <v>0</v>
      </c>
      <c r="AQ220" t="s">
        <v>58</v>
      </c>
      <c r="AR220" t="s">
        <v>58</v>
      </c>
      <c r="AS220" t="s">
        <v>71</v>
      </c>
      <c r="AT220">
        <v>14</v>
      </c>
      <c r="AU220">
        <v>9</v>
      </c>
      <c r="AV220">
        <v>6</v>
      </c>
      <c r="AW220">
        <v>11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s">
        <v>61</v>
      </c>
      <c r="BF220" t="s">
        <v>57</v>
      </c>
      <c r="BG220" t="s">
        <v>55</v>
      </c>
      <c r="BH220" t="s">
        <v>58</v>
      </c>
      <c r="BI220" t="s">
        <v>58</v>
      </c>
    </row>
    <row r="221" spans="1:61" x14ac:dyDescent="0.25">
      <c r="A221" t="str" cm="1">
        <f t="array" ref="A221">_xlfn.IFS(AS221="RegularSeason",C221,AS221&lt;&gt;"RegularSeason",R221)</f>
        <v>00101101010010100000000000010110</v>
      </c>
      <c r="B221" t="str" cm="1">
        <f t="array" ref="B221">_xlfn.IFS(AS221="RegularSeason",D221,AS221&lt;&gt;"RegularSeason",K221)</f>
        <v>00101101010010100000000000100011</v>
      </c>
      <c r="C221" t="str">
        <f t="shared" si="9"/>
        <v>00101101010010100000000000010110</v>
      </c>
      <c r="D221" t="str">
        <f t="shared" si="10"/>
        <v>00101101010010100000000000100011</v>
      </c>
      <c r="E221" t="str" cm="1">
        <f t="array" ref="E221">_xlfn.XLOOKUP(_xlfn.XLOOKUP(G221,New!A:A,New!M:M,NONE),TeamIdentity!A:A,TeamIdentity!C:C,NONE)</f>
        <v>00010110</v>
      </c>
      <c r="F221" t="str" cm="1">
        <f t="array" ref="F221">_xlfn.XLOOKUP(_xlfn.XLOOKUP(G221,New!A:A,New!F:F,NONE),TeamIdentity!A:A,TeamIdentity!C:C,NONE)</f>
        <v>00100011</v>
      </c>
      <c r="G221" t="str">
        <f t="shared" si="11"/>
        <v>11-7</v>
      </c>
      <c r="H221" t="s">
        <v>54</v>
      </c>
      <c r="I221" t="s">
        <v>54</v>
      </c>
      <c r="J221" t="s">
        <v>54</v>
      </c>
      <c r="K221" t="s">
        <v>512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524</v>
      </c>
      <c r="S221">
        <v>-1</v>
      </c>
      <c r="T221">
        <v>0</v>
      </c>
      <c r="U221">
        <v>-1</v>
      </c>
      <c r="V221">
        <v>0</v>
      </c>
      <c r="W221" t="s">
        <v>70</v>
      </c>
      <c r="X221">
        <v>0</v>
      </c>
      <c r="Y221">
        <v>0</v>
      </c>
      <c r="Z221">
        <v>965</v>
      </c>
      <c r="AA221" t="s">
        <v>57</v>
      </c>
      <c r="AB221">
        <v>0</v>
      </c>
      <c r="AC221">
        <v>0</v>
      </c>
      <c r="AD221">
        <v>0</v>
      </c>
      <c r="AE221">
        <v>0</v>
      </c>
      <c r="AF221" t="s">
        <v>67</v>
      </c>
      <c r="AG221">
        <v>0</v>
      </c>
      <c r="AH221">
        <v>0</v>
      </c>
      <c r="AI221">
        <v>0</v>
      </c>
      <c r="AJ221">
        <v>0</v>
      </c>
      <c r="AK221" t="s">
        <v>60</v>
      </c>
      <c r="AL221">
        <v>0</v>
      </c>
      <c r="AM221">
        <v>0</v>
      </c>
      <c r="AN221">
        <v>0</v>
      </c>
      <c r="AO221">
        <v>0</v>
      </c>
      <c r="AP221" t="b">
        <v>0</v>
      </c>
      <c r="AQ221" t="s">
        <v>58</v>
      </c>
      <c r="AR221" t="s">
        <v>58</v>
      </c>
      <c r="AS221" t="s">
        <v>71</v>
      </c>
      <c r="AT221">
        <v>14</v>
      </c>
      <c r="AU221">
        <v>11</v>
      </c>
      <c r="AV221">
        <v>7</v>
      </c>
      <c r="AW221">
        <v>11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s">
        <v>61</v>
      </c>
      <c r="BF221" t="s">
        <v>57</v>
      </c>
      <c r="BG221" t="s">
        <v>55</v>
      </c>
      <c r="BH221" t="s">
        <v>58</v>
      </c>
      <c r="BI221" t="s">
        <v>58</v>
      </c>
    </row>
    <row r="222" spans="1:61" x14ac:dyDescent="0.25">
      <c r="A222" t="str" cm="1">
        <f t="array" ref="A222">_xlfn.IFS(AS222="RegularSeason",C222,AS222&lt;&gt;"RegularSeason",R222)</f>
        <v>00101101010010100000000000000011</v>
      </c>
      <c r="B222" t="str" cm="1">
        <f t="array" ref="B222">_xlfn.IFS(AS222="RegularSeason",D222,AS222&lt;&gt;"RegularSeason",K222)</f>
        <v>00101101010010100000000000001101</v>
      </c>
      <c r="C222" t="str">
        <f t="shared" si="9"/>
        <v>00101101010010100000000000000011</v>
      </c>
      <c r="D222" t="str">
        <f t="shared" si="10"/>
        <v>00101101010010100000000000001101</v>
      </c>
      <c r="E222" t="str" cm="1">
        <f t="array" ref="E222">_xlfn.XLOOKUP(_xlfn.XLOOKUP(G222,New!A:A,New!M:M,NONE),TeamIdentity!A:A,TeamIdentity!C:C,NONE)</f>
        <v>00000011</v>
      </c>
      <c r="F222" t="str" cm="1">
        <f t="array" ref="F222">_xlfn.XLOOKUP(_xlfn.XLOOKUP(G222,New!A:A,New!F:F,NONE),TeamIdentity!A:A,TeamIdentity!C:C,NONE)</f>
        <v>00001101</v>
      </c>
      <c r="G222" t="str">
        <f t="shared" si="11"/>
        <v>10-5</v>
      </c>
      <c r="H222" t="s">
        <v>54</v>
      </c>
      <c r="I222" t="s">
        <v>54</v>
      </c>
      <c r="J222" t="s">
        <v>54</v>
      </c>
      <c r="K222" t="s">
        <v>542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520</v>
      </c>
      <c r="S222">
        <v>-1</v>
      </c>
      <c r="T222">
        <v>0</v>
      </c>
      <c r="U222">
        <v>-1</v>
      </c>
      <c r="V222">
        <v>0</v>
      </c>
      <c r="W222" t="s">
        <v>70</v>
      </c>
      <c r="X222">
        <v>0</v>
      </c>
      <c r="Y222">
        <v>0</v>
      </c>
      <c r="Z222">
        <v>780</v>
      </c>
      <c r="AA222" t="s">
        <v>57</v>
      </c>
      <c r="AB222">
        <v>0</v>
      </c>
      <c r="AC222">
        <v>0</v>
      </c>
      <c r="AD222">
        <v>0</v>
      </c>
      <c r="AE222">
        <v>0</v>
      </c>
      <c r="AF222" t="s">
        <v>67</v>
      </c>
      <c r="AG222">
        <v>0</v>
      </c>
      <c r="AH222">
        <v>0</v>
      </c>
      <c r="AI222">
        <v>0</v>
      </c>
      <c r="AJ222">
        <v>0</v>
      </c>
      <c r="AK222" t="s">
        <v>60</v>
      </c>
      <c r="AL222">
        <v>0</v>
      </c>
      <c r="AM222">
        <v>0</v>
      </c>
      <c r="AN222">
        <v>0</v>
      </c>
      <c r="AO222">
        <v>0</v>
      </c>
      <c r="AP222" t="b">
        <v>0</v>
      </c>
      <c r="AQ222" t="s">
        <v>58</v>
      </c>
      <c r="AR222" t="s">
        <v>58</v>
      </c>
      <c r="AS222" t="s">
        <v>71</v>
      </c>
      <c r="AT222">
        <v>14</v>
      </c>
      <c r="AU222">
        <v>10</v>
      </c>
      <c r="AV222">
        <v>5</v>
      </c>
      <c r="AW222">
        <v>11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s">
        <v>61</v>
      </c>
      <c r="BF222" t="s">
        <v>57</v>
      </c>
      <c r="BG222" t="s">
        <v>55</v>
      </c>
      <c r="BH222" t="s">
        <v>58</v>
      </c>
      <c r="BI222" t="s">
        <v>58</v>
      </c>
    </row>
    <row r="223" spans="1:61" x14ac:dyDescent="0.25">
      <c r="A223" t="str" cm="1">
        <f t="array" ref="A223">_xlfn.IFS(AS223="RegularSeason",C223,AS223&lt;&gt;"RegularSeason",R223)</f>
        <v>00101101010010100000000000001011</v>
      </c>
      <c r="B223" t="str" cm="1">
        <f t="array" ref="B223">_xlfn.IFS(AS223="RegularSeason",D223,AS223&lt;&gt;"RegularSeason",K223)</f>
        <v>00101101010010100000000000000001</v>
      </c>
      <c r="C223" t="str">
        <f t="shared" si="9"/>
        <v>00101101010010100000000000001011</v>
      </c>
      <c r="D223" t="str">
        <f t="shared" si="10"/>
        <v>00101101010010100000000000000001</v>
      </c>
      <c r="E223" t="str" cm="1">
        <f t="array" ref="E223">_xlfn.XLOOKUP(_xlfn.XLOOKUP(G223,New!A:A,New!M:M,NONE),TeamIdentity!A:A,TeamIdentity!C:C,NONE)</f>
        <v>00001011</v>
      </c>
      <c r="F223" t="str" cm="1">
        <f t="array" ref="F223">_xlfn.XLOOKUP(_xlfn.XLOOKUP(G223,New!A:A,New!F:F,NONE),TeamIdentity!A:A,TeamIdentity!C:C,NONE)</f>
        <v>00000001</v>
      </c>
      <c r="G223" t="str">
        <f t="shared" si="11"/>
        <v>10-6</v>
      </c>
      <c r="H223" t="s">
        <v>54</v>
      </c>
      <c r="I223" t="s">
        <v>54</v>
      </c>
      <c r="J223" t="s">
        <v>54</v>
      </c>
      <c r="K223" t="s">
        <v>534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537</v>
      </c>
      <c r="S223">
        <v>-1</v>
      </c>
      <c r="T223">
        <v>0</v>
      </c>
      <c r="U223">
        <v>-1</v>
      </c>
      <c r="V223">
        <v>0</v>
      </c>
      <c r="W223" t="s">
        <v>70</v>
      </c>
      <c r="X223">
        <v>0</v>
      </c>
      <c r="Y223">
        <v>0</v>
      </c>
      <c r="Z223">
        <v>780</v>
      </c>
      <c r="AA223" t="s">
        <v>57</v>
      </c>
      <c r="AB223">
        <v>0</v>
      </c>
      <c r="AC223">
        <v>0</v>
      </c>
      <c r="AD223">
        <v>0</v>
      </c>
      <c r="AE223">
        <v>0</v>
      </c>
      <c r="AF223" t="s">
        <v>67</v>
      </c>
      <c r="AG223">
        <v>0</v>
      </c>
      <c r="AH223">
        <v>0</v>
      </c>
      <c r="AI223">
        <v>0</v>
      </c>
      <c r="AJ223">
        <v>0</v>
      </c>
      <c r="AK223" t="s">
        <v>60</v>
      </c>
      <c r="AL223">
        <v>0</v>
      </c>
      <c r="AM223">
        <v>0</v>
      </c>
      <c r="AN223">
        <v>0</v>
      </c>
      <c r="AO223">
        <v>0</v>
      </c>
      <c r="AP223" t="b">
        <v>0</v>
      </c>
      <c r="AQ223" t="s">
        <v>58</v>
      </c>
      <c r="AR223" t="s">
        <v>58</v>
      </c>
      <c r="AS223" t="s">
        <v>71</v>
      </c>
      <c r="AT223">
        <v>14</v>
      </c>
      <c r="AU223">
        <v>10</v>
      </c>
      <c r="AV223">
        <v>6</v>
      </c>
      <c r="AW223">
        <v>11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s">
        <v>61</v>
      </c>
      <c r="BF223" t="s">
        <v>57</v>
      </c>
      <c r="BG223" t="s">
        <v>55</v>
      </c>
      <c r="BH223" t="s">
        <v>58</v>
      </c>
      <c r="BI223" t="s">
        <v>58</v>
      </c>
    </row>
    <row r="224" spans="1:61" x14ac:dyDescent="0.25">
      <c r="A224" t="str" cm="1">
        <f t="array" ref="A224">_xlfn.IFS(AS224="RegularSeason",C224,AS224&lt;&gt;"RegularSeason",R224)</f>
        <v>00101101010010100000000000010111</v>
      </c>
      <c r="B224" t="str" cm="1">
        <f t="array" ref="B224">_xlfn.IFS(AS224="RegularSeason",D224,AS224&lt;&gt;"RegularSeason",K224)</f>
        <v>00101101010010100000000000001011</v>
      </c>
      <c r="C224" t="str">
        <f t="shared" si="9"/>
        <v>00101101010010100000000000010111</v>
      </c>
      <c r="D224" t="str">
        <f t="shared" si="10"/>
        <v>00101101010010100000000000001011</v>
      </c>
      <c r="E224" t="str" cm="1">
        <f t="array" ref="E224">_xlfn.XLOOKUP(_xlfn.XLOOKUP(G224,New!A:A,New!M:M,NONE),TeamIdentity!A:A,TeamIdentity!C:C,NONE)</f>
        <v>00010111</v>
      </c>
      <c r="F224" t="str" cm="1">
        <f t="array" ref="F224">_xlfn.XLOOKUP(_xlfn.XLOOKUP(G224,New!A:A,New!F:F,NONE),TeamIdentity!A:A,TeamIdentity!C:C,NONE)</f>
        <v>00001011</v>
      </c>
      <c r="G224" t="str">
        <f t="shared" si="11"/>
        <v>11-13</v>
      </c>
      <c r="H224" t="s">
        <v>54</v>
      </c>
      <c r="I224" t="s">
        <v>54</v>
      </c>
      <c r="J224" t="s">
        <v>54</v>
      </c>
      <c r="K224" t="s">
        <v>519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541</v>
      </c>
      <c r="S224">
        <v>-1</v>
      </c>
      <c r="T224">
        <v>0</v>
      </c>
      <c r="U224">
        <v>-1</v>
      </c>
      <c r="V224">
        <v>0</v>
      </c>
      <c r="W224" t="s">
        <v>70</v>
      </c>
      <c r="X224">
        <v>0</v>
      </c>
      <c r="Y224">
        <v>0</v>
      </c>
      <c r="Z224">
        <v>975</v>
      </c>
      <c r="AA224" t="s">
        <v>57</v>
      </c>
      <c r="AB224">
        <v>0</v>
      </c>
      <c r="AC224">
        <v>0</v>
      </c>
      <c r="AD224">
        <v>0</v>
      </c>
      <c r="AE224">
        <v>0</v>
      </c>
      <c r="AF224" t="s">
        <v>67</v>
      </c>
      <c r="AG224">
        <v>0</v>
      </c>
      <c r="AH224">
        <v>0</v>
      </c>
      <c r="AI224">
        <v>0</v>
      </c>
      <c r="AJ224">
        <v>0</v>
      </c>
      <c r="AK224" t="s">
        <v>68</v>
      </c>
      <c r="AL224">
        <v>0</v>
      </c>
      <c r="AM224">
        <v>0</v>
      </c>
      <c r="AN224">
        <v>0</v>
      </c>
      <c r="AO224">
        <v>0</v>
      </c>
      <c r="AP224" t="b">
        <v>0</v>
      </c>
      <c r="AQ224" t="s">
        <v>58</v>
      </c>
      <c r="AR224" t="s">
        <v>58</v>
      </c>
      <c r="AS224" t="s">
        <v>71</v>
      </c>
      <c r="AT224">
        <v>14</v>
      </c>
      <c r="AU224">
        <v>11</v>
      </c>
      <c r="AV224">
        <v>13</v>
      </c>
      <c r="AW224">
        <v>11</v>
      </c>
      <c r="AX224" t="b">
        <v>1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s">
        <v>61</v>
      </c>
      <c r="BF224" t="s">
        <v>57</v>
      </c>
      <c r="BG224" t="s">
        <v>55</v>
      </c>
      <c r="BH224" t="s">
        <v>58</v>
      </c>
      <c r="BI224" t="s">
        <v>58</v>
      </c>
    </row>
    <row r="225" spans="1:61" x14ac:dyDescent="0.25">
      <c r="A225" t="str" cm="1">
        <f t="array" ref="A225">_xlfn.IFS(AS225="RegularSeason",C225,AS225&lt;&gt;"RegularSeason",R225)</f>
        <v>00101101010010100000000000100100</v>
      </c>
      <c r="B225" t="str" cm="1">
        <f t="array" ref="B225">_xlfn.IFS(AS225="RegularSeason",D225,AS225&lt;&gt;"RegularSeason",K225)</f>
        <v>00101101010010100000000000000001</v>
      </c>
      <c r="C225" t="str">
        <f t="shared" si="9"/>
        <v>00101101010010100000000000100100</v>
      </c>
      <c r="D225" t="str">
        <f t="shared" si="10"/>
        <v>00101101010010100000000000000001</v>
      </c>
      <c r="E225" t="str" cm="1">
        <f t="array" ref="E225">_xlfn.XLOOKUP(_xlfn.XLOOKUP(G225,New!A:A,New!M:M,NONE),TeamIdentity!A:A,TeamIdentity!C:C,NONE)</f>
        <v>00100100</v>
      </c>
      <c r="F225" t="str" cm="1">
        <f t="array" ref="F225">_xlfn.XLOOKUP(_xlfn.XLOOKUP(G225,New!A:A,New!F:F,NONE),TeamIdentity!A:A,TeamIdentity!C:C,NONE)</f>
        <v>00000001</v>
      </c>
      <c r="G225" t="str">
        <f t="shared" si="11"/>
        <v>13-0</v>
      </c>
      <c r="H225" t="s">
        <v>54</v>
      </c>
      <c r="I225" t="s">
        <v>54</v>
      </c>
      <c r="J225" t="s">
        <v>54</v>
      </c>
      <c r="K225" t="s">
        <v>540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536</v>
      </c>
      <c r="S225">
        <v>-1</v>
      </c>
      <c r="T225">
        <v>0</v>
      </c>
      <c r="U225">
        <v>-1</v>
      </c>
      <c r="V225">
        <v>0</v>
      </c>
      <c r="W225" t="s">
        <v>70</v>
      </c>
      <c r="X225">
        <v>0</v>
      </c>
      <c r="Y225">
        <v>0</v>
      </c>
      <c r="Z225">
        <v>780</v>
      </c>
      <c r="AA225" t="s">
        <v>57</v>
      </c>
      <c r="AB225">
        <v>0</v>
      </c>
      <c r="AC225">
        <v>0</v>
      </c>
      <c r="AD225">
        <v>0</v>
      </c>
      <c r="AE225">
        <v>0</v>
      </c>
      <c r="AF225" t="s">
        <v>67</v>
      </c>
      <c r="AG225">
        <v>0</v>
      </c>
      <c r="AH225">
        <v>0</v>
      </c>
      <c r="AI225">
        <v>0</v>
      </c>
      <c r="AJ225">
        <v>0</v>
      </c>
      <c r="AK225" t="s">
        <v>60</v>
      </c>
      <c r="AL225">
        <v>0</v>
      </c>
      <c r="AM225">
        <v>0</v>
      </c>
      <c r="AN225">
        <v>0</v>
      </c>
      <c r="AO225">
        <v>0</v>
      </c>
      <c r="AP225" t="b">
        <v>0</v>
      </c>
      <c r="AQ225" t="s">
        <v>58</v>
      </c>
      <c r="AR225" t="s">
        <v>58</v>
      </c>
      <c r="AS225" t="s">
        <v>71</v>
      </c>
      <c r="AT225">
        <v>14</v>
      </c>
      <c r="AU225">
        <v>13</v>
      </c>
      <c r="AV225">
        <v>0</v>
      </c>
      <c r="AW225">
        <v>11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s">
        <v>61</v>
      </c>
      <c r="BF225" t="s">
        <v>57</v>
      </c>
      <c r="BG225" t="s">
        <v>55</v>
      </c>
      <c r="BH225" t="s">
        <v>58</v>
      </c>
      <c r="BI225" t="s">
        <v>58</v>
      </c>
    </row>
    <row r="226" spans="1:61" x14ac:dyDescent="0.25">
      <c r="A226" t="str" cm="1">
        <f t="array" ref="A226">_xlfn.IFS(AS226="RegularSeason",C226,AS226&lt;&gt;"RegularSeason",R226)</f>
        <v>00101101010010100000000000011111</v>
      </c>
      <c r="B226" t="str" cm="1">
        <f t="array" ref="B226">_xlfn.IFS(AS226="RegularSeason",D226,AS226&lt;&gt;"RegularSeason",K226)</f>
        <v>00101101010010100000000000100010</v>
      </c>
      <c r="C226" t="str">
        <f t="shared" si="9"/>
        <v>00101101010010100000000000011111</v>
      </c>
      <c r="D226" t="str">
        <f t="shared" si="10"/>
        <v>00101101010010100000000000100010</v>
      </c>
      <c r="E226" t="str" cm="1">
        <f t="array" ref="E226">_xlfn.XLOOKUP(_xlfn.XLOOKUP(G226,New!A:A,New!M:M,NONE),TeamIdentity!A:A,TeamIdentity!C:C,NONE)</f>
        <v>00011111</v>
      </c>
      <c r="F226" t="str" cm="1">
        <f t="array" ref="F226">_xlfn.XLOOKUP(_xlfn.XLOOKUP(G226,New!A:A,New!F:F,NONE),TeamIdentity!A:A,TeamIdentity!C:C,NONE)</f>
        <v>00100010</v>
      </c>
      <c r="G226" t="str">
        <f t="shared" si="11"/>
        <v>11-2</v>
      </c>
      <c r="H226" t="s">
        <v>54</v>
      </c>
      <c r="I226" t="s">
        <v>54</v>
      </c>
      <c r="J226" t="s">
        <v>54</v>
      </c>
      <c r="K226" t="s">
        <v>537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526</v>
      </c>
      <c r="S226">
        <v>-1</v>
      </c>
      <c r="T226">
        <v>0</v>
      </c>
      <c r="U226">
        <v>-1</v>
      </c>
      <c r="V226">
        <v>0</v>
      </c>
      <c r="W226" t="s">
        <v>70</v>
      </c>
      <c r="X226">
        <v>0</v>
      </c>
      <c r="Y226">
        <v>0</v>
      </c>
      <c r="Z226">
        <v>780</v>
      </c>
      <c r="AA226" t="s">
        <v>57</v>
      </c>
      <c r="AB226">
        <v>0</v>
      </c>
      <c r="AC226">
        <v>0</v>
      </c>
      <c r="AD226">
        <v>0</v>
      </c>
      <c r="AE226">
        <v>0</v>
      </c>
      <c r="AF226" t="s">
        <v>67</v>
      </c>
      <c r="AG226">
        <v>0</v>
      </c>
      <c r="AH226">
        <v>0</v>
      </c>
      <c r="AI226">
        <v>0</v>
      </c>
      <c r="AJ226">
        <v>0</v>
      </c>
      <c r="AK226" t="s">
        <v>60</v>
      </c>
      <c r="AL226">
        <v>0</v>
      </c>
      <c r="AM226">
        <v>0</v>
      </c>
      <c r="AN226">
        <v>0</v>
      </c>
      <c r="AO226">
        <v>0</v>
      </c>
      <c r="AP226" t="b">
        <v>0</v>
      </c>
      <c r="AQ226" t="s">
        <v>58</v>
      </c>
      <c r="AR226" t="s">
        <v>58</v>
      </c>
      <c r="AS226" t="s">
        <v>71</v>
      </c>
      <c r="AT226">
        <v>14</v>
      </c>
      <c r="AU226">
        <v>11</v>
      </c>
      <c r="AV226">
        <v>2</v>
      </c>
      <c r="AW226">
        <v>11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s">
        <v>61</v>
      </c>
      <c r="BF226" t="s">
        <v>57</v>
      </c>
      <c r="BG226" t="s">
        <v>55</v>
      </c>
      <c r="BH226" t="s">
        <v>58</v>
      </c>
      <c r="BI226" t="s">
        <v>58</v>
      </c>
    </row>
    <row r="227" spans="1:61" x14ac:dyDescent="0.25">
      <c r="A227" t="str" cm="1">
        <f t="array" ref="A227">_xlfn.IFS(AS227="RegularSeason",C227,AS227&lt;&gt;"RegularSeason",R227)</f>
        <v>00101101010010100000000000010111</v>
      </c>
      <c r="B227" t="str" cm="1">
        <f t="array" ref="B227">_xlfn.IFS(AS227="RegularSeason",D227,AS227&lt;&gt;"RegularSeason",K227)</f>
        <v>00101101010010100000000000000110</v>
      </c>
      <c r="C227" t="str">
        <f t="shared" si="9"/>
        <v>00101101010010100000000000010111</v>
      </c>
      <c r="D227" t="str">
        <f t="shared" si="10"/>
        <v>00101101010010100000000000000110</v>
      </c>
      <c r="E227" t="str" cm="1">
        <f t="array" ref="E227">_xlfn.XLOOKUP(_xlfn.XLOOKUP(G227,New!A:A,New!M:M,NONE),TeamIdentity!A:A,TeamIdentity!C:C,NONE)</f>
        <v>00010111</v>
      </c>
      <c r="F227" t="str" cm="1">
        <f t="array" ref="F227">_xlfn.XLOOKUP(_xlfn.XLOOKUP(G227,New!A:A,New!F:F,NONE),TeamIdentity!A:A,TeamIdentity!C:C,NONE)</f>
        <v>00000110</v>
      </c>
      <c r="G227" t="str">
        <f t="shared" si="11"/>
        <v>12-9</v>
      </c>
      <c r="H227" t="s">
        <v>54</v>
      </c>
      <c r="I227" t="s">
        <v>54</v>
      </c>
      <c r="J227" t="s">
        <v>54</v>
      </c>
      <c r="K227" t="s">
        <v>535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521</v>
      </c>
      <c r="S227">
        <v>-1</v>
      </c>
      <c r="T227">
        <v>0</v>
      </c>
      <c r="U227">
        <v>-1</v>
      </c>
      <c r="V227">
        <v>0</v>
      </c>
      <c r="W227" t="s">
        <v>70</v>
      </c>
      <c r="X227">
        <v>0</v>
      </c>
      <c r="Y227">
        <v>0</v>
      </c>
      <c r="Z227">
        <v>975</v>
      </c>
      <c r="AA227" t="s">
        <v>57</v>
      </c>
      <c r="AB227">
        <v>0</v>
      </c>
      <c r="AC227">
        <v>0</v>
      </c>
      <c r="AD227">
        <v>0</v>
      </c>
      <c r="AE227">
        <v>0</v>
      </c>
      <c r="AF227" t="s">
        <v>67</v>
      </c>
      <c r="AG227">
        <v>0</v>
      </c>
      <c r="AH227">
        <v>0</v>
      </c>
      <c r="AI227">
        <v>0</v>
      </c>
      <c r="AJ227">
        <v>0</v>
      </c>
      <c r="AK227" t="s">
        <v>60</v>
      </c>
      <c r="AL227">
        <v>0</v>
      </c>
      <c r="AM227">
        <v>0</v>
      </c>
      <c r="AN227">
        <v>0</v>
      </c>
      <c r="AO227">
        <v>0</v>
      </c>
      <c r="AP227" t="b">
        <v>0</v>
      </c>
      <c r="AQ227" t="s">
        <v>58</v>
      </c>
      <c r="AR227" t="s">
        <v>58</v>
      </c>
      <c r="AS227" t="s">
        <v>71</v>
      </c>
      <c r="AT227">
        <v>14</v>
      </c>
      <c r="AU227">
        <v>12</v>
      </c>
      <c r="AV227">
        <v>9</v>
      </c>
      <c r="AW227">
        <v>11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s">
        <v>61</v>
      </c>
      <c r="BF227" t="s">
        <v>57</v>
      </c>
      <c r="BG227" t="s">
        <v>55</v>
      </c>
      <c r="BH227" t="s">
        <v>58</v>
      </c>
      <c r="BI227" t="s">
        <v>58</v>
      </c>
    </row>
    <row r="228" spans="1:61" x14ac:dyDescent="0.25">
      <c r="A228" t="str" cm="1">
        <f t="array" ref="A228">_xlfn.IFS(AS228="RegularSeason",C228,AS228&lt;&gt;"RegularSeason",R228)</f>
        <v>00101101010010100000000000011111</v>
      </c>
      <c r="B228" t="str" cm="1">
        <f t="array" ref="B228">_xlfn.IFS(AS228="RegularSeason",D228,AS228&lt;&gt;"RegularSeason",K228)</f>
        <v>00101101010010100000000000011010</v>
      </c>
      <c r="C228" t="str">
        <f t="shared" si="9"/>
        <v>00101101010010100000000000011111</v>
      </c>
      <c r="D228" t="str">
        <f t="shared" si="10"/>
        <v>00101101010010100000000000011010</v>
      </c>
      <c r="E228" t="str" cm="1">
        <f t="array" ref="E228">_xlfn.XLOOKUP(_xlfn.XLOOKUP(G228,New!A:A,New!M:M,NONE),TeamIdentity!A:A,TeamIdentity!C:C,NONE)</f>
        <v>00011111</v>
      </c>
      <c r="F228" t="str" cm="1">
        <f t="array" ref="F228">_xlfn.XLOOKUP(_xlfn.XLOOKUP(G228,New!A:A,New!F:F,NONE),TeamIdentity!A:A,TeamIdentity!C:C,NONE)</f>
        <v>00011010</v>
      </c>
      <c r="G228" t="str">
        <f t="shared" si="11"/>
        <v>13-13</v>
      </c>
      <c r="H228" t="s">
        <v>54</v>
      </c>
      <c r="I228" t="s">
        <v>54</v>
      </c>
      <c r="J228" t="s">
        <v>54</v>
      </c>
      <c r="K228" t="s">
        <v>537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515</v>
      </c>
      <c r="S228">
        <v>-1</v>
      </c>
      <c r="T228">
        <v>0</v>
      </c>
      <c r="U228">
        <v>-1</v>
      </c>
      <c r="V228">
        <v>0</v>
      </c>
      <c r="W228" t="s">
        <v>70</v>
      </c>
      <c r="X228">
        <v>0</v>
      </c>
      <c r="Y228">
        <v>0</v>
      </c>
      <c r="Z228">
        <v>1220</v>
      </c>
      <c r="AA228" t="s">
        <v>57</v>
      </c>
      <c r="AB228">
        <v>0</v>
      </c>
      <c r="AC228">
        <v>0</v>
      </c>
      <c r="AD228">
        <v>0</v>
      </c>
      <c r="AE228">
        <v>0</v>
      </c>
      <c r="AF228" t="s">
        <v>68</v>
      </c>
      <c r="AG228">
        <v>0</v>
      </c>
      <c r="AH228">
        <v>0</v>
      </c>
      <c r="AI228">
        <v>0</v>
      </c>
      <c r="AJ228">
        <v>0</v>
      </c>
      <c r="AK228" t="s">
        <v>68</v>
      </c>
      <c r="AL228">
        <v>0</v>
      </c>
      <c r="AM228">
        <v>0</v>
      </c>
      <c r="AN228">
        <v>0</v>
      </c>
      <c r="AO228">
        <v>0</v>
      </c>
      <c r="AP228" t="b">
        <v>0</v>
      </c>
      <c r="AQ228" t="s">
        <v>58</v>
      </c>
      <c r="AR228" t="s">
        <v>58</v>
      </c>
      <c r="AS228" t="s">
        <v>71</v>
      </c>
      <c r="AT228">
        <v>14</v>
      </c>
      <c r="AU228">
        <v>13</v>
      </c>
      <c r="AV228">
        <v>13</v>
      </c>
      <c r="AW228">
        <v>11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s">
        <v>61</v>
      </c>
      <c r="BF228" t="s">
        <v>57</v>
      </c>
      <c r="BG228" t="s">
        <v>55</v>
      </c>
      <c r="BH228" t="s">
        <v>58</v>
      </c>
      <c r="BI228" t="s">
        <v>58</v>
      </c>
    </row>
    <row r="229" spans="1:61" x14ac:dyDescent="0.25">
      <c r="A229" t="str" cm="1">
        <f t="array" ref="A229">_xlfn.IFS(AS229="RegularSeason",C229,AS229&lt;&gt;"RegularSeason",R229)</f>
        <v>00101101010010100000000000000011</v>
      </c>
      <c r="B229" t="str" cm="1">
        <f t="array" ref="B229">_xlfn.IFS(AS229="RegularSeason",D229,AS229&lt;&gt;"RegularSeason",K229)</f>
        <v>00101101010010100000000000001100</v>
      </c>
      <c r="C229" t="str">
        <f t="shared" si="9"/>
        <v>00101101010010100000000000000011</v>
      </c>
      <c r="D229" t="str">
        <f t="shared" si="10"/>
        <v>00101101010010100000000000001100</v>
      </c>
      <c r="E229" t="str" cm="1">
        <f t="array" ref="E229">_xlfn.XLOOKUP(_xlfn.XLOOKUP(G229,New!A:A,New!M:M,NONE),TeamIdentity!A:A,TeamIdentity!C:C,NONE)</f>
        <v>00000011</v>
      </c>
      <c r="F229" t="str" cm="1">
        <f t="array" ref="F229">_xlfn.XLOOKUP(_xlfn.XLOOKUP(G229,New!A:A,New!F:F,NONE),TeamIdentity!A:A,TeamIdentity!C:C,NONE)</f>
        <v>00001100</v>
      </c>
      <c r="G229" t="str">
        <f t="shared" si="11"/>
        <v>12-0</v>
      </c>
      <c r="H229" t="s">
        <v>54</v>
      </c>
      <c r="I229" t="s">
        <v>54</v>
      </c>
      <c r="J229" t="s">
        <v>54</v>
      </c>
      <c r="K229" t="s">
        <v>518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530</v>
      </c>
      <c r="S229">
        <v>-1</v>
      </c>
      <c r="T229">
        <v>0</v>
      </c>
      <c r="U229">
        <v>-1</v>
      </c>
      <c r="V229">
        <v>0</v>
      </c>
      <c r="W229" t="s">
        <v>70</v>
      </c>
      <c r="X229">
        <v>0</v>
      </c>
      <c r="Y229">
        <v>0</v>
      </c>
      <c r="Z229">
        <v>780</v>
      </c>
      <c r="AA229" t="s">
        <v>57</v>
      </c>
      <c r="AB229">
        <v>0</v>
      </c>
      <c r="AC229">
        <v>0</v>
      </c>
      <c r="AD229">
        <v>0</v>
      </c>
      <c r="AE229">
        <v>0</v>
      </c>
      <c r="AF229" t="s">
        <v>67</v>
      </c>
      <c r="AG229">
        <v>0</v>
      </c>
      <c r="AH229">
        <v>0</v>
      </c>
      <c r="AI229">
        <v>0</v>
      </c>
      <c r="AJ229">
        <v>0</v>
      </c>
      <c r="AK229" t="s">
        <v>60</v>
      </c>
      <c r="AL229">
        <v>0</v>
      </c>
      <c r="AM229">
        <v>0</v>
      </c>
      <c r="AN229">
        <v>0</v>
      </c>
      <c r="AO229">
        <v>0</v>
      </c>
      <c r="AP229" t="b">
        <v>0</v>
      </c>
      <c r="AQ229" t="s">
        <v>58</v>
      </c>
      <c r="AR229" t="s">
        <v>58</v>
      </c>
      <c r="AS229" t="s">
        <v>71</v>
      </c>
      <c r="AT229">
        <v>14</v>
      </c>
      <c r="AU229">
        <v>12</v>
      </c>
      <c r="AV229">
        <v>0</v>
      </c>
      <c r="AW229">
        <v>11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s">
        <v>61</v>
      </c>
      <c r="BF229" t="s">
        <v>57</v>
      </c>
      <c r="BG229" t="s">
        <v>55</v>
      </c>
      <c r="BH229" t="s">
        <v>58</v>
      </c>
      <c r="BI229" t="s">
        <v>58</v>
      </c>
    </row>
    <row r="230" spans="1:61" x14ac:dyDescent="0.25">
      <c r="A230" t="str" cm="1">
        <f t="array" ref="A230">_xlfn.IFS(AS230="RegularSeason",C230,AS230&lt;&gt;"RegularSeason",R230)</f>
        <v>00101101010010100000000000001111</v>
      </c>
      <c r="B230" t="str" cm="1">
        <f t="array" ref="B230">_xlfn.IFS(AS230="RegularSeason",D230,AS230&lt;&gt;"RegularSeason",K230)</f>
        <v>00101101010010100000000000010101</v>
      </c>
      <c r="C230" t="str">
        <f t="shared" si="9"/>
        <v>00101101010010100000000000001111</v>
      </c>
      <c r="D230" t="str">
        <f t="shared" si="10"/>
        <v>00101101010010100000000000010101</v>
      </c>
      <c r="E230" t="str" cm="1">
        <f t="array" ref="E230">_xlfn.XLOOKUP(_xlfn.XLOOKUP(G230,New!A:A,New!M:M,NONE),TeamIdentity!A:A,TeamIdentity!C:C,NONE)</f>
        <v>00001111</v>
      </c>
      <c r="F230" t="str" cm="1">
        <f t="array" ref="F230">_xlfn.XLOOKUP(_xlfn.XLOOKUP(G230,New!A:A,New!F:F,NONE),TeamIdentity!A:A,TeamIdentity!C:C,NONE)</f>
        <v>00010101</v>
      </c>
      <c r="G230" t="str">
        <f t="shared" si="11"/>
        <v>12-1</v>
      </c>
      <c r="H230" t="s">
        <v>54</v>
      </c>
      <c r="I230" t="s">
        <v>54</v>
      </c>
      <c r="J230" t="s">
        <v>54</v>
      </c>
      <c r="K230" t="s">
        <v>540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531</v>
      </c>
      <c r="S230">
        <v>-1</v>
      </c>
      <c r="T230">
        <v>0</v>
      </c>
      <c r="U230">
        <v>-1</v>
      </c>
      <c r="V230">
        <v>0</v>
      </c>
      <c r="W230" t="s">
        <v>70</v>
      </c>
      <c r="X230">
        <v>0</v>
      </c>
      <c r="Y230">
        <v>0</v>
      </c>
      <c r="Z230">
        <v>780</v>
      </c>
      <c r="AA230" t="s">
        <v>57</v>
      </c>
      <c r="AB230">
        <v>0</v>
      </c>
      <c r="AC230">
        <v>0</v>
      </c>
      <c r="AD230">
        <v>0</v>
      </c>
      <c r="AE230">
        <v>0</v>
      </c>
      <c r="AF230" t="s">
        <v>67</v>
      </c>
      <c r="AG230">
        <v>0</v>
      </c>
      <c r="AH230">
        <v>0</v>
      </c>
      <c r="AI230">
        <v>0</v>
      </c>
      <c r="AJ230">
        <v>0</v>
      </c>
      <c r="AK230" t="s">
        <v>60</v>
      </c>
      <c r="AL230">
        <v>0</v>
      </c>
      <c r="AM230">
        <v>0</v>
      </c>
      <c r="AN230">
        <v>0</v>
      </c>
      <c r="AO230">
        <v>0</v>
      </c>
      <c r="AP230" t="b">
        <v>0</v>
      </c>
      <c r="AQ230" t="s">
        <v>58</v>
      </c>
      <c r="AR230" t="s">
        <v>58</v>
      </c>
      <c r="AS230" t="s">
        <v>71</v>
      </c>
      <c r="AT230">
        <v>14</v>
      </c>
      <c r="AU230">
        <v>12</v>
      </c>
      <c r="AV230">
        <v>1</v>
      </c>
      <c r="AW230">
        <v>11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s">
        <v>61</v>
      </c>
      <c r="BF230" t="s">
        <v>57</v>
      </c>
      <c r="BG230" t="s">
        <v>55</v>
      </c>
      <c r="BH230" t="s">
        <v>58</v>
      </c>
      <c r="BI230" t="s">
        <v>58</v>
      </c>
    </row>
    <row r="231" spans="1:61" x14ac:dyDescent="0.25">
      <c r="A231" t="str" cm="1">
        <f t="array" ref="A231">_xlfn.IFS(AS231="RegularSeason",C231,AS231&lt;&gt;"RegularSeason",R231)</f>
        <v>00101101010010100000000000011010</v>
      </c>
      <c r="B231" t="str" cm="1">
        <f t="array" ref="B231">_xlfn.IFS(AS231="RegularSeason",D231,AS231&lt;&gt;"RegularSeason",K231)</f>
        <v>00101101010010100000000000100011</v>
      </c>
      <c r="C231" t="str">
        <f t="shared" si="9"/>
        <v>00101101010010100000000000011010</v>
      </c>
      <c r="D231" t="str">
        <f t="shared" si="10"/>
        <v>00101101010010100000000000100011</v>
      </c>
      <c r="E231" t="str" cm="1">
        <f t="array" ref="E231">_xlfn.XLOOKUP(_xlfn.XLOOKUP(G231,New!A:A,New!M:M,NONE),TeamIdentity!A:A,TeamIdentity!C:C,NONE)</f>
        <v>00011010</v>
      </c>
      <c r="F231" t="str" cm="1">
        <f t="array" ref="F231">_xlfn.XLOOKUP(_xlfn.XLOOKUP(G231,New!A:A,New!F:F,NONE),TeamIdentity!A:A,TeamIdentity!C:C,NONE)</f>
        <v>00100011</v>
      </c>
      <c r="G231" t="str">
        <f t="shared" si="11"/>
        <v>12-2</v>
      </c>
      <c r="H231" t="s">
        <v>54</v>
      </c>
      <c r="I231" t="s">
        <v>54</v>
      </c>
      <c r="J231" t="s">
        <v>54</v>
      </c>
      <c r="K231" t="s">
        <v>529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513</v>
      </c>
      <c r="S231">
        <v>-1</v>
      </c>
      <c r="T231">
        <v>0</v>
      </c>
      <c r="U231">
        <v>-1</v>
      </c>
      <c r="V231">
        <v>0</v>
      </c>
      <c r="W231" t="s">
        <v>70</v>
      </c>
      <c r="X231">
        <v>0</v>
      </c>
      <c r="Y231">
        <v>0</v>
      </c>
      <c r="Z231">
        <v>780</v>
      </c>
      <c r="AA231" t="s">
        <v>57</v>
      </c>
      <c r="AB231">
        <v>0</v>
      </c>
      <c r="AC231">
        <v>0</v>
      </c>
      <c r="AD231">
        <v>0</v>
      </c>
      <c r="AE231">
        <v>0</v>
      </c>
      <c r="AF231" t="s">
        <v>67</v>
      </c>
      <c r="AG231">
        <v>0</v>
      </c>
      <c r="AH231">
        <v>0</v>
      </c>
      <c r="AI231">
        <v>0</v>
      </c>
      <c r="AJ231">
        <v>0</v>
      </c>
      <c r="AK231" t="s">
        <v>60</v>
      </c>
      <c r="AL231">
        <v>0</v>
      </c>
      <c r="AM231">
        <v>0</v>
      </c>
      <c r="AN231">
        <v>0</v>
      </c>
      <c r="AO231">
        <v>0</v>
      </c>
      <c r="AP231" t="b">
        <v>0</v>
      </c>
      <c r="AQ231" t="s">
        <v>58</v>
      </c>
      <c r="AR231" t="s">
        <v>58</v>
      </c>
      <c r="AS231" t="s">
        <v>71</v>
      </c>
      <c r="AT231">
        <v>14</v>
      </c>
      <c r="AU231">
        <v>12</v>
      </c>
      <c r="AV231">
        <v>2</v>
      </c>
      <c r="AW231">
        <v>11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s">
        <v>61</v>
      </c>
      <c r="BF231" t="s">
        <v>57</v>
      </c>
      <c r="BG231" t="s">
        <v>55</v>
      </c>
      <c r="BH231" t="s">
        <v>58</v>
      </c>
      <c r="BI231" t="s">
        <v>58</v>
      </c>
    </row>
    <row r="232" spans="1:61" x14ac:dyDescent="0.25">
      <c r="A232" t="str" cm="1">
        <f t="array" ref="A232">_xlfn.IFS(AS232="RegularSeason",C232,AS232&lt;&gt;"RegularSeason",R232)</f>
        <v>00101101010010100000000000010000</v>
      </c>
      <c r="B232" t="str" cm="1">
        <f t="array" ref="B232">_xlfn.IFS(AS232="RegularSeason",D232,AS232&lt;&gt;"RegularSeason",K232)</f>
        <v>00101101010010100000000000000011</v>
      </c>
      <c r="C232" t="str">
        <f t="shared" si="9"/>
        <v>00101101010010100000000000010000</v>
      </c>
      <c r="D232" t="str">
        <f t="shared" si="10"/>
        <v>00101101010010100000000000000011</v>
      </c>
      <c r="E232" t="str" cm="1">
        <f t="array" ref="E232">_xlfn.XLOOKUP(_xlfn.XLOOKUP(G232,New!A:A,New!M:M,NONE),TeamIdentity!A:A,TeamIdentity!C:C,NONE)</f>
        <v>00010000</v>
      </c>
      <c r="F232" t="str" cm="1">
        <f t="array" ref="F232">_xlfn.XLOOKUP(_xlfn.XLOOKUP(G232,New!A:A,New!F:F,NONE),TeamIdentity!A:A,TeamIdentity!C:C,NONE)</f>
        <v>00000011</v>
      </c>
      <c r="G232" t="str">
        <f t="shared" si="11"/>
        <v>11-11</v>
      </c>
      <c r="H232" t="s">
        <v>54</v>
      </c>
      <c r="I232" t="s">
        <v>54</v>
      </c>
      <c r="J232" t="s">
        <v>54</v>
      </c>
      <c r="K232" t="s">
        <v>536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518</v>
      </c>
      <c r="S232">
        <v>-1</v>
      </c>
      <c r="T232">
        <v>0</v>
      </c>
      <c r="U232">
        <v>-1</v>
      </c>
      <c r="V232">
        <v>0</v>
      </c>
      <c r="W232" t="s">
        <v>70</v>
      </c>
      <c r="X232">
        <v>0</v>
      </c>
      <c r="Y232">
        <v>0</v>
      </c>
      <c r="Z232">
        <v>1230</v>
      </c>
      <c r="AA232" t="s">
        <v>57</v>
      </c>
      <c r="AB232">
        <v>0</v>
      </c>
      <c r="AC232">
        <v>0</v>
      </c>
      <c r="AD232">
        <v>0</v>
      </c>
      <c r="AE232">
        <v>0</v>
      </c>
      <c r="AF232" t="s">
        <v>65</v>
      </c>
      <c r="AG232">
        <v>0</v>
      </c>
      <c r="AH232">
        <v>0</v>
      </c>
      <c r="AI232">
        <v>0</v>
      </c>
      <c r="AJ232">
        <v>0</v>
      </c>
      <c r="AK232" t="s">
        <v>65</v>
      </c>
      <c r="AL232">
        <v>0</v>
      </c>
      <c r="AM232">
        <v>0</v>
      </c>
      <c r="AN232">
        <v>0</v>
      </c>
      <c r="AO232">
        <v>0</v>
      </c>
      <c r="AP232" t="b">
        <v>0</v>
      </c>
      <c r="AQ232" t="s">
        <v>58</v>
      </c>
      <c r="AR232" t="s">
        <v>58</v>
      </c>
      <c r="AS232" t="s">
        <v>71</v>
      </c>
      <c r="AT232">
        <v>14</v>
      </c>
      <c r="AU232">
        <v>11</v>
      </c>
      <c r="AV232">
        <v>11</v>
      </c>
      <c r="AW232">
        <v>11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s">
        <v>61</v>
      </c>
      <c r="BF232" t="s">
        <v>57</v>
      </c>
      <c r="BG232" t="s">
        <v>55</v>
      </c>
      <c r="BH232" t="s">
        <v>58</v>
      </c>
      <c r="BI232" t="s">
        <v>58</v>
      </c>
    </row>
    <row r="233" spans="1:61" x14ac:dyDescent="0.25">
      <c r="A233" t="str" cm="1">
        <f t="array" ref="A233">_xlfn.IFS(AS233="RegularSeason",C233,AS233&lt;&gt;"RegularSeason",R233)</f>
        <v>00101101010010100000000000001110</v>
      </c>
      <c r="B233" t="str" cm="1">
        <f t="array" ref="B233">_xlfn.IFS(AS233="RegularSeason",D233,AS233&lt;&gt;"RegularSeason",K233)</f>
        <v>00101101010010100000000000100000</v>
      </c>
      <c r="C233" t="str">
        <f t="shared" si="9"/>
        <v>00101101010010100000000000001110</v>
      </c>
      <c r="D233" t="str">
        <f t="shared" si="10"/>
        <v>00101101010010100000000000100000</v>
      </c>
      <c r="E233" t="str" cm="1">
        <f t="array" ref="E233">_xlfn.XLOOKUP(_xlfn.XLOOKUP(G233,New!A:A,New!M:M,NONE),TeamIdentity!A:A,TeamIdentity!C:C,NONE)</f>
        <v>00001110</v>
      </c>
      <c r="F233" t="str" cm="1">
        <f t="array" ref="F233">_xlfn.XLOOKUP(_xlfn.XLOOKUP(G233,New!A:A,New!F:F,NONE),TeamIdentity!A:A,TeamIdentity!C:C,NONE)</f>
        <v>00100000</v>
      </c>
      <c r="G233" t="str">
        <f t="shared" si="11"/>
        <v>11-12</v>
      </c>
      <c r="H233" t="s">
        <v>54</v>
      </c>
      <c r="I233" t="s">
        <v>54</v>
      </c>
      <c r="J233" t="s">
        <v>54</v>
      </c>
      <c r="K233" t="s">
        <v>523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513</v>
      </c>
      <c r="S233">
        <v>-1</v>
      </c>
      <c r="T233">
        <v>0</v>
      </c>
      <c r="U233">
        <v>-1</v>
      </c>
      <c r="V233">
        <v>0</v>
      </c>
      <c r="W233" t="s">
        <v>70</v>
      </c>
      <c r="X233">
        <v>0</v>
      </c>
      <c r="Y233">
        <v>0</v>
      </c>
      <c r="Z233">
        <v>750</v>
      </c>
      <c r="AA233" t="s">
        <v>57</v>
      </c>
      <c r="AB233">
        <v>0</v>
      </c>
      <c r="AC233">
        <v>0</v>
      </c>
      <c r="AD233">
        <v>0</v>
      </c>
      <c r="AE233">
        <v>0</v>
      </c>
      <c r="AF233" t="s">
        <v>67</v>
      </c>
      <c r="AG233">
        <v>0</v>
      </c>
      <c r="AH233">
        <v>0</v>
      </c>
      <c r="AI233">
        <v>0</v>
      </c>
      <c r="AJ233">
        <v>0</v>
      </c>
      <c r="AK233" t="s">
        <v>68</v>
      </c>
      <c r="AL233">
        <v>0</v>
      </c>
      <c r="AM233">
        <v>0</v>
      </c>
      <c r="AN233">
        <v>0</v>
      </c>
      <c r="AO233">
        <v>0</v>
      </c>
      <c r="AP233" t="b">
        <v>0</v>
      </c>
      <c r="AQ233" t="s">
        <v>58</v>
      </c>
      <c r="AR233" t="s">
        <v>58</v>
      </c>
      <c r="AS233" t="s">
        <v>71</v>
      </c>
      <c r="AT233">
        <v>14</v>
      </c>
      <c r="AU233">
        <v>11</v>
      </c>
      <c r="AV233">
        <v>12</v>
      </c>
      <c r="AW233">
        <v>11</v>
      </c>
      <c r="AX233" t="b">
        <v>1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s">
        <v>61</v>
      </c>
      <c r="BF233" t="s">
        <v>57</v>
      </c>
      <c r="BG233" t="s">
        <v>55</v>
      </c>
      <c r="BH233" t="s">
        <v>58</v>
      </c>
      <c r="BI233" t="s">
        <v>58</v>
      </c>
    </row>
    <row r="234" spans="1:61" x14ac:dyDescent="0.25">
      <c r="A234" t="str" cm="1">
        <f t="array" ref="A234">_xlfn.IFS(AS234="RegularSeason",C234,AS234&lt;&gt;"RegularSeason",R234)</f>
        <v>00101101010010100000000000100000</v>
      </c>
      <c r="B234" t="str" cm="1">
        <f t="array" ref="B234">_xlfn.IFS(AS234="RegularSeason",D234,AS234&lt;&gt;"RegularSeason",K234)</f>
        <v>00101101010010100000000000000000</v>
      </c>
      <c r="C234" t="str">
        <f t="shared" si="9"/>
        <v>00101101010010100000000000100000</v>
      </c>
      <c r="D234" t="str">
        <f t="shared" si="10"/>
        <v>00101101010010100000000000000000</v>
      </c>
      <c r="E234" t="str" cm="1">
        <f t="array" ref="E234">_xlfn.XLOOKUP(_xlfn.XLOOKUP(G234,New!A:A,New!M:M,NONE),TeamIdentity!A:A,TeamIdentity!C:C,NONE)</f>
        <v>00100000</v>
      </c>
      <c r="F234" t="str" cm="1">
        <f t="array" ref="F234">_xlfn.XLOOKUP(_xlfn.XLOOKUP(G234,New!A:A,New!F:F,NONE),TeamIdentity!A:A,TeamIdentity!C:C,NONE)</f>
        <v>00000000</v>
      </c>
      <c r="G234" t="str">
        <f t="shared" si="11"/>
        <v>12-10</v>
      </c>
      <c r="H234" t="s">
        <v>54</v>
      </c>
      <c r="I234" t="s">
        <v>54</v>
      </c>
      <c r="J234" t="s">
        <v>54</v>
      </c>
      <c r="K234" t="s">
        <v>522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539</v>
      </c>
      <c r="S234">
        <v>-1</v>
      </c>
      <c r="T234">
        <v>0</v>
      </c>
      <c r="U234">
        <v>-1</v>
      </c>
      <c r="V234">
        <v>0</v>
      </c>
      <c r="W234" t="s">
        <v>70</v>
      </c>
      <c r="X234">
        <v>0</v>
      </c>
      <c r="Y234">
        <v>0</v>
      </c>
      <c r="Z234">
        <v>975</v>
      </c>
      <c r="AA234" t="s">
        <v>57</v>
      </c>
      <c r="AB234">
        <v>0</v>
      </c>
      <c r="AC234">
        <v>0</v>
      </c>
      <c r="AD234">
        <v>0</v>
      </c>
      <c r="AE234">
        <v>0</v>
      </c>
      <c r="AF234" t="s">
        <v>67</v>
      </c>
      <c r="AG234">
        <v>0</v>
      </c>
      <c r="AH234">
        <v>0</v>
      </c>
      <c r="AI234">
        <v>0</v>
      </c>
      <c r="AJ234">
        <v>0</v>
      </c>
      <c r="AK234" t="s">
        <v>60</v>
      </c>
      <c r="AL234">
        <v>0</v>
      </c>
      <c r="AM234">
        <v>0</v>
      </c>
      <c r="AN234">
        <v>0</v>
      </c>
      <c r="AO234">
        <v>0</v>
      </c>
      <c r="AP234" t="b">
        <v>0</v>
      </c>
      <c r="AQ234" t="s">
        <v>58</v>
      </c>
      <c r="AR234" t="s">
        <v>58</v>
      </c>
      <c r="AS234" t="s">
        <v>71</v>
      </c>
      <c r="AT234">
        <v>14</v>
      </c>
      <c r="AU234">
        <v>12</v>
      </c>
      <c r="AV234">
        <v>10</v>
      </c>
      <c r="AW234">
        <v>11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s">
        <v>61</v>
      </c>
      <c r="BF234" t="s">
        <v>57</v>
      </c>
      <c r="BG234" t="s">
        <v>55</v>
      </c>
      <c r="BH234" t="s">
        <v>58</v>
      </c>
      <c r="BI234" t="s">
        <v>58</v>
      </c>
    </row>
    <row r="235" spans="1:61" x14ac:dyDescent="0.25">
      <c r="A235" t="str" cm="1">
        <f t="array" ref="A235">_xlfn.IFS(AS235="RegularSeason",C235,AS235&lt;&gt;"RegularSeason",R235)</f>
        <v>00101101010010100000000000011110</v>
      </c>
      <c r="B235" t="str" cm="1">
        <f t="array" ref="B235">_xlfn.IFS(AS235="RegularSeason",D235,AS235&lt;&gt;"RegularSeason",K235)</f>
        <v>00101101010010100000000000100001</v>
      </c>
      <c r="C235" t="str">
        <f t="shared" si="9"/>
        <v>00101101010010100000000000011110</v>
      </c>
      <c r="D235" t="str">
        <f t="shared" si="10"/>
        <v>00101101010010100000000000100001</v>
      </c>
      <c r="E235" t="str" cm="1">
        <f t="array" ref="E235">_xlfn.XLOOKUP(_xlfn.XLOOKUP(G235,New!A:A,New!M:M,NONE),TeamIdentity!A:A,TeamIdentity!C:C,NONE)</f>
        <v>00011110</v>
      </c>
      <c r="F235" t="str" cm="1">
        <f t="array" ref="F235">_xlfn.XLOOKUP(_xlfn.XLOOKUP(G235,New!A:A,New!F:F,NONE),TeamIdentity!A:A,TeamIdentity!C:C,NONE)</f>
        <v>00100001</v>
      </c>
      <c r="G235" t="str">
        <f t="shared" si="11"/>
        <v>12-3</v>
      </c>
      <c r="H235" t="s">
        <v>54</v>
      </c>
      <c r="I235" t="s">
        <v>54</v>
      </c>
      <c r="J235" t="s">
        <v>54</v>
      </c>
      <c r="K235" t="s">
        <v>537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536</v>
      </c>
      <c r="S235">
        <v>-1</v>
      </c>
      <c r="T235">
        <v>0</v>
      </c>
      <c r="U235">
        <v>-1</v>
      </c>
      <c r="V235">
        <v>0</v>
      </c>
      <c r="W235" t="s">
        <v>70</v>
      </c>
      <c r="X235">
        <v>0</v>
      </c>
      <c r="Y235">
        <v>0</v>
      </c>
      <c r="Z235">
        <v>780</v>
      </c>
      <c r="AA235" t="s">
        <v>57</v>
      </c>
      <c r="AB235">
        <v>0</v>
      </c>
      <c r="AC235">
        <v>0</v>
      </c>
      <c r="AD235">
        <v>0</v>
      </c>
      <c r="AE235">
        <v>0</v>
      </c>
      <c r="AF235" t="s">
        <v>67</v>
      </c>
      <c r="AG235">
        <v>0</v>
      </c>
      <c r="AH235">
        <v>0</v>
      </c>
      <c r="AI235">
        <v>0</v>
      </c>
      <c r="AJ235">
        <v>0</v>
      </c>
      <c r="AK235" t="s">
        <v>60</v>
      </c>
      <c r="AL235">
        <v>0</v>
      </c>
      <c r="AM235">
        <v>0</v>
      </c>
      <c r="AN235">
        <v>0</v>
      </c>
      <c r="AO235">
        <v>0</v>
      </c>
      <c r="AP235" t="b">
        <v>0</v>
      </c>
      <c r="AQ235" t="s">
        <v>58</v>
      </c>
      <c r="AR235" t="s">
        <v>58</v>
      </c>
      <c r="AS235" t="s">
        <v>71</v>
      </c>
      <c r="AT235">
        <v>14</v>
      </c>
      <c r="AU235">
        <v>12</v>
      </c>
      <c r="AV235">
        <v>3</v>
      </c>
      <c r="AW235">
        <v>11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s">
        <v>61</v>
      </c>
      <c r="BF235" t="s">
        <v>57</v>
      </c>
      <c r="BG235" t="s">
        <v>55</v>
      </c>
      <c r="BH235" t="s">
        <v>58</v>
      </c>
      <c r="BI235" t="s">
        <v>58</v>
      </c>
    </row>
    <row r="236" spans="1:61" x14ac:dyDescent="0.25">
      <c r="A236" t="str" cm="1">
        <f t="array" ref="A236">_xlfn.IFS(AS236="RegularSeason",C236,AS236&lt;&gt;"RegularSeason",R236)</f>
        <v>00101101010010100000000000000111</v>
      </c>
      <c r="B236" t="str" cm="1">
        <f t="array" ref="B236">_xlfn.IFS(AS236="RegularSeason",D236,AS236&lt;&gt;"RegularSeason",K236)</f>
        <v>00101101010010100000000000001110</v>
      </c>
      <c r="C236" t="str">
        <f t="shared" si="9"/>
        <v>00101101010010100000000000000111</v>
      </c>
      <c r="D236" t="str">
        <f t="shared" si="10"/>
        <v>00101101010010100000000000001110</v>
      </c>
      <c r="E236" t="str" cm="1">
        <f t="array" ref="E236">_xlfn.XLOOKUP(_xlfn.XLOOKUP(G236,New!A:A,New!M:M,NONE),TeamIdentity!A:A,TeamIdentity!C:C,NONE)</f>
        <v>00000111</v>
      </c>
      <c r="F236" t="str" cm="1">
        <f t="array" ref="F236">_xlfn.XLOOKUP(_xlfn.XLOOKUP(G236,New!A:A,New!F:F,NONE),TeamIdentity!A:A,TeamIdentity!C:C,NONE)</f>
        <v>00001110</v>
      </c>
      <c r="G236" t="str">
        <f t="shared" si="11"/>
        <v>13-11</v>
      </c>
      <c r="H236" t="s">
        <v>54</v>
      </c>
      <c r="I236" t="s">
        <v>54</v>
      </c>
      <c r="J236" t="s">
        <v>54</v>
      </c>
      <c r="K236" t="s">
        <v>541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519</v>
      </c>
      <c r="S236">
        <v>-1</v>
      </c>
      <c r="T236">
        <v>0</v>
      </c>
      <c r="U236">
        <v>-1</v>
      </c>
      <c r="V236">
        <v>0</v>
      </c>
      <c r="W236" t="s">
        <v>70</v>
      </c>
      <c r="X236">
        <v>0</v>
      </c>
      <c r="Y236">
        <v>0</v>
      </c>
      <c r="Z236">
        <v>1220</v>
      </c>
      <c r="AA236" t="s">
        <v>57</v>
      </c>
      <c r="AB236">
        <v>0</v>
      </c>
      <c r="AC236">
        <v>0</v>
      </c>
      <c r="AD236">
        <v>0</v>
      </c>
      <c r="AE236">
        <v>0</v>
      </c>
      <c r="AF236" t="s">
        <v>60</v>
      </c>
      <c r="AG236">
        <v>0</v>
      </c>
      <c r="AH236">
        <v>0</v>
      </c>
      <c r="AI236">
        <v>0</v>
      </c>
      <c r="AJ236">
        <v>0</v>
      </c>
      <c r="AK236" t="s">
        <v>60</v>
      </c>
      <c r="AL236">
        <v>0</v>
      </c>
      <c r="AM236">
        <v>0</v>
      </c>
      <c r="AN236">
        <v>0</v>
      </c>
      <c r="AO236">
        <v>0</v>
      </c>
      <c r="AP236" t="b">
        <v>0</v>
      </c>
      <c r="AQ236" t="s">
        <v>58</v>
      </c>
      <c r="AR236" t="s">
        <v>58</v>
      </c>
      <c r="AS236" t="s">
        <v>71</v>
      </c>
      <c r="AT236">
        <v>14</v>
      </c>
      <c r="AU236">
        <v>13</v>
      </c>
      <c r="AV236">
        <v>11</v>
      </c>
      <c r="AW236">
        <v>11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s">
        <v>61</v>
      </c>
      <c r="BF236" t="s">
        <v>57</v>
      </c>
      <c r="BG236" t="s">
        <v>55</v>
      </c>
      <c r="BH236" t="s">
        <v>58</v>
      </c>
      <c r="BI236" t="s">
        <v>58</v>
      </c>
    </row>
    <row r="237" spans="1:61" x14ac:dyDescent="0.25">
      <c r="A237" t="str" cm="1">
        <f t="array" ref="A237">_xlfn.IFS(AS237="RegularSeason",C237,AS237&lt;&gt;"RegularSeason",R237)</f>
        <v>00101101010010100000000000010011</v>
      </c>
      <c r="B237" t="str" cm="1">
        <f t="array" ref="B237">_xlfn.IFS(AS237="RegularSeason",D237,AS237&lt;&gt;"RegularSeason",K237)</f>
        <v>00101101010010100000000000001010</v>
      </c>
      <c r="C237" t="str">
        <f t="shared" si="9"/>
        <v>00101101010010100000000000010011</v>
      </c>
      <c r="D237" t="str">
        <f t="shared" si="10"/>
        <v>00101101010010100000000000001010</v>
      </c>
      <c r="E237" t="str" cm="1">
        <f t="array" ref="E237">_xlfn.XLOOKUP(_xlfn.XLOOKUP(G237,New!A:A,New!M:M,NONE),TeamIdentity!A:A,TeamIdentity!C:C,NONE)</f>
        <v>00010011</v>
      </c>
      <c r="F237" t="str" cm="1">
        <f t="array" ref="F237">_xlfn.XLOOKUP(_xlfn.XLOOKUP(G237,New!A:A,New!F:F,NONE),TeamIdentity!A:A,TeamIdentity!C:C,NONE)</f>
        <v>00001010</v>
      </c>
      <c r="G237" t="str">
        <f t="shared" si="11"/>
        <v>11-3</v>
      </c>
      <c r="H237" t="s">
        <v>54</v>
      </c>
      <c r="I237" t="s">
        <v>54</v>
      </c>
      <c r="J237" t="s">
        <v>54</v>
      </c>
      <c r="K237" t="s">
        <v>522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520</v>
      </c>
      <c r="S237">
        <v>-1</v>
      </c>
      <c r="T237">
        <v>0</v>
      </c>
      <c r="U237">
        <v>-1</v>
      </c>
      <c r="V237">
        <v>0</v>
      </c>
      <c r="W237" t="s">
        <v>70</v>
      </c>
      <c r="X237">
        <v>0</v>
      </c>
      <c r="Y237">
        <v>0</v>
      </c>
      <c r="Z237">
        <v>780</v>
      </c>
      <c r="AA237" t="s">
        <v>57</v>
      </c>
      <c r="AB237">
        <v>0</v>
      </c>
      <c r="AC237">
        <v>0</v>
      </c>
      <c r="AD237">
        <v>0</v>
      </c>
      <c r="AE237">
        <v>0</v>
      </c>
      <c r="AF237" t="s">
        <v>67</v>
      </c>
      <c r="AG237">
        <v>0</v>
      </c>
      <c r="AH237">
        <v>0</v>
      </c>
      <c r="AI237">
        <v>0</v>
      </c>
      <c r="AJ237">
        <v>0</v>
      </c>
      <c r="AK237" t="s">
        <v>60</v>
      </c>
      <c r="AL237">
        <v>0</v>
      </c>
      <c r="AM237">
        <v>0</v>
      </c>
      <c r="AN237">
        <v>0</v>
      </c>
      <c r="AO237">
        <v>0</v>
      </c>
      <c r="AP237" t="b">
        <v>0</v>
      </c>
      <c r="AQ237" t="s">
        <v>58</v>
      </c>
      <c r="AR237" t="s">
        <v>58</v>
      </c>
      <c r="AS237" t="s">
        <v>71</v>
      </c>
      <c r="AT237">
        <v>14</v>
      </c>
      <c r="AU237">
        <v>11</v>
      </c>
      <c r="AV237">
        <v>3</v>
      </c>
      <c r="AW237">
        <v>11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s">
        <v>61</v>
      </c>
      <c r="BF237" t="s">
        <v>57</v>
      </c>
      <c r="BG237" t="s">
        <v>55</v>
      </c>
      <c r="BH237" t="s">
        <v>58</v>
      </c>
      <c r="BI237" t="s">
        <v>58</v>
      </c>
    </row>
    <row r="238" spans="1:61" x14ac:dyDescent="0.25">
      <c r="A238" t="str" cm="1">
        <f t="array" ref="A238">_xlfn.IFS(AS238="RegularSeason",C238,AS238&lt;&gt;"RegularSeason",R238)</f>
        <v>00101101010010100000000000011011</v>
      </c>
      <c r="B238" t="str" cm="1">
        <f t="array" ref="B238">_xlfn.IFS(AS238="RegularSeason",D238,AS238&lt;&gt;"RegularSeason",K238)</f>
        <v>00101101010010100000000000010011</v>
      </c>
      <c r="C238" t="str">
        <f t="shared" si="9"/>
        <v>00101101010010100000000000011011</v>
      </c>
      <c r="D238" t="str">
        <f t="shared" si="10"/>
        <v>00101101010010100000000000010011</v>
      </c>
      <c r="E238" t="str" cm="1">
        <f t="array" ref="E238">_xlfn.XLOOKUP(_xlfn.XLOOKUP(G238,New!A:A,New!M:M,NONE),TeamIdentity!A:A,TeamIdentity!C:C,NONE)</f>
        <v>00011011</v>
      </c>
      <c r="F238" t="str" cm="1">
        <f t="array" ref="F238">_xlfn.XLOOKUP(_xlfn.XLOOKUP(G238,New!A:A,New!F:F,NONE),TeamIdentity!A:A,TeamIdentity!C:C,NONE)</f>
        <v>00010011</v>
      </c>
      <c r="G238" t="str">
        <f t="shared" si="11"/>
        <v>10-7</v>
      </c>
      <c r="H238" t="s">
        <v>54</v>
      </c>
      <c r="I238" t="s">
        <v>54</v>
      </c>
      <c r="J238" t="s">
        <v>54</v>
      </c>
      <c r="K238" t="s">
        <v>541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524</v>
      </c>
      <c r="S238">
        <v>-1</v>
      </c>
      <c r="T238">
        <v>0</v>
      </c>
      <c r="U238">
        <v>-1</v>
      </c>
      <c r="V238">
        <v>0</v>
      </c>
      <c r="W238" t="s">
        <v>70</v>
      </c>
      <c r="X238">
        <v>0</v>
      </c>
      <c r="Y238">
        <v>0</v>
      </c>
      <c r="Z238">
        <v>780</v>
      </c>
      <c r="AA238" t="s">
        <v>57</v>
      </c>
      <c r="AB238">
        <v>0</v>
      </c>
      <c r="AC238">
        <v>0</v>
      </c>
      <c r="AD238">
        <v>0</v>
      </c>
      <c r="AE238">
        <v>0</v>
      </c>
      <c r="AF238" t="s">
        <v>67</v>
      </c>
      <c r="AG238">
        <v>0</v>
      </c>
      <c r="AH238">
        <v>0</v>
      </c>
      <c r="AI238">
        <v>0</v>
      </c>
      <c r="AJ238">
        <v>0</v>
      </c>
      <c r="AK238" t="s">
        <v>60</v>
      </c>
      <c r="AL238">
        <v>0</v>
      </c>
      <c r="AM238">
        <v>0</v>
      </c>
      <c r="AN238">
        <v>0</v>
      </c>
      <c r="AO238">
        <v>0</v>
      </c>
      <c r="AP238" t="b">
        <v>0</v>
      </c>
      <c r="AQ238" t="s">
        <v>58</v>
      </c>
      <c r="AR238" t="s">
        <v>58</v>
      </c>
      <c r="AS238" t="s">
        <v>71</v>
      </c>
      <c r="AT238">
        <v>14</v>
      </c>
      <c r="AU238">
        <v>10</v>
      </c>
      <c r="AV238">
        <v>7</v>
      </c>
      <c r="AW238">
        <v>11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s">
        <v>61</v>
      </c>
      <c r="BF238" t="s">
        <v>57</v>
      </c>
      <c r="BG238" t="s">
        <v>55</v>
      </c>
      <c r="BH238" t="s">
        <v>58</v>
      </c>
      <c r="BI238" t="s">
        <v>58</v>
      </c>
    </row>
    <row r="239" spans="1:61" x14ac:dyDescent="0.25">
      <c r="A239" t="str" cm="1">
        <f t="array" ref="A239">_xlfn.IFS(AS239="RegularSeason",C239,AS239&lt;&gt;"RegularSeason",R239)</f>
        <v>00101101010010100000000000011011</v>
      </c>
      <c r="B239" t="str" cm="1">
        <f t="array" ref="B239">_xlfn.IFS(AS239="RegularSeason",D239,AS239&lt;&gt;"RegularSeason",K239)</f>
        <v>00101101010010100000000000001111</v>
      </c>
      <c r="C239" t="str">
        <f t="shared" si="9"/>
        <v>00101101010010100000000000011011</v>
      </c>
      <c r="D239" t="str">
        <f t="shared" si="10"/>
        <v>00101101010010100000000000001111</v>
      </c>
      <c r="E239" t="str" cm="1">
        <f t="array" ref="E239">_xlfn.XLOOKUP(_xlfn.XLOOKUP(G239,New!A:A,New!M:M,NONE),TeamIdentity!A:A,TeamIdentity!C:C,NONE)</f>
        <v>00011011</v>
      </c>
      <c r="F239" t="str" cm="1">
        <f t="array" ref="F239">_xlfn.XLOOKUP(_xlfn.XLOOKUP(G239,New!A:A,New!F:F,NONE),TeamIdentity!A:A,TeamIdentity!C:C,NONE)</f>
        <v>00001111</v>
      </c>
      <c r="G239" t="str">
        <f t="shared" si="11"/>
        <v>11-14</v>
      </c>
      <c r="H239" t="s">
        <v>54</v>
      </c>
      <c r="I239" t="s">
        <v>54</v>
      </c>
      <c r="J239" t="s">
        <v>54</v>
      </c>
      <c r="K239" t="s">
        <v>532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527</v>
      </c>
      <c r="S239">
        <v>-1</v>
      </c>
      <c r="T239">
        <v>0</v>
      </c>
      <c r="U239">
        <v>-1</v>
      </c>
      <c r="V239">
        <v>0</v>
      </c>
      <c r="W239" t="s">
        <v>70</v>
      </c>
      <c r="X239">
        <v>0</v>
      </c>
      <c r="Y239">
        <v>0</v>
      </c>
      <c r="Z239">
        <v>1200</v>
      </c>
      <c r="AA239" t="s">
        <v>57</v>
      </c>
      <c r="AB239">
        <v>0</v>
      </c>
      <c r="AC239">
        <v>0</v>
      </c>
      <c r="AD239">
        <v>0</v>
      </c>
      <c r="AE239">
        <v>0</v>
      </c>
      <c r="AF239" t="s">
        <v>68</v>
      </c>
      <c r="AG239">
        <v>0</v>
      </c>
      <c r="AH239">
        <v>0</v>
      </c>
      <c r="AI239">
        <v>0</v>
      </c>
      <c r="AJ239">
        <v>0</v>
      </c>
      <c r="AK239" t="s">
        <v>68</v>
      </c>
      <c r="AL239">
        <v>0</v>
      </c>
      <c r="AM239">
        <v>0</v>
      </c>
      <c r="AN239">
        <v>0</v>
      </c>
      <c r="AO239">
        <v>0</v>
      </c>
      <c r="AP239" t="b">
        <v>0</v>
      </c>
      <c r="AQ239" t="s">
        <v>58</v>
      </c>
      <c r="AR239" t="s">
        <v>58</v>
      </c>
      <c r="AS239" t="s">
        <v>71</v>
      </c>
      <c r="AT239">
        <v>14</v>
      </c>
      <c r="AU239">
        <v>11</v>
      </c>
      <c r="AV239">
        <v>14</v>
      </c>
      <c r="AW239">
        <v>11</v>
      </c>
      <c r="AX239" t="b">
        <v>1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s">
        <v>61</v>
      </c>
      <c r="BF239" t="s">
        <v>57</v>
      </c>
      <c r="BG239" t="s">
        <v>55</v>
      </c>
      <c r="BH239" t="s">
        <v>58</v>
      </c>
      <c r="BI239" t="s">
        <v>58</v>
      </c>
    </row>
    <row r="240" spans="1:61" x14ac:dyDescent="0.25">
      <c r="A240" t="str" cm="1">
        <f t="array" ref="A240">_xlfn.IFS(AS240="RegularSeason",C240,AS240&lt;&gt;"RegularSeason",R240)</f>
        <v>00101101010010100000000000010111</v>
      </c>
      <c r="B240" t="str" cm="1">
        <f t="array" ref="B240">_xlfn.IFS(AS240="RegularSeason",D240,AS240&lt;&gt;"RegularSeason",K240)</f>
        <v>00101101010010100000000000010001</v>
      </c>
      <c r="C240" t="str">
        <f t="shared" si="9"/>
        <v>00101101010010100000000000010111</v>
      </c>
      <c r="D240" t="str">
        <f t="shared" si="10"/>
        <v>00101101010010100000000000010001</v>
      </c>
      <c r="E240" t="str" cm="1">
        <f t="array" ref="E240">_xlfn.XLOOKUP(_xlfn.XLOOKUP(G240,New!A:A,New!M:M,NONE),TeamIdentity!A:A,TeamIdentity!C:C,NONE)</f>
        <v>00010111</v>
      </c>
      <c r="F240" t="str" cm="1">
        <f t="array" ref="F240">_xlfn.XLOOKUP(_xlfn.XLOOKUP(G240,New!A:A,New!F:F,NONE),TeamIdentity!A:A,TeamIdentity!C:C,NONE)</f>
        <v>00010001</v>
      </c>
      <c r="G240" t="str">
        <f t="shared" si="11"/>
        <v>14-9</v>
      </c>
      <c r="H240" t="s">
        <v>54</v>
      </c>
      <c r="I240" t="s">
        <v>54</v>
      </c>
      <c r="J240" t="s">
        <v>54</v>
      </c>
      <c r="K240" t="s">
        <v>527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542</v>
      </c>
      <c r="S240">
        <v>-1</v>
      </c>
      <c r="T240">
        <v>0</v>
      </c>
      <c r="U240">
        <v>-1</v>
      </c>
      <c r="V240">
        <v>0</v>
      </c>
      <c r="W240" t="s">
        <v>70</v>
      </c>
      <c r="X240">
        <v>0</v>
      </c>
      <c r="Y240">
        <v>0</v>
      </c>
      <c r="Z240">
        <v>975</v>
      </c>
      <c r="AA240" t="s">
        <v>57</v>
      </c>
      <c r="AB240">
        <v>0</v>
      </c>
      <c r="AC240">
        <v>0</v>
      </c>
      <c r="AD240">
        <v>0</v>
      </c>
      <c r="AE240">
        <v>0</v>
      </c>
      <c r="AF240" t="s">
        <v>67</v>
      </c>
      <c r="AG240">
        <v>0</v>
      </c>
      <c r="AH240">
        <v>0</v>
      </c>
      <c r="AI240">
        <v>0</v>
      </c>
      <c r="AJ240">
        <v>0</v>
      </c>
      <c r="AK240" t="s">
        <v>60</v>
      </c>
      <c r="AL240">
        <v>0</v>
      </c>
      <c r="AM240">
        <v>0</v>
      </c>
      <c r="AN240">
        <v>0</v>
      </c>
      <c r="AO240">
        <v>0</v>
      </c>
      <c r="AP240" t="b">
        <v>0</v>
      </c>
      <c r="AQ240" t="s">
        <v>58</v>
      </c>
      <c r="AR240" t="s">
        <v>58</v>
      </c>
      <c r="AS240" t="s">
        <v>71</v>
      </c>
      <c r="AT240">
        <v>14</v>
      </c>
      <c r="AU240">
        <v>14</v>
      </c>
      <c r="AV240">
        <v>9</v>
      </c>
      <c r="AW240">
        <v>11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s">
        <v>61</v>
      </c>
      <c r="BF240" t="s">
        <v>57</v>
      </c>
      <c r="BG240" t="s">
        <v>55</v>
      </c>
      <c r="BH240" t="s">
        <v>58</v>
      </c>
      <c r="BI240" t="s">
        <v>58</v>
      </c>
    </row>
    <row r="241" spans="1:61" x14ac:dyDescent="0.25">
      <c r="A241" t="str" cm="1">
        <f t="array" ref="A241">_xlfn.IFS(AS241="RegularSeason",C241,AS241&lt;&gt;"RegularSeason",R241)</f>
        <v>00101101010010100000000000000110</v>
      </c>
      <c r="B241" t="str" cm="1">
        <f t="array" ref="B241">_xlfn.IFS(AS241="RegularSeason",D241,AS241&lt;&gt;"RegularSeason",K241)</f>
        <v>00101101010010100000000000010001</v>
      </c>
      <c r="C241" t="str">
        <f t="shared" si="9"/>
        <v>00101101010010100000000000000110</v>
      </c>
      <c r="D241" t="str">
        <f t="shared" si="10"/>
        <v>00101101010010100000000000010001</v>
      </c>
      <c r="E241" t="str" cm="1">
        <f t="array" ref="E241">_xlfn.XLOOKUP(_xlfn.XLOOKUP(G241,New!A:A,New!M:M,NONE),TeamIdentity!A:A,TeamIdentity!C:C,NONE)</f>
        <v>00000110</v>
      </c>
      <c r="F241" t="str" cm="1">
        <f t="array" ref="F241">_xlfn.XLOOKUP(_xlfn.XLOOKUP(G241,New!A:A,New!F:F,NONE),TeamIdentity!A:A,TeamIdentity!C:C,NONE)</f>
        <v>00010001</v>
      </c>
      <c r="G241" t="str">
        <f t="shared" si="11"/>
        <v>11-4</v>
      </c>
      <c r="H241" t="s">
        <v>54</v>
      </c>
      <c r="I241" t="s">
        <v>54</v>
      </c>
      <c r="J241" t="s">
        <v>54</v>
      </c>
      <c r="K241" t="s">
        <v>525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540</v>
      </c>
      <c r="S241">
        <v>-1</v>
      </c>
      <c r="T241">
        <v>0</v>
      </c>
      <c r="U241">
        <v>-1</v>
      </c>
      <c r="V241">
        <v>0</v>
      </c>
      <c r="W241" t="s">
        <v>70</v>
      </c>
      <c r="X241">
        <v>0</v>
      </c>
      <c r="Y241">
        <v>0</v>
      </c>
      <c r="Z241">
        <v>780</v>
      </c>
      <c r="AA241" t="s">
        <v>57</v>
      </c>
      <c r="AB241">
        <v>0</v>
      </c>
      <c r="AC241">
        <v>0</v>
      </c>
      <c r="AD241">
        <v>0</v>
      </c>
      <c r="AE241">
        <v>0</v>
      </c>
      <c r="AF241" t="s">
        <v>67</v>
      </c>
      <c r="AG241">
        <v>0</v>
      </c>
      <c r="AH241">
        <v>0</v>
      </c>
      <c r="AI241">
        <v>0</v>
      </c>
      <c r="AJ241">
        <v>0</v>
      </c>
      <c r="AK241" t="s">
        <v>60</v>
      </c>
      <c r="AL241">
        <v>0</v>
      </c>
      <c r="AM241">
        <v>0</v>
      </c>
      <c r="AN241">
        <v>0</v>
      </c>
      <c r="AO241">
        <v>0</v>
      </c>
      <c r="AP241" t="b">
        <v>0</v>
      </c>
      <c r="AQ241" t="s">
        <v>58</v>
      </c>
      <c r="AR241" t="s">
        <v>58</v>
      </c>
      <c r="AS241" t="s">
        <v>71</v>
      </c>
      <c r="AT241">
        <v>14</v>
      </c>
      <c r="AU241">
        <v>11</v>
      </c>
      <c r="AV241">
        <v>4</v>
      </c>
      <c r="AW241">
        <v>11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s">
        <v>61</v>
      </c>
      <c r="BF241" t="s">
        <v>57</v>
      </c>
      <c r="BG241" t="s">
        <v>55</v>
      </c>
      <c r="BH241" t="s">
        <v>58</v>
      </c>
      <c r="BI241" t="s">
        <v>58</v>
      </c>
    </row>
    <row r="242" spans="1:61" x14ac:dyDescent="0.25">
      <c r="A242" t="str" cm="1">
        <f t="array" ref="A242">_xlfn.IFS(AS242="RegularSeason",C242,AS242&lt;&gt;"RegularSeason",R242)</f>
        <v>00101101010010100000000000100011</v>
      </c>
      <c r="B242" t="str" cm="1">
        <f t="array" ref="B242">_xlfn.IFS(AS242="RegularSeason",D242,AS242&lt;&gt;"RegularSeason",K242)</f>
        <v>00101101010010100000000000010101</v>
      </c>
      <c r="C242" t="str">
        <f t="shared" si="9"/>
        <v>00101101010010100000000000100011</v>
      </c>
      <c r="D242" t="str">
        <f t="shared" si="10"/>
        <v>00101101010010100000000000010101</v>
      </c>
      <c r="E242" t="str" cm="1">
        <f t="array" ref="E242">_xlfn.XLOOKUP(_xlfn.XLOOKUP(G242,New!A:A,New!M:M,NONE),TeamIdentity!A:A,TeamIdentity!C:C,NONE)</f>
        <v>00100011</v>
      </c>
      <c r="F242" t="str" cm="1">
        <f t="array" ref="F242">_xlfn.XLOOKUP(_xlfn.XLOOKUP(G242,New!A:A,New!F:F,NONE),TeamIdentity!A:A,TeamIdentity!C:C,NONE)</f>
        <v>00010101</v>
      </c>
      <c r="G242" t="str">
        <f t="shared" si="11"/>
        <v>13-7</v>
      </c>
      <c r="H242" t="s">
        <v>54</v>
      </c>
      <c r="I242" t="s">
        <v>54</v>
      </c>
      <c r="J242" t="s">
        <v>54</v>
      </c>
      <c r="K242" t="s">
        <v>539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525</v>
      </c>
      <c r="S242">
        <v>-1</v>
      </c>
      <c r="T242">
        <v>0</v>
      </c>
      <c r="U242">
        <v>-1</v>
      </c>
      <c r="V242">
        <v>0</v>
      </c>
      <c r="W242" t="s">
        <v>70</v>
      </c>
      <c r="X242">
        <v>0</v>
      </c>
      <c r="Y242">
        <v>0</v>
      </c>
      <c r="Z242">
        <v>965</v>
      </c>
      <c r="AA242" t="s">
        <v>57</v>
      </c>
      <c r="AB242">
        <v>0</v>
      </c>
      <c r="AC242">
        <v>0</v>
      </c>
      <c r="AD242">
        <v>0</v>
      </c>
      <c r="AE242">
        <v>0</v>
      </c>
      <c r="AF242" t="s">
        <v>67</v>
      </c>
      <c r="AG242">
        <v>0</v>
      </c>
      <c r="AH242">
        <v>0</v>
      </c>
      <c r="AI242">
        <v>0</v>
      </c>
      <c r="AJ242">
        <v>0</v>
      </c>
      <c r="AK242" t="s">
        <v>60</v>
      </c>
      <c r="AL242">
        <v>0</v>
      </c>
      <c r="AM242">
        <v>0</v>
      </c>
      <c r="AN242">
        <v>0</v>
      </c>
      <c r="AO242">
        <v>0</v>
      </c>
      <c r="AP242" t="b">
        <v>0</v>
      </c>
      <c r="AQ242" t="s">
        <v>58</v>
      </c>
      <c r="AR242" t="s">
        <v>58</v>
      </c>
      <c r="AS242" t="s">
        <v>71</v>
      </c>
      <c r="AT242">
        <v>14</v>
      </c>
      <c r="AU242">
        <v>13</v>
      </c>
      <c r="AV242">
        <v>7</v>
      </c>
      <c r="AW242">
        <v>11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s">
        <v>61</v>
      </c>
      <c r="BF242" t="s">
        <v>57</v>
      </c>
      <c r="BG242" t="s">
        <v>55</v>
      </c>
      <c r="BH242" t="s">
        <v>58</v>
      </c>
      <c r="BI242" t="s">
        <v>58</v>
      </c>
    </row>
    <row r="243" spans="1:61" x14ac:dyDescent="0.25">
      <c r="A243" t="str" cm="1">
        <f t="array" ref="A243">_xlfn.IFS(AS243="RegularSeason",C243,AS243&lt;&gt;"RegularSeason",R243)</f>
        <v>00101101010010100000000000000100</v>
      </c>
      <c r="B243" t="str" cm="1">
        <f t="array" ref="B243">_xlfn.IFS(AS243="RegularSeason",D243,AS243&lt;&gt;"RegularSeason",K243)</f>
        <v>00101101010010100000000000100001</v>
      </c>
      <c r="C243" t="str">
        <f t="shared" si="9"/>
        <v>00101101010010100000000000000100</v>
      </c>
      <c r="D243" t="str">
        <f t="shared" si="10"/>
        <v>00101101010010100000000000100001</v>
      </c>
      <c r="E243" t="str" cm="1">
        <f t="array" ref="E243">_xlfn.XLOOKUP(_xlfn.XLOOKUP(G243,New!A:A,New!M:M,NONE),TeamIdentity!A:A,TeamIdentity!C:C,NONE)</f>
        <v>00000100</v>
      </c>
      <c r="F243" t="str" cm="1">
        <f t="array" ref="F243">_xlfn.XLOOKUP(_xlfn.XLOOKUP(G243,New!A:A,New!F:F,NONE),TeamIdentity!A:A,TeamIdentity!C:C,NONE)</f>
        <v>00100001</v>
      </c>
      <c r="G243" t="str">
        <f t="shared" si="11"/>
        <v>11-5</v>
      </c>
      <c r="H243" t="s">
        <v>54</v>
      </c>
      <c r="I243" t="s">
        <v>54</v>
      </c>
      <c r="J243" t="s">
        <v>54</v>
      </c>
      <c r="K243" t="s">
        <v>542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531</v>
      </c>
      <c r="S243">
        <v>-1</v>
      </c>
      <c r="T243">
        <v>0</v>
      </c>
      <c r="U243">
        <v>-1</v>
      </c>
      <c r="V243">
        <v>0</v>
      </c>
      <c r="W243" t="s">
        <v>70</v>
      </c>
      <c r="X243">
        <v>0</v>
      </c>
      <c r="Y243">
        <v>0</v>
      </c>
      <c r="Z243">
        <v>780</v>
      </c>
      <c r="AA243" t="s">
        <v>57</v>
      </c>
      <c r="AB243">
        <v>0</v>
      </c>
      <c r="AC243">
        <v>0</v>
      </c>
      <c r="AD243">
        <v>0</v>
      </c>
      <c r="AE243">
        <v>0</v>
      </c>
      <c r="AF243" t="s">
        <v>67</v>
      </c>
      <c r="AG243">
        <v>0</v>
      </c>
      <c r="AH243">
        <v>0</v>
      </c>
      <c r="AI243">
        <v>0</v>
      </c>
      <c r="AJ243">
        <v>0</v>
      </c>
      <c r="AK243" t="s">
        <v>60</v>
      </c>
      <c r="AL243">
        <v>0</v>
      </c>
      <c r="AM243">
        <v>0</v>
      </c>
      <c r="AN243">
        <v>0</v>
      </c>
      <c r="AO243">
        <v>0</v>
      </c>
      <c r="AP243" t="b">
        <v>0</v>
      </c>
      <c r="AQ243" t="s">
        <v>58</v>
      </c>
      <c r="AR243" t="s">
        <v>58</v>
      </c>
      <c r="AS243" t="s">
        <v>71</v>
      </c>
      <c r="AT243">
        <v>14</v>
      </c>
      <c r="AU243">
        <v>11</v>
      </c>
      <c r="AV243">
        <v>5</v>
      </c>
      <c r="AW243">
        <v>11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s">
        <v>61</v>
      </c>
      <c r="BF243" t="s">
        <v>57</v>
      </c>
      <c r="BG243" t="s">
        <v>55</v>
      </c>
      <c r="BH243" t="s">
        <v>58</v>
      </c>
      <c r="BI243" t="s">
        <v>58</v>
      </c>
    </row>
    <row r="244" spans="1:61" x14ac:dyDescent="0.25">
      <c r="A244" t="str" cm="1">
        <f t="array" ref="A244">_xlfn.IFS(AS244="RegularSeason",C244,AS244&lt;&gt;"RegularSeason",R244)</f>
        <v>00101101010010100000000000001010</v>
      </c>
      <c r="B244" t="str" cm="1">
        <f t="array" ref="B244">_xlfn.IFS(AS244="RegularSeason",D244,AS244&lt;&gt;"RegularSeason",K244)</f>
        <v>00101101010010100000000000011100</v>
      </c>
      <c r="C244" t="str">
        <f t="shared" si="9"/>
        <v>00101101010010100000000000001010</v>
      </c>
      <c r="D244" t="str">
        <f t="shared" si="10"/>
        <v>00101101010010100000000000011100</v>
      </c>
      <c r="E244" t="str" cm="1">
        <f t="array" ref="E244">_xlfn.XLOOKUP(_xlfn.XLOOKUP(G244,New!A:A,New!M:M,NONE),TeamIdentity!A:A,TeamIdentity!C:C,NONE)</f>
        <v>00001010</v>
      </c>
      <c r="F244" t="str" cm="1">
        <f t="array" ref="F244">_xlfn.XLOOKUP(_xlfn.XLOOKUP(G244,New!A:A,New!F:F,NONE),TeamIdentity!A:A,TeamIdentity!C:C,NONE)</f>
        <v>00011100</v>
      </c>
      <c r="G244" t="str">
        <f t="shared" si="11"/>
        <v>14-8</v>
      </c>
      <c r="H244" t="s">
        <v>54</v>
      </c>
      <c r="I244" t="s">
        <v>54</v>
      </c>
      <c r="J244" t="s">
        <v>54</v>
      </c>
      <c r="K244" t="s">
        <v>535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513</v>
      </c>
      <c r="S244">
        <v>-1</v>
      </c>
      <c r="T244">
        <v>0</v>
      </c>
      <c r="U244">
        <v>-1</v>
      </c>
      <c r="V244">
        <v>0</v>
      </c>
      <c r="W244" t="s">
        <v>70</v>
      </c>
      <c r="X244">
        <v>0</v>
      </c>
      <c r="Y244">
        <v>0</v>
      </c>
      <c r="Z244">
        <v>965</v>
      </c>
      <c r="AA244" t="s">
        <v>57</v>
      </c>
      <c r="AB244">
        <v>0</v>
      </c>
      <c r="AC244">
        <v>0</v>
      </c>
      <c r="AD244">
        <v>0</v>
      </c>
      <c r="AE244">
        <v>0</v>
      </c>
      <c r="AF244" t="s">
        <v>67</v>
      </c>
      <c r="AG244">
        <v>0</v>
      </c>
      <c r="AH244">
        <v>0</v>
      </c>
      <c r="AI244">
        <v>0</v>
      </c>
      <c r="AJ244">
        <v>0</v>
      </c>
      <c r="AK244" t="s">
        <v>60</v>
      </c>
      <c r="AL244">
        <v>0</v>
      </c>
      <c r="AM244">
        <v>0</v>
      </c>
      <c r="AN244">
        <v>0</v>
      </c>
      <c r="AO244">
        <v>0</v>
      </c>
      <c r="AP244" t="b">
        <v>0</v>
      </c>
      <c r="AQ244" t="s">
        <v>58</v>
      </c>
      <c r="AR244" t="s">
        <v>58</v>
      </c>
      <c r="AS244" t="s">
        <v>71</v>
      </c>
      <c r="AT244">
        <v>14</v>
      </c>
      <c r="AU244">
        <v>14</v>
      </c>
      <c r="AV244">
        <v>8</v>
      </c>
      <c r="AW244">
        <v>11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s">
        <v>61</v>
      </c>
      <c r="BF244" t="s">
        <v>57</v>
      </c>
      <c r="BG244" t="s">
        <v>55</v>
      </c>
      <c r="BH244" t="s">
        <v>58</v>
      </c>
      <c r="BI244" t="s">
        <v>58</v>
      </c>
    </row>
    <row r="245" spans="1:61" x14ac:dyDescent="0.25">
      <c r="A245" t="str" cm="1">
        <f t="array" ref="A245">_xlfn.IFS(AS245="RegularSeason",C245,AS245&lt;&gt;"RegularSeason",R245)</f>
        <v>00101101010010100000000000011011</v>
      </c>
      <c r="B245" t="str" cm="1">
        <f t="array" ref="B245">_xlfn.IFS(AS245="RegularSeason",D245,AS245&lt;&gt;"RegularSeason",K245)</f>
        <v>00101101010010100000000000000011</v>
      </c>
      <c r="C245" t="str">
        <f t="shared" si="9"/>
        <v>00101101010010100000000000011011</v>
      </c>
      <c r="D245" t="str">
        <f t="shared" si="10"/>
        <v>00101101010010100000000000000011</v>
      </c>
      <c r="E245" t="str" cm="1">
        <f t="array" ref="E245">_xlfn.XLOOKUP(_xlfn.XLOOKUP(G245,New!A:A,New!M:M,NONE),TeamIdentity!A:A,TeamIdentity!C:C,NONE)</f>
        <v>00011011</v>
      </c>
      <c r="F245" t="str" cm="1">
        <f t="array" ref="F245">_xlfn.XLOOKUP(_xlfn.XLOOKUP(G245,New!A:A,New!F:F,NONE),TeamIdentity!A:A,TeamIdentity!C:C,NONE)</f>
        <v>00000011</v>
      </c>
      <c r="G245" t="str">
        <f t="shared" si="11"/>
        <v>13-1</v>
      </c>
      <c r="H245" t="s">
        <v>54</v>
      </c>
      <c r="I245" t="s">
        <v>54</v>
      </c>
      <c r="J245" t="s">
        <v>54</v>
      </c>
      <c r="K245" t="s">
        <v>517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532</v>
      </c>
      <c r="S245">
        <v>-1</v>
      </c>
      <c r="T245">
        <v>0</v>
      </c>
      <c r="U245">
        <v>-1</v>
      </c>
      <c r="V245">
        <v>0</v>
      </c>
      <c r="W245" t="s">
        <v>70</v>
      </c>
      <c r="X245">
        <v>0</v>
      </c>
      <c r="Y245">
        <v>0</v>
      </c>
      <c r="Z245">
        <v>780</v>
      </c>
      <c r="AA245" t="s">
        <v>57</v>
      </c>
      <c r="AB245">
        <v>0</v>
      </c>
      <c r="AC245">
        <v>0</v>
      </c>
      <c r="AD245">
        <v>0</v>
      </c>
      <c r="AE245">
        <v>0</v>
      </c>
      <c r="AF245" t="s">
        <v>67</v>
      </c>
      <c r="AG245">
        <v>0</v>
      </c>
      <c r="AH245">
        <v>0</v>
      </c>
      <c r="AI245">
        <v>0</v>
      </c>
      <c r="AJ245">
        <v>0</v>
      </c>
      <c r="AK245" t="s">
        <v>60</v>
      </c>
      <c r="AL245">
        <v>0</v>
      </c>
      <c r="AM245">
        <v>0</v>
      </c>
      <c r="AN245">
        <v>0</v>
      </c>
      <c r="AO245">
        <v>0</v>
      </c>
      <c r="AP245" t="b">
        <v>0</v>
      </c>
      <c r="AQ245" t="s">
        <v>58</v>
      </c>
      <c r="AR245" t="s">
        <v>58</v>
      </c>
      <c r="AS245" t="s">
        <v>71</v>
      </c>
      <c r="AT245">
        <v>14</v>
      </c>
      <c r="AU245">
        <v>13</v>
      </c>
      <c r="AV245">
        <v>1</v>
      </c>
      <c r="AW245">
        <v>11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s">
        <v>61</v>
      </c>
      <c r="BF245" t="s">
        <v>57</v>
      </c>
      <c r="BG245" t="s">
        <v>55</v>
      </c>
      <c r="BH245" t="s">
        <v>58</v>
      </c>
      <c r="BI245" t="s">
        <v>58</v>
      </c>
    </row>
    <row r="246" spans="1:61" x14ac:dyDescent="0.25">
      <c r="A246" t="str" cm="1">
        <f t="array" ref="A246">_xlfn.IFS(AS246="RegularSeason",C246,AS246&lt;&gt;"RegularSeason",R246)</f>
        <v>00101101010010100000000000001101</v>
      </c>
      <c r="B246" t="str" cm="1">
        <f t="array" ref="B246">_xlfn.IFS(AS246="RegularSeason",D246,AS246&lt;&gt;"RegularSeason",K246)</f>
        <v>00101101010010100000000000011101</v>
      </c>
      <c r="C246" t="str">
        <f t="shared" si="9"/>
        <v>00101101010010100000000000001101</v>
      </c>
      <c r="D246" t="str">
        <f t="shared" si="10"/>
        <v>00101101010010100000000000011101</v>
      </c>
      <c r="E246" t="str" cm="1">
        <f t="array" ref="E246">_xlfn.XLOOKUP(_xlfn.XLOOKUP(G246,New!A:A,New!M:M,NONE),TeamIdentity!A:A,TeamIdentity!C:C,NONE)</f>
        <v>00001101</v>
      </c>
      <c r="F246" t="str" cm="1">
        <f t="array" ref="F246">_xlfn.XLOOKUP(_xlfn.XLOOKUP(G246,New!A:A,New!F:F,NONE),TeamIdentity!A:A,TeamIdentity!C:C,NONE)</f>
        <v>00011101</v>
      </c>
      <c r="G246" t="str">
        <f t="shared" si="11"/>
        <v>13-2</v>
      </c>
      <c r="H246" t="s">
        <v>54</v>
      </c>
      <c r="I246" t="s">
        <v>54</v>
      </c>
      <c r="J246" t="s">
        <v>54</v>
      </c>
      <c r="K246" t="s">
        <v>531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534</v>
      </c>
      <c r="S246">
        <v>-1</v>
      </c>
      <c r="T246">
        <v>0</v>
      </c>
      <c r="U246">
        <v>-1</v>
      </c>
      <c r="V246">
        <v>0</v>
      </c>
      <c r="W246" t="s">
        <v>70</v>
      </c>
      <c r="X246">
        <v>0</v>
      </c>
      <c r="Y246">
        <v>0</v>
      </c>
      <c r="Z246">
        <v>780</v>
      </c>
      <c r="AA246" t="s">
        <v>57</v>
      </c>
      <c r="AB246">
        <v>0</v>
      </c>
      <c r="AC246">
        <v>0</v>
      </c>
      <c r="AD246">
        <v>0</v>
      </c>
      <c r="AE246">
        <v>0</v>
      </c>
      <c r="AF246" t="s">
        <v>67</v>
      </c>
      <c r="AG246">
        <v>0</v>
      </c>
      <c r="AH246">
        <v>0</v>
      </c>
      <c r="AI246">
        <v>0</v>
      </c>
      <c r="AJ246">
        <v>0</v>
      </c>
      <c r="AK246" t="s">
        <v>60</v>
      </c>
      <c r="AL246">
        <v>0</v>
      </c>
      <c r="AM246">
        <v>0</v>
      </c>
      <c r="AN246">
        <v>0</v>
      </c>
      <c r="AO246">
        <v>0</v>
      </c>
      <c r="AP246" t="b">
        <v>0</v>
      </c>
      <c r="AQ246" t="s">
        <v>58</v>
      </c>
      <c r="AR246" t="s">
        <v>58</v>
      </c>
      <c r="AS246" t="s">
        <v>71</v>
      </c>
      <c r="AT246">
        <v>14</v>
      </c>
      <c r="AU246">
        <v>13</v>
      </c>
      <c r="AV246">
        <v>2</v>
      </c>
      <c r="AW246">
        <v>11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s">
        <v>61</v>
      </c>
      <c r="BF246" t="s">
        <v>57</v>
      </c>
      <c r="BG246" t="s">
        <v>55</v>
      </c>
      <c r="BH246" t="s">
        <v>58</v>
      </c>
      <c r="BI246" t="s">
        <v>58</v>
      </c>
    </row>
    <row r="247" spans="1:61" x14ac:dyDescent="0.25">
      <c r="A247" t="str" cm="1">
        <f t="array" ref="A247">_xlfn.IFS(AS247="RegularSeason",C247,AS247&lt;&gt;"RegularSeason",R247)</f>
        <v>00101101010010100000000000000001</v>
      </c>
      <c r="B247" t="str" cm="1">
        <f t="array" ref="B247">_xlfn.IFS(AS247="RegularSeason",D247,AS247&lt;&gt;"RegularSeason",K247)</f>
        <v>00101101010010100000000000011111</v>
      </c>
      <c r="C247" t="str">
        <f t="shared" si="9"/>
        <v>00101101010010100000000000000001</v>
      </c>
      <c r="D247" t="str">
        <f t="shared" si="10"/>
        <v>00101101010010100000000000011111</v>
      </c>
      <c r="E247" t="str" cm="1">
        <f t="array" ref="E247">_xlfn.XLOOKUP(_xlfn.XLOOKUP(G247,New!A:A,New!M:M,NONE),TeamIdentity!A:A,TeamIdentity!C:C,NONE)</f>
        <v>00000001</v>
      </c>
      <c r="F247" t="str" cm="1">
        <f t="array" ref="F247">_xlfn.XLOOKUP(_xlfn.XLOOKUP(G247,New!A:A,New!F:F,NONE),TeamIdentity!A:A,TeamIdentity!C:C,NONE)</f>
        <v>00011111</v>
      </c>
      <c r="G247" t="str">
        <f t="shared" si="11"/>
        <v>12-4</v>
      </c>
      <c r="H247" t="s">
        <v>54</v>
      </c>
      <c r="I247" t="s">
        <v>54</v>
      </c>
      <c r="J247" t="s">
        <v>54</v>
      </c>
      <c r="K247" t="s">
        <v>527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515</v>
      </c>
      <c r="S247">
        <v>-1</v>
      </c>
      <c r="T247">
        <v>0</v>
      </c>
      <c r="U247">
        <v>-1</v>
      </c>
      <c r="V247">
        <v>0</v>
      </c>
      <c r="W247" t="s">
        <v>70</v>
      </c>
      <c r="X247">
        <v>0</v>
      </c>
      <c r="Y247">
        <v>0</v>
      </c>
      <c r="Z247">
        <v>780</v>
      </c>
      <c r="AA247" t="s">
        <v>57</v>
      </c>
      <c r="AB247">
        <v>0</v>
      </c>
      <c r="AC247">
        <v>0</v>
      </c>
      <c r="AD247">
        <v>0</v>
      </c>
      <c r="AE247">
        <v>0</v>
      </c>
      <c r="AF247" t="s">
        <v>67</v>
      </c>
      <c r="AG247">
        <v>0</v>
      </c>
      <c r="AH247">
        <v>0</v>
      </c>
      <c r="AI247">
        <v>0</v>
      </c>
      <c r="AJ247">
        <v>0</v>
      </c>
      <c r="AK247" t="s">
        <v>60</v>
      </c>
      <c r="AL247">
        <v>0</v>
      </c>
      <c r="AM247">
        <v>0</v>
      </c>
      <c r="AN247">
        <v>0</v>
      </c>
      <c r="AO247">
        <v>0</v>
      </c>
      <c r="AP247" t="b">
        <v>0</v>
      </c>
      <c r="AQ247" t="s">
        <v>58</v>
      </c>
      <c r="AR247" t="s">
        <v>58</v>
      </c>
      <c r="AS247" t="s">
        <v>71</v>
      </c>
      <c r="AT247">
        <v>14</v>
      </c>
      <c r="AU247">
        <v>12</v>
      </c>
      <c r="AV247">
        <v>4</v>
      </c>
      <c r="AW247">
        <v>11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s">
        <v>61</v>
      </c>
      <c r="BF247" t="s">
        <v>57</v>
      </c>
      <c r="BG247" t="s">
        <v>55</v>
      </c>
      <c r="BH247" t="s">
        <v>58</v>
      </c>
      <c r="BI247" t="s">
        <v>58</v>
      </c>
    </row>
    <row r="248" spans="1:61" x14ac:dyDescent="0.25">
      <c r="A248" t="str" cm="1">
        <f t="array" ref="A248">_xlfn.IFS(AS248="RegularSeason",C248,AS248&lt;&gt;"RegularSeason",R248)</f>
        <v>00101101010010100000000000010011</v>
      </c>
      <c r="B248" t="str" cm="1">
        <f t="array" ref="B248">_xlfn.IFS(AS248="RegularSeason",D248,AS248&lt;&gt;"RegularSeason",K248)</f>
        <v>00101101010010100000000000000000</v>
      </c>
      <c r="C248" t="str">
        <f t="shared" si="9"/>
        <v>00101101010010100000000000010011</v>
      </c>
      <c r="D248" t="str">
        <f t="shared" si="10"/>
        <v>00101101010010100000000000000000</v>
      </c>
      <c r="E248" t="str" cm="1">
        <f t="array" ref="E248">_xlfn.XLOOKUP(_xlfn.XLOOKUP(G248,New!A:A,New!M:M,NONE),TeamIdentity!A:A,TeamIdentity!C:C,NONE)</f>
        <v>00010011</v>
      </c>
      <c r="F248" t="str" cm="1">
        <f t="array" ref="F248">_xlfn.XLOOKUP(_xlfn.XLOOKUP(G248,New!A:A,New!F:F,NONE),TeamIdentity!A:A,TeamIdentity!C:C,NONE)</f>
        <v>00000000</v>
      </c>
      <c r="G248" t="str">
        <f t="shared" si="11"/>
        <v>13-3</v>
      </c>
      <c r="H248" t="s">
        <v>54</v>
      </c>
      <c r="I248" t="s">
        <v>54</v>
      </c>
      <c r="J248" t="s">
        <v>54</v>
      </c>
      <c r="K248" t="s">
        <v>520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529</v>
      </c>
      <c r="S248">
        <v>-1</v>
      </c>
      <c r="T248">
        <v>0</v>
      </c>
      <c r="U248">
        <v>-1</v>
      </c>
      <c r="V248">
        <v>0</v>
      </c>
      <c r="W248" t="s">
        <v>70</v>
      </c>
      <c r="X248">
        <v>0</v>
      </c>
      <c r="Y248">
        <v>0</v>
      </c>
      <c r="Z248">
        <v>780</v>
      </c>
      <c r="AA248" t="s">
        <v>57</v>
      </c>
      <c r="AB248">
        <v>0</v>
      </c>
      <c r="AC248">
        <v>0</v>
      </c>
      <c r="AD248">
        <v>0</v>
      </c>
      <c r="AE248">
        <v>0</v>
      </c>
      <c r="AF248" t="s">
        <v>67</v>
      </c>
      <c r="AG248">
        <v>0</v>
      </c>
      <c r="AH248">
        <v>0</v>
      </c>
      <c r="AI248">
        <v>0</v>
      </c>
      <c r="AJ248">
        <v>0</v>
      </c>
      <c r="AK248" t="s">
        <v>60</v>
      </c>
      <c r="AL248">
        <v>0</v>
      </c>
      <c r="AM248">
        <v>0</v>
      </c>
      <c r="AN248">
        <v>0</v>
      </c>
      <c r="AO248">
        <v>0</v>
      </c>
      <c r="AP248" t="b">
        <v>0</v>
      </c>
      <c r="AQ248" t="s">
        <v>58</v>
      </c>
      <c r="AR248" t="s">
        <v>58</v>
      </c>
      <c r="AS248" t="s">
        <v>71</v>
      </c>
      <c r="AT248">
        <v>14</v>
      </c>
      <c r="AU248">
        <v>13</v>
      </c>
      <c r="AV248">
        <v>3</v>
      </c>
      <c r="AW248">
        <v>11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s">
        <v>61</v>
      </c>
      <c r="BF248" t="s">
        <v>57</v>
      </c>
      <c r="BG248" t="s">
        <v>55</v>
      </c>
      <c r="BH248" t="s">
        <v>58</v>
      </c>
      <c r="BI248" t="s">
        <v>58</v>
      </c>
    </row>
    <row r="249" spans="1:61" x14ac:dyDescent="0.25">
      <c r="A249" t="str" cm="1">
        <f t="array" ref="A249">_xlfn.IFS(AS249="RegularSeason",C249,AS249&lt;&gt;"RegularSeason",R249)</f>
        <v>00101101010010100000000000001111</v>
      </c>
      <c r="B249" t="str" cm="1">
        <f t="array" ref="B249">_xlfn.IFS(AS249="RegularSeason",D249,AS249&lt;&gt;"RegularSeason",K249)</f>
        <v>00101101010010100000000000001011</v>
      </c>
      <c r="C249" t="str">
        <f t="shared" si="9"/>
        <v>00101101010010100000000000001111</v>
      </c>
      <c r="D249" t="str">
        <f t="shared" si="10"/>
        <v>00101101010010100000000000001011</v>
      </c>
      <c r="E249" t="str" cm="1">
        <f t="array" ref="E249">_xlfn.XLOOKUP(_xlfn.XLOOKUP(G249,New!A:A,New!M:M,NONE),TeamIdentity!A:A,TeamIdentity!C:C,NONE)</f>
        <v>00001111</v>
      </c>
      <c r="F249" t="str" cm="1">
        <f t="array" ref="F249">_xlfn.XLOOKUP(_xlfn.XLOOKUP(G249,New!A:A,New!F:F,NONE),TeamIdentity!A:A,TeamIdentity!C:C,NONE)</f>
        <v>00001011</v>
      </c>
      <c r="G249" t="str">
        <f t="shared" si="11"/>
        <v>13-4</v>
      </c>
      <c r="H249" t="s">
        <v>54</v>
      </c>
      <c r="I249" t="s">
        <v>54</v>
      </c>
      <c r="J249" t="s">
        <v>54</v>
      </c>
      <c r="K249" t="s">
        <v>524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522</v>
      </c>
      <c r="S249">
        <v>-1</v>
      </c>
      <c r="T249">
        <v>0</v>
      </c>
      <c r="U249">
        <v>-1</v>
      </c>
      <c r="V249">
        <v>0</v>
      </c>
      <c r="W249" t="s">
        <v>70</v>
      </c>
      <c r="X249">
        <v>0</v>
      </c>
      <c r="Y249">
        <v>0</v>
      </c>
      <c r="Z249">
        <v>780</v>
      </c>
      <c r="AA249" t="s">
        <v>57</v>
      </c>
      <c r="AB249">
        <v>0</v>
      </c>
      <c r="AC249">
        <v>0</v>
      </c>
      <c r="AD249">
        <v>0</v>
      </c>
      <c r="AE249">
        <v>0</v>
      </c>
      <c r="AF249" t="s">
        <v>67</v>
      </c>
      <c r="AG249">
        <v>0</v>
      </c>
      <c r="AH249">
        <v>0</v>
      </c>
      <c r="AI249">
        <v>0</v>
      </c>
      <c r="AJ249">
        <v>0</v>
      </c>
      <c r="AK249" t="s">
        <v>60</v>
      </c>
      <c r="AL249">
        <v>0</v>
      </c>
      <c r="AM249">
        <v>0</v>
      </c>
      <c r="AN249">
        <v>0</v>
      </c>
      <c r="AO249">
        <v>0</v>
      </c>
      <c r="AP249" t="b">
        <v>0</v>
      </c>
      <c r="AQ249" t="s">
        <v>58</v>
      </c>
      <c r="AR249" t="s">
        <v>58</v>
      </c>
      <c r="AS249" t="s">
        <v>71</v>
      </c>
      <c r="AT249">
        <v>14</v>
      </c>
      <c r="AU249">
        <v>13</v>
      </c>
      <c r="AV249">
        <v>4</v>
      </c>
      <c r="AW249">
        <v>11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s">
        <v>61</v>
      </c>
      <c r="BF249" t="s">
        <v>57</v>
      </c>
      <c r="BG249" t="s">
        <v>55</v>
      </c>
      <c r="BH249" t="s">
        <v>58</v>
      </c>
      <c r="BI249" t="s">
        <v>58</v>
      </c>
    </row>
    <row r="250" spans="1:61" x14ac:dyDescent="0.25">
      <c r="A250" t="str" cm="1">
        <f t="array" ref="A250">_xlfn.IFS(AS250="RegularSeason",C250,AS250&lt;&gt;"RegularSeason",R250)</f>
        <v>00101101010010100000000000000100</v>
      </c>
      <c r="B250" t="str" cm="1">
        <f t="array" ref="B250">_xlfn.IFS(AS250="RegularSeason",D250,AS250&lt;&gt;"RegularSeason",K250)</f>
        <v>00101101010010100000000000001011</v>
      </c>
      <c r="C250" t="str">
        <f t="shared" si="9"/>
        <v>00101101010010100000000000000100</v>
      </c>
      <c r="D250" t="str">
        <f t="shared" si="10"/>
        <v>00101101010010100000000000001011</v>
      </c>
      <c r="E250" t="str" cm="1">
        <f t="array" ref="E250">_xlfn.XLOOKUP(_xlfn.XLOOKUP(G250,New!A:A,New!M:M,NONE),TeamIdentity!A:A,TeamIdentity!C:C,NONE)</f>
        <v>00000100</v>
      </c>
      <c r="F250" t="str" cm="1">
        <f t="array" ref="F250">_xlfn.XLOOKUP(_xlfn.XLOOKUP(G250,New!A:A,New!F:F,NONE),TeamIdentity!A:A,TeamIdentity!C:C,NONE)</f>
        <v>00001011</v>
      </c>
      <c r="G250" t="str">
        <f t="shared" si="11"/>
        <v>12-11</v>
      </c>
      <c r="H250" t="s">
        <v>54</v>
      </c>
      <c r="I250" t="s">
        <v>54</v>
      </c>
      <c r="J250" t="s">
        <v>54</v>
      </c>
      <c r="K250" t="s">
        <v>512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516</v>
      </c>
      <c r="S250">
        <v>-1</v>
      </c>
      <c r="T250">
        <v>0</v>
      </c>
      <c r="U250">
        <v>-1</v>
      </c>
      <c r="V250">
        <v>0</v>
      </c>
      <c r="W250" t="s">
        <v>70</v>
      </c>
      <c r="X250">
        <v>0</v>
      </c>
      <c r="Y250">
        <v>0</v>
      </c>
      <c r="Z250">
        <v>1220</v>
      </c>
      <c r="AA250" t="s">
        <v>57</v>
      </c>
      <c r="AB250">
        <v>0</v>
      </c>
      <c r="AC250">
        <v>0</v>
      </c>
      <c r="AD250">
        <v>0</v>
      </c>
      <c r="AE250">
        <v>0</v>
      </c>
      <c r="AF250" t="s">
        <v>60</v>
      </c>
      <c r="AG250">
        <v>0</v>
      </c>
      <c r="AH250">
        <v>0</v>
      </c>
      <c r="AI250">
        <v>0</v>
      </c>
      <c r="AJ250">
        <v>0</v>
      </c>
      <c r="AK250" t="s">
        <v>60</v>
      </c>
      <c r="AL250">
        <v>0</v>
      </c>
      <c r="AM250">
        <v>0</v>
      </c>
      <c r="AN250">
        <v>0</v>
      </c>
      <c r="AO250">
        <v>0</v>
      </c>
      <c r="AP250" t="b">
        <v>0</v>
      </c>
      <c r="AQ250" t="s">
        <v>58</v>
      </c>
      <c r="AR250" t="s">
        <v>58</v>
      </c>
      <c r="AS250" t="s">
        <v>71</v>
      </c>
      <c r="AT250">
        <v>14</v>
      </c>
      <c r="AU250">
        <v>12</v>
      </c>
      <c r="AV250">
        <v>11</v>
      </c>
      <c r="AW250">
        <v>11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s">
        <v>61</v>
      </c>
      <c r="BF250" t="s">
        <v>57</v>
      </c>
      <c r="BG250" t="s">
        <v>55</v>
      </c>
      <c r="BH250" t="s">
        <v>58</v>
      </c>
      <c r="BI250" t="s">
        <v>58</v>
      </c>
    </row>
    <row r="251" spans="1:61" x14ac:dyDescent="0.25">
      <c r="A251" t="str" cm="1">
        <f t="array" ref="A251">_xlfn.IFS(AS251="RegularSeason",C251,AS251&lt;&gt;"RegularSeason",R251)</f>
        <v>00101101010010100000000000011110</v>
      </c>
      <c r="B251" t="str" cm="1">
        <f t="array" ref="B251">_xlfn.IFS(AS251="RegularSeason",D251,AS251&lt;&gt;"RegularSeason",K251)</f>
        <v>00101101010010100000000000100000</v>
      </c>
      <c r="C251" t="str">
        <f t="shared" si="9"/>
        <v>00101101010010100000000000011110</v>
      </c>
      <c r="D251" t="str">
        <f t="shared" si="10"/>
        <v>00101101010010100000000000100000</v>
      </c>
      <c r="E251" t="str" cm="1">
        <f t="array" ref="E251">_xlfn.XLOOKUP(_xlfn.XLOOKUP(G251,New!A:A,New!M:M,NONE),TeamIdentity!A:A,TeamIdentity!C:C,NONE)</f>
        <v>00011110</v>
      </c>
      <c r="F251" t="str" cm="1">
        <f t="array" ref="F251">_xlfn.XLOOKUP(_xlfn.XLOOKUP(G251,New!A:A,New!F:F,NONE),TeamIdentity!A:A,TeamIdentity!C:C,NONE)</f>
        <v>00100000</v>
      </c>
      <c r="G251" t="str">
        <f t="shared" si="11"/>
        <v>13-5</v>
      </c>
      <c r="H251" t="s">
        <v>54</v>
      </c>
      <c r="I251" t="s">
        <v>54</v>
      </c>
      <c r="J251" t="s">
        <v>54</v>
      </c>
      <c r="K251" t="s">
        <v>528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512</v>
      </c>
      <c r="S251">
        <v>-1</v>
      </c>
      <c r="T251">
        <v>0</v>
      </c>
      <c r="U251">
        <v>-1</v>
      </c>
      <c r="V251">
        <v>0</v>
      </c>
      <c r="W251" t="s">
        <v>70</v>
      </c>
      <c r="X251">
        <v>0</v>
      </c>
      <c r="Y251">
        <v>0</v>
      </c>
      <c r="Z251">
        <v>780</v>
      </c>
      <c r="AA251" t="s">
        <v>57</v>
      </c>
      <c r="AB251">
        <v>0</v>
      </c>
      <c r="AC251">
        <v>0</v>
      </c>
      <c r="AD251">
        <v>0</v>
      </c>
      <c r="AE251">
        <v>0</v>
      </c>
      <c r="AF251" t="s">
        <v>67</v>
      </c>
      <c r="AG251">
        <v>0</v>
      </c>
      <c r="AH251">
        <v>0</v>
      </c>
      <c r="AI251">
        <v>0</v>
      </c>
      <c r="AJ251">
        <v>0</v>
      </c>
      <c r="AK251" t="s">
        <v>60</v>
      </c>
      <c r="AL251">
        <v>0</v>
      </c>
      <c r="AM251">
        <v>0</v>
      </c>
      <c r="AN251">
        <v>0</v>
      </c>
      <c r="AO251">
        <v>0</v>
      </c>
      <c r="AP251" t="b">
        <v>0</v>
      </c>
      <c r="AQ251" t="s">
        <v>58</v>
      </c>
      <c r="AR251" t="s">
        <v>58</v>
      </c>
      <c r="AS251" t="s">
        <v>71</v>
      </c>
      <c r="AT251">
        <v>14</v>
      </c>
      <c r="AU251">
        <v>13</v>
      </c>
      <c r="AV251">
        <v>5</v>
      </c>
      <c r="AW251">
        <v>11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s">
        <v>61</v>
      </c>
      <c r="BF251" t="s">
        <v>57</v>
      </c>
      <c r="BG251" t="s">
        <v>55</v>
      </c>
      <c r="BH251" t="s">
        <v>58</v>
      </c>
      <c r="BI251" t="s">
        <v>58</v>
      </c>
    </row>
    <row r="252" spans="1:61" x14ac:dyDescent="0.25">
      <c r="A252" t="str" cm="1">
        <f t="array" ref="A252">_xlfn.IFS(AS252="RegularSeason",C252,AS252&lt;&gt;"RegularSeason",R252)</f>
        <v>00101101010010100000000000011100</v>
      </c>
      <c r="B252" t="str" cm="1">
        <f t="array" ref="B252">_xlfn.IFS(AS252="RegularSeason",D252,AS252&lt;&gt;"RegularSeason",K252)</f>
        <v>00101101010010100000000000000010</v>
      </c>
      <c r="C252" t="str">
        <f t="shared" si="9"/>
        <v>00101101010010100000000000011100</v>
      </c>
      <c r="D252" t="str">
        <f t="shared" si="10"/>
        <v>00101101010010100000000000000010</v>
      </c>
      <c r="E252" t="str" cm="1">
        <f t="array" ref="E252">_xlfn.XLOOKUP(_xlfn.XLOOKUP(G252,New!A:A,New!M:M,NONE),TeamIdentity!A:A,TeamIdentity!C:C,NONE)</f>
        <v>00011100</v>
      </c>
      <c r="F252" t="str" cm="1">
        <f t="array" ref="F252">_xlfn.XLOOKUP(_xlfn.XLOOKUP(G252,New!A:A,New!F:F,NONE),TeamIdentity!A:A,TeamIdentity!C:C,NONE)</f>
        <v>00000010</v>
      </c>
      <c r="G252" t="str">
        <f t="shared" si="11"/>
        <v>13-6</v>
      </c>
      <c r="H252" t="s">
        <v>54</v>
      </c>
      <c r="I252" t="s">
        <v>54</v>
      </c>
      <c r="J252" t="s">
        <v>54</v>
      </c>
      <c r="K252" t="s">
        <v>511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521</v>
      </c>
      <c r="S252">
        <v>-1</v>
      </c>
      <c r="T252">
        <v>0</v>
      </c>
      <c r="U252">
        <v>-1</v>
      </c>
      <c r="V252">
        <v>0</v>
      </c>
      <c r="W252" t="s">
        <v>70</v>
      </c>
      <c r="X252">
        <v>0</v>
      </c>
      <c r="Y252">
        <v>0</v>
      </c>
      <c r="Z252">
        <v>780</v>
      </c>
      <c r="AA252" t="s">
        <v>57</v>
      </c>
      <c r="AB252">
        <v>0</v>
      </c>
      <c r="AC252">
        <v>0</v>
      </c>
      <c r="AD252">
        <v>0</v>
      </c>
      <c r="AE252">
        <v>0</v>
      </c>
      <c r="AF252" t="s">
        <v>67</v>
      </c>
      <c r="AG252">
        <v>0</v>
      </c>
      <c r="AH252">
        <v>0</v>
      </c>
      <c r="AI252">
        <v>0</v>
      </c>
      <c r="AJ252">
        <v>0</v>
      </c>
      <c r="AK252" t="s">
        <v>60</v>
      </c>
      <c r="AL252">
        <v>0</v>
      </c>
      <c r="AM252">
        <v>0</v>
      </c>
      <c r="AN252">
        <v>0</v>
      </c>
      <c r="AO252">
        <v>0</v>
      </c>
      <c r="AP252" t="b">
        <v>0</v>
      </c>
      <c r="AQ252" t="s">
        <v>58</v>
      </c>
      <c r="AR252" t="s">
        <v>58</v>
      </c>
      <c r="AS252" t="s">
        <v>71</v>
      </c>
      <c r="AT252">
        <v>14</v>
      </c>
      <c r="AU252">
        <v>13</v>
      </c>
      <c r="AV252">
        <v>6</v>
      </c>
      <c r="AW252">
        <v>11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s">
        <v>61</v>
      </c>
      <c r="BF252" t="s">
        <v>57</v>
      </c>
      <c r="BG252" t="s">
        <v>55</v>
      </c>
      <c r="BH252" t="s">
        <v>58</v>
      </c>
      <c r="BI252" t="s">
        <v>58</v>
      </c>
    </row>
    <row r="253" spans="1:61" x14ac:dyDescent="0.25">
      <c r="A253" t="str" cm="1">
        <f t="array" ref="A253">_xlfn.IFS(AS253="RegularSeason",C253,AS253&lt;&gt;"RegularSeason",R253)</f>
        <v>00101101010010100000000000100100</v>
      </c>
      <c r="B253" t="str" cm="1">
        <f t="array" ref="B253">_xlfn.IFS(AS253="RegularSeason",D253,AS253&lt;&gt;"RegularSeason",K253)</f>
        <v>00101101010010100000000000011001</v>
      </c>
      <c r="C253" t="str">
        <f t="shared" si="9"/>
        <v>00101101010010100000000000100100</v>
      </c>
      <c r="D253" t="str">
        <f t="shared" si="10"/>
        <v>00101101010010100000000000011001</v>
      </c>
      <c r="E253" t="str" cm="1">
        <f t="array" ref="E253">_xlfn.XLOOKUP(_xlfn.XLOOKUP(G253,New!A:A,New!M:M,NONE),TeamIdentity!A:A,TeamIdentity!C:C,NONE)</f>
        <v>00100100</v>
      </c>
      <c r="F253" t="str" cm="1">
        <f t="array" ref="F253">_xlfn.XLOOKUP(_xlfn.XLOOKUP(G253,New!A:A,New!F:F,NONE),TeamIdentity!A:A,TeamIdentity!C:C,NONE)</f>
        <v>00011001</v>
      </c>
      <c r="G253" t="str">
        <f t="shared" si="11"/>
        <v>14-14</v>
      </c>
      <c r="H253" t="s">
        <v>54</v>
      </c>
      <c r="I253" t="s">
        <v>54</v>
      </c>
      <c r="J253" t="s">
        <v>54</v>
      </c>
      <c r="K253" t="s">
        <v>539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528</v>
      </c>
      <c r="S253">
        <v>-1</v>
      </c>
      <c r="T253">
        <v>0</v>
      </c>
      <c r="U253">
        <v>-1</v>
      </c>
      <c r="V253">
        <v>0</v>
      </c>
      <c r="W253" t="s">
        <v>70</v>
      </c>
      <c r="X253">
        <v>0</v>
      </c>
      <c r="Y253">
        <v>0</v>
      </c>
      <c r="Z253">
        <v>1230</v>
      </c>
      <c r="AA253" t="s">
        <v>57</v>
      </c>
      <c r="AB253">
        <v>0</v>
      </c>
      <c r="AC253">
        <v>0</v>
      </c>
      <c r="AD253">
        <v>0</v>
      </c>
      <c r="AE253">
        <v>0</v>
      </c>
      <c r="AF253" t="s">
        <v>65</v>
      </c>
      <c r="AG253">
        <v>0</v>
      </c>
      <c r="AH253">
        <v>0</v>
      </c>
      <c r="AI253">
        <v>0</v>
      </c>
      <c r="AJ253">
        <v>0</v>
      </c>
      <c r="AK253" t="s">
        <v>65</v>
      </c>
      <c r="AL253">
        <v>0</v>
      </c>
      <c r="AM253">
        <v>0</v>
      </c>
      <c r="AN253">
        <v>0</v>
      </c>
      <c r="AO253">
        <v>0</v>
      </c>
      <c r="AP253" t="b">
        <v>0</v>
      </c>
      <c r="AQ253" t="s">
        <v>58</v>
      </c>
      <c r="AR253" t="s">
        <v>58</v>
      </c>
      <c r="AS253" t="s">
        <v>71</v>
      </c>
      <c r="AT253">
        <v>14</v>
      </c>
      <c r="AU253">
        <v>14</v>
      </c>
      <c r="AV253">
        <v>14</v>
      </c>
      <c r="AW253">
        <v>11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s">
        <v>61</v>
      </c>
      <c r="BF253" t="s">
        <v>57</v>
      </c>
      <c r="BG253" t="s">
        <v>55</v>
      </c>
      <c r="BH253" t="s">
        <v>58</v>
      </c>
      <c r="BI253" t="s">
        <v>58</v>
      </c>
    </row>
    <row r="254" spans="1:61" x14ac:dyDescent="0.25">
      <c r="A254" t="str" cm="1">
        <f t="array" ref="A254">_xlfn.IFS(AS254="RegularSeason",C254,AS254&lt;&gt;"RegularSeason",R254)</f>
        <v>00101101010010100000000000011001</v>
      </c>
      <c r="B254" t="str" cm="1">
        <f t="array" ref="B254">_xlfn.IFS(AS254="RegularSeason",D254,AS254&lt;&gt;"RegularSeason",K254)</f>
        <v>00101101010010100000000000010001</v>
      </c>
      <c r="C254" t="str">
        <f t="shared" si="9"/>
        <v>00101101010010100000000000011001</v>
      </c>
      <c r="D254" t="str">
        <f t="shared" si="10"/>
        <v>00101101010010100000000000010001</v>
      </c>
      <c r="E254" t="str" cm="1">
        <f t="array" ref="E254">_xlfn.XLOOKUP(_xlfn.XLOOKUP(G254,New!A:A,New!M:M,NONE),TeamIdentity!A:A,TeamIdentity!C:C,NONE)</f>
        <v>00011001</v>
      </c>
      <c r="F254" t="str" cm="1">
        <f t="array" ref="F254">_xlfn.XLOOKUP(_xlfn.XLOOKUP(G254,New!A:A,New!F:F,NONE),TeamIdentity!A:A,TeamIdentity!C:C,NONE)</f>
        <v>00010001</v>
      </c>
      <c r="G254" t="str">
        <f t="shared" si="11"/>
        <v>12-12</v>
      </c>
      <c r="H254" t="s">
        <v>54</v>
      </c>
      <c r="I254" t="s">
        <v>54</v>
      </c>
      <c r="J254" t="s">
        <v>54</v>
      </c>
      <c r="K254" t="s">
        <v>541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514</v>
      </c>
      <c r="S254">
        <v>-1</v>
      </c>
      <c r="T254">
        <v>0</v>
      </c>
      <c r="U254">
        <v>-1</v>
      </c>
      <c r="V254">
        <v>0</v>
      </c>
      <c r="W254" t="s">
        <v>70</v>
      </c>
      <c r="X254">
        <v>0</v>
      </c>
      <c r="Y254">
        <v>0</v>
      </c>
      <c r="Z254">
        <v>1230</v>
      </c>
      <c r="AA254" t="s">
        <v>57</v>
      </c>
      <c r="AB254">
        <v>0</v>
      </c>
      <c r="AC254">
        <v>0</v>
      </c>
      <c r="AD254">
        <v>0</v>
      </c>
      <c r="AE254">
        <v>0</v>
      </c>
      <c r="AF254" t="s">
        <v>65</v>
      </c>
      <c r="AG254">
        <v>0</v>
      </c>
      <c r="AH254">
        <v>0</v>
      </c>
      <c r="AI254">
        <v>0</v>
      </c>
      <c r="AJ254">
        <v>0</v>
      </c>
      <c r="AK254" t="s">
        <v>65</v>
      </c>
      <c r="AL254">
        <v>0</v>
      </c>
      <c r="AM254">
        <v>0</v>
      </c>
      <c r="AN254">
        <v>0</v>
      </c>
      <c r="AO254">
        <v>0</v>
      </c>
      <c r="AP254" t="b">
        <v>0</v>
      </c>
      <c r="AQ254" t="s">
        <v>58</v>
      </c>
      <c r="AR254" t="s">
        <v>58</v>
      </c>
      <c r="AS254" t="s">
        <v>71</v>
      </c>
      <c r="AT254">
        <v>14</v>
      </c>
      <c r="AU254">
        <v>12</v>
      </c>
      <c r="AV254">
        <v>12</v>
      </c>
      <c r="AW254">
        <v>11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s">
        <v>61</v>
      </c>
      <c r="BF254" t="s">
        <v>57</v>
      </c>
      <c r="BG254" t="s">
        <v>55</v>
      </c>
      <c r="BH254" t="s">
        <v>58</v>
      </c>
      <c r="BI254" t="s">
        <v>58</v>
      </c>
    </row>
    <row r="255" spans="1:61" x14ac:dyDescent="0.25">
      <c r="A255" t="str" cm="1">
        <f t="array" ref="A255">_xlfn.IFS(AS255="RegularSeason",C255,AS255&lt;&gt;"RegularSeason",R255)</f>
        <v>00101101010010100000000000011001</v>
      </c>
      <c r="B255" t="str" cm="1">
        <f t="array" ref="B255">_xlfn.IFS(AS255="RegularSeason",D255,AS255&lt;&gt;"RegularSeason",K255)</f>
        <v>00101101010010100000000000001101</v>
      </c>
      <c r="C255" t="str">
        <f t="shared" si="9"/>
        <v>00101101010010100000000000011001</v>
      </c>
      <c r="D255" t="str">
        <f t="shared" si="10"/>
        <v>00101101010010100000000000001101</v>
      </c>
      <c r="E255" t="str" cm="1">
        <f t="array" ref="E255">_xlfn.XLOOKUP(_xlfn.XLOOKUP(G255,New!A:A,New!M:M,NONE),TeamIdentity!A:A,TeamIdentity!C:C,NONE)</f>
        <v>00011001</v>
      </c>
      <c r="F255" t="str" cm="1">
        <f t="array" ref="F255">_xlfn.XLOOKUP(_xlfn.XLOOKUP(G255,New!A:A,New!F:F,NONE),TeamIdentity!A:A,TeamIdentity!C:C,NONE)</f>
        <v>00001101</v>
      </c>
      <c r="G255" t="str">
        <f t="shared" si="11"/>
        <v>11-6</v>
      </c>
      <c r="H255" t="s">
        <v>54</v>
      </c>
      <c r="I255" t="s">
        <v>54</v>
      </c>
      <c r="J255" t="s">
        <v>54</v>
      </c>
      <c r="K255" t="s">
        <v>521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514</v>
      </c>
      <c r="S255">
        <v>-1</v>
      </c>
      <c r="T255">
        <v>0</v>
      </c>
      <c r="U255">
        <v>-1</v>
      </c>
      <c r="V255">
        <v>0</v>
      </c>
      <c r="W255" t="s">
        <v>70</v>
      </c>
      <c r="X255">
        <v>0</v>
      </c>
      <c r="Y255">
        <v>0</v>
      </c>
      <c r="Z255">
        <v>780</v>
      </c>
      <c r="AA255" t="s">
        <v>57</v>
      </c>
      <c r="AB255">
        <v>0</v>
      </c>
      <c r="AC255">
        <v>0</v>
      </c>
      <c r="AD255">
        <v>0</v>
      </c>
      <c r="AE255">
        <v>0</v>
      </c>
      <c r="AF255" t="s">
        <v>67</v>
      </c>
      <c r="AG255">
        <v>0</v>
      </c>
      <c r="AH255">
        <v>0</v>
      </c>
      <c r="AI255">
        <v>0</v>
      </c>
      <c r="AJ255">
        <v>0</v>
      </c>
      <c r="AK255" t="s">
        <v>60</v>
      </c>
      <c r="AL255">
        <v>0</v>
      </c>
      <c r="AM255">
        <v>0</v>
      </c>
      <c r="AN255">
        <v>0</v>
      </c>
      <c r="AO255">
        <v>0</v>
      </c>
      <c r="AP255" t="b">
        <v>0</v>
      </c>
      <c r="AQ255" t="s">
        <v>58</v>
      </c>
      <c r="AR255" t="s">
        <v>58</v>
      </c>
      <c r="AS255" t="s">
        <v>71</v>
      </c>
      <c r="AT255">
        <v>14</v>
      </c>
      <c r="AU255">
        <v>11</v>
      </c>
      <c r="AV255">
        <v>6</v>
      </c>
      <c r="AW255">
        <v>11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s">
        <v>61</v>
      </c>
      <c r="BF255" t="s">
        <v>57</v>
      </c>
      <c r="BG255" t="s">
        <v>55</v>
      </c>
      <c r="BH255" t="s">
        <v>58</v>
      </c>
      <c r="BI255" t="s">
        <v>58</v>
      </c>
    </row>
    <row r="256" spans="1:61" x14ac:dyDescent="0.25">
      <c r="A256" t="str" cm="1">
        <f t="array" ref="A256">_xlfn.IFS(AS256="RegularSeason",C256,AS256&lt;&gt;"RegularSeason",R256)</f>
        <v>00101101010010100000000000000001</v>
      </c>
      <c r="B256" t="str" cm="1">
        <f t="array" ref="B256">_xlfn.IFS(AS256="RegularSeason",D256,AS256&lt;&gt;"RegularSeason",K256)</f>
        <v>00101101010010100000000000010011</v>
      </c>
      <c r="C256" t="str">
        <f t="shared" si="9"/>
        <v>00101101010010100000000000000001</v>
      </c>
      <c r="D256" t="str">
        <f t="shared" si="10"/>
        <v>00101101010010100000000000010011</v>
      </c>
      <c r="E256" t="str" cm="1">
        <f t="array" ref="E256">_xlfn.XLOOKUP(_xlfn.XLOOKUP(G256,New!A:A,New!M:M,NONE),TeamIdentity!A:A,TeamIdentity!C:C,NONE)</f>
        <v>00000001</v>
      </c>
      <c r="F256" t="str" cm="1">
        <f t="array" ref="F256">_xlfn.XLOOKUP(_xlfn.XLOOKUP(G256,New!A:A,New!F:F,NONE),TeamIdentity!A:A,TeamIdentity!C:C,NONE)</f>
        <v>00010011</v>
      </c>
      <c r="G256" t="str">
        <f t="shared" si="11"/>
        <v>14-0</v>
      </c>
      <c r="H256" t="s">
        <v>54</v>
      </c>
      <c r="I256" t="s">
        <v>54</v>
      </c>
      <c r="J256" t="s">
        <v>54</v>
      </c>
      <c r="K256" t="s">
        <v>534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532</v>
      </c>
      <c r="S256">
        <v>-1</v>
      </c>
      <c r="T256">
        <v>0</v>
      </c>
      <c r="U256">
        <v>-1</v>
      </c>
      <c r="V256">
        <v>0</v>
      </c>
      <c r="W256" t="s">
        <v>70</v>
      </c>
      <c r="X256">
        <v>0</v>
      </c>
      <c r="Y256">
        <v>0</v>
      </c>
      <c r="Z256">
        <v>780</v>
      </c>
      <c r="AA256" t="s">
        <v>57</v>
      </c>
      <c r="AB256">
        <v>0</v>
      </c>
      <c r="AC256">
        <v>0</v>
      </c>
      <c r="AD256">
        <v>0</v>
      </c>
      <c r="AE256">
        <v>0</v>
      </c>
      <c r="AF256" t="s">
        <v>67</v>
      </c>
      <c r="AG256">
        <v>0</v>
      </c>
      <c r="AH256">
        <v>0</v>
      </c>
      <c r="AI256">
        <v>0</v>
      </c>
      <c r="AJ256">
        <v>0</v>
      </c>
      <c r="AK256" t="s">
        <v>60</v>
      </c>
      <c r="AL256">
        <v>0</v>
      </c>
      <c r="AM256">
        <v>0</v>
      </c>
      <c r="AN256">
        <v>0</v>
      </c>
      <c r="AO256">
        <v>0</v>
      </c>
      <c r="AP256" t="b">
        <v>0</v>
      </c>
      <c r="AQ256" t="s">
        <v>58</v>
      </c>
      <c r="AR256" t="s">
        <v>58</v>
      </c>
      <c r="AS256" t="s">
        <v>71</v>
      </c>
      <c r="AT256">
        <v>14</v>
      </c>
      <c r="AU256">
        <v>14</v>
      </c>
      <c r="AV256">
        <v>0</v>
      </c>
      <c r="AW256">
        <v>11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s">
        <v>61</v>
      </c>
      <c r="BF256" t="s">
        <v>57</v>
      </c>
      <c r="BG256" t="s">
        <v>55</v>
      </c>
      <c r="BH256" t="s">
        <v>58</v>
      </c>
      <c r="BI256" t="s">
        <v>58</v>
      </c>
    </row>
    <row r="257" spans="1:61" x14ac:dyDescent="0.25">
      <c r="A257" t="str" cm="1">
        <f t="array" ref="A257">_xlfn.IFS(AS257="RegularSeason",C257,AS257&lt;&gt;"RegularSeason",R257)</f>
        <v>00101101010010100000000000001011</v>
      </c>
      <c r="B257" t="str" cm="1">
        <f t="array" ref="B257">_xlfn.IFS(AS257="RegularSeason",D257,AS257&lt;&gt;"RegularSeason",K257)</f>
        <v>00101101010010100000000000010110</v>
      </c>
      <c r="C257" t="str">
        <f t="shared" si="9"/>
        <v>00101101010010100000000000001011</v>
      </c>
      <c r="D257" t="str">
        <f t="shared" si="10"/>
        <v>00101101010010100000000000010110</v>
      </c>
      <c r="E257" t="str" cm="1">
        <f t="array" ref="E257">_xlfn.XLOOKUP(_xlfn.XLOOKUP(G257,New!A:A,New!M:M,NONE),TeamIdentity!A:A,TeamIdentity!C:C,NONE)</f>
        <v>00001011</v>
      </c>
      <c r="F257" t="str" cm="1">
        <f t="array" ref="F257">_xlfn.XLOOKUP(_xlfn.XLOOKUP(G257,New!A:A,New!F:F,NONE),TeamIdentity!A:A,TeamIdentity!C:C,NONE)</f>
        <v>00010110</v>
      </c>
      <c r="G257" t="str">
        <f t="shared" si="11"/>
        <v>14-1</v>
      </c>
      <c r="H257" t="s">
        <v>54</v>
      </c>
      <c r="I257" t="s">
        <v>54</v>
      </c>
      <c r="J257" t="s">
        <v>54</v>
      </c>
      <c r="K257" t="s">
        <v>536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515</v>
      </c>
      <c r="S257">
        <v>-1</v>
      </c>
      <c r="T257">
        <v>0</v>
      </c>
      <c r="U257">
        <v>-1</v>
      </c>
      <c r="V257">
        <v>0</v>
      </c>
      <c r="W257" t="s">
        <v>70</v>
      </c>
      <c r="X257">
        <v>0</v>
      </c>
      <c r="Y257">
        <v>0</v>
      </c>
      <c r="Z257">
        <v>780</v>
      </c>
      <c r="AA257" t="s">
        <v>57</v>
      </c>
      <c r="AB257">
        <v>0</v>
      </c>
      <c r="AC257">
        <v>0</v>
      </c>
      <c r="AD257">
        <v>0</v>
      </c>
      <c r="AE257">
        <v>0</v>
      </c>
      <c r="AF257" t="s">
        <v>67</v>
      </c>
      <c r="AG257">
        <v>0</v>
      </c>
      <c r="AH257">
        <v>0</v>
      </c>
      <c r="AI257">
        <v>0</v>
      </c>
      <c r="AJ257">
        <v>0</v>
      </c>
      <c r="AK257" t="s">
        <v>60</v>
      </c>
      <c r="AL257">
        <v>0</v>
      </c>
      <c r="AM257">
        <v>0</v>
      </c>
      <c r="AN257">
        <v>0</v>
      </c>
      <c r="AO257">
        <v>0</v>
      </c>
      <c r="AP257" t="b">
        <v>0</v>
      </c>
      <c r="AQ257" t="s">
        <v>58</v>
      </c>
      <c r="AR257" t="s">
        <v>58</v>
      </c>
      <c r="AS257" t="s">
        <v>71</v>
      </c>
      <c r="AT257">
        <v>14</v>
      </c>
      <c r="AU257">
        <v>14</v>
      </c>
      <c r="AV257">
        <v>1</v>
      </c>
      <c r="AW257">
        <v>11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s">
        <v>61</v>
      </c>
      <c r="BF257" t="s">
        <v>57</v>
      </c>
      <c r="BG257" t="s">
        <v>55</v>
      </c>
      <c r="BH257" t="s">
        <v>58</v>
      </c>
      <c r="BI257" t="s">
        <v>58</v>
      </c>
    </row>
    <row r="258" spans="1:61" x14ac:dyDescent="0.25">
      <c r="A258" t="str" cm="1">
        <f t="array" ref="A258">_xlfn.IFS(AS258="RegularSeason",C258,AS258&lt;&gt;"RegularSeason",R258)</f>
        <v>00101101010010100000000000001100</v>
      </c>
      <c r="B258" t="str" cm="1">
        <f t="array" ref="B258">_xlfn.IFS(AS258="RegularSeason",D258,AS258&lt;&gt;"RegularSeason",K258)</f>
        <v>00101101010010100000000000100010</v>
      </c>
      <c r="C258" t="str">
        <f t="shared" si="9"/>
        <v>00101101010010100000000000001100</v>
      </c>
      <c r="D258" t="str">
        <f t="shared" si="10"/>
        <v>00101101010010100000000000100010</v>
      </c>
      <c r="E258" t="str" cm="1">
        <f t="array" ref="E258">_xlfn.XLOOKUP(_xlfn.XLOOKUP(G258,New!A:A,New!M:M,NONE),TeamIdentity!A:A,TeamIdentity!C:C,NONE)</f>
        <v>00001100</v>
      </c>
      <c r="F258" t="str" cm="1">
        <f t="array" ref="F258">_xlfn.XLOOKUP(_xlfn.XLOOKUP(G258,New!A:A,New!F:F,NONE),TeamIdentity!A:A,TeamIdentity!C:C,NONE)</f>
        <v>00100010</v>
      </c>
      <c r="G258" t="str">
        <f t="shared" si="11"/>
        <v>15-0</v>
      </c>
      <c r="H258" t="s">
        <v>54</v>
      </c>
      <c r="I258" t="s">
        <v>54</v>
      </c>
      <c r="J258" t="s">
        <v>54</v>
      </c>
      <c r="K258" t="s">
        <v>526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515</v>
      </c>
      <c r="S258">
        <v>-1</v>
      </c>
      <c r="T258">
        <v>0</v>
      </c>
      <c r="U258">
        <v>-1</v>
      </c>
      <c r="V258">
        <v>0</v>
      </c>
      <c r="W258" t="s">
        <v>70</v>
      </c>
      <c r="X258">
        <v>0</v>
      </c>
      <c r="Y258">
        <v>0</v>
      </c>
      <c r="Z258">
        <v>780</v>
      </c>
      <c r="AA258" t="s">
        <v>57</v>
      </c>
      <c r="AB258">
        <v>0</v>
      </c>
      <c r="AC258">
        <v>0</v>
      </c>
      <c r="AD258">
        <v>0</v>
      </c>
      <c r="AE258">
        <v>0</v>
      </c>
      <c r="AF258" t="s">
        <v>67</v>
      </c>
      <c r="AG258">
        <v>0</v>
      </c>
      <c r="AH258">
        <v>0</v>
      </c>
      <c r="AI258">
        <v>0</v>
      </c>
      <c r="AJ258">
        <v>0</v>
      </c>
      <c r="AK258" t="s">
        <v>60</v>
      </c>
      <c r="AL258">
        <v>0</v>
      </c>
      <c r="AM258">
        <v>0</v>
      </c>
      <c r="AN258">
        <v>0</v>
      </c>
      <c r="AO258">
        <v>0</v>
      </c>
      <c r="AP258" t="b">
        <v>0</v>
      </c>
      <c r="AQ258" t="s">
        <v>58</v>
      </c>
      <c r="AR258" t="s">
        <v>58</v>
      </c>
      <c r="AS258" t="s">
        <v>71</v>
      </c>
      <c r="AT258">
        <v>14</v>
      </c>
      <c r="AU258">
        <v>15</v>
      </c>
      <c r="AV258">
        <v>0</v>
      </c>
      <c r="AW258">
        <v>11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s">
        <v>61</v>
      </c>
      <c r="BF258" t="s">
        <v>57</v>
      </c>
      <c r="BG258" t="s">
        <v>55</v>
      </c>
      <c r="BH258" t="s">
        <v>58</v>
      </c>
      <c r="BI258" t="s">
        <v>58</v>
      </c>
    </row>
    <row r="259" spans="1:61" x14ac:dyDescent="0.25">
      <c r="A259" t="str" cm="1">
        <f t="array" ref="A259">_xlfn.IFS(AS259="RegularSeason",C259,AS259&lt;&gt;"RegularSeason",R259)</f>
        <v>00101101010010100000000000000101</v>
      </c>
      <c r="B259" t="str" cm="1">
        <f t="array" ref="B259">_xlfn.IFS(AS259="RegularSeason",D259,AS259&lt;&gt;"RegularSeason",K259)</f>
        <v>00101101010010100000000000100001</v>
      </c>
      <c r="C259" t="str">
        <f t="shared" ref="C259:C322" si="12">_xlfn.CONCAT(LEFT(R259,24),E259)</f>
        <v>00101101010010100000000000000101</v>
      </c>
      <c r="D259" t="str">
        <f t="shared" ref="D259:D322" si="13">_xlfn.CONCAT(LEFT(K259,24),F259)</f>
        <v>00101101010010100000000000100001</v>
      </c>
      <c r="E259" t="str" cm="1">
        <f t="array" ref="E259">_xlfn.XLOOKUP(_xlfn.XLOOKUP(G259,New!A:A,New!M:M,NONE),TeamIdentity!A:A,TeamIdentity!C:C,NONE)</f>
        <v>00000101</v>
      </c>
      <c r="F259" t="str" cm="1">
        <f t="array" ref="F259">_xlfn.XLOOKUP(_xlfn.XLOOKUP(G259,New!A:A,New!F:F,NONE),TeamIdentity!A:A,TeamIdentity!C:C,NONE)</f>
        <v>00100001</v>
      </c>
      <c r="G259" t="str">
        <f t="shared" ref="G259:G322" si="14">_xlfn.CONCAT(AU259,"-",AV259)</f>
        <v>15-10</v>
      </c>
      <c r="H259" t="s">
        <v>54</v>
      </c>
      <c r="I259" t="s">
        <v>54</v>
      </c>
      <c r="J259" t="s">
        <v>54</v>
      </c>
      <c r="K259" t="s">
        <v>535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525</v>
      </c>
      <c r="S259">
        <v>-1</v>
      </c>
      <c r="T259">
        <v>0</v>
      </c>
      <c r="U259">
        <v>-1</v>
      </c>
      <c r="V259">
        <v>0</v>
      </c>
      <c r="W259" t="s">
        <v>70</v>
      </c>
      <c r="X259">
        <v>0</v>
      </c>
      <c r="Y259">
        <v>0</v>
      </c>
      <c r="Z259">
        <v>975</v>
      </c>
      <c r="AA259" t="s">
        <v>57</v>
      </c>
      <c r="AB259">
        <v>0</v>
      </c>
      <c r="AC259">
        <v>0</v>
      </c>
      <c r="AD259">
        <v>0</v>
      </c>
      <c r="AE259">
        <v>0</v>
      </c>
      <c r="AF259" t="s">
        <v>67</v>
      </c>
      <c r="AG259">
        <v>0</v>
      </c>
      <c r="AH259">
        <v>0</v>
      </c>
      <c r="AI259">
        <v>0</v>
      </c>
      <c r="AJ259">
        <v>0</v>
      </c>
      <c r="AK259" t="s">
        <v>60</v>
      </c>
      <c r="AL259">
        <v>0</v>
      </c>
      <c r="AM259">
        <v>0</v>
      </c>
      <c r="AN259">
        <v>0</v>
      </c>
      <c r="AO259">
        <v>0</v>
      </c>
      <c r="AP259" t="b">
        <v>0</v>
      </c>
      <c r="AQ259" t="s">
        <v>58</v>
      </c>
      <c r="AR259" t="s">
        <v>58</v>
      </c>
      <c r="AS259" t="s">
        <v>71</v>
      </c>
      <c r="AT259">
        <v>14</v>
      </c>
      <c r="AU259">
        <v>15</v>
      </c>
      <c r="AV259">
        <v>10</v>
      </c>
      <c r="AW259">
        <v>11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s">
        <v>61</v>
      </c>
      <c r="BF259" t="s">
        <v>57</v>
      </c>
      <c r="BG259" t="s">
        <v>55</v>
      </c>
      <c r="BH259" t="s">
        <v>58</v>
      </c>
      <c r="BI259" t="s">
        <v>58</v>
      </c>
    </row>
    <row r="260" spans="1:61" x14ac:dyDescent="0.25">
      <c r="A260" t="str" cm="1">
        <f t="array" ref="A260">_xlfn.IFS(AS260="RegularSeason",C260,AS260&lt;&gt;"RegularSeason",R260)</f>
        <v>00101101010010100000000000001110</v>
      </c>
      <c r="B260" t="str" cm="1">
        <f t="array" ref="B260">_xlfn.IFS(AS260="RegularSeason",D260,AS260&lt;&gt;"RegularSeason",K260)</f>
        <v>00101101010010100000000000000100</v>
      </c>
      <c r="C260" t="str">
        <f t="shared" si="12"/>
        <v>00101101010010100000000000001110</v>
      </c>
      <c r="D260" t="str">
        <f t="shared" si="13"/>
        <v>00101101010010100000000000000100</v>
      </c>
      <c r="E260" t="str" cm="1">
        <f t="array" ref="E260">_xlfn.XLOOKUP(_xlfn.XLOOKUP(G260,New!A:A,New!M:M,NONE),TeamIdentity!A:A,TeamIdentity!C:C,NONE)</f>
        <v>00001110</v>
      </c>
      <c r="F260" t="str" cm="1">
        <f t="array" ref="F260">_xlfn.XLOOKUP(_xlfn.XLOOKUP(G260,New!A:A,New!F:F,NONE),TeamIdentity!A:A,TeamIdentity!C:C,NONE)</f>
        <v>00000100</v>
      </c>
      <c r="G260" t="str">
        <f t="shared" si="14"/>
        <v>14-2</v>
      </c>
      <c r="H260" t="s">
        <v>54</v>
      </c>
      <c r="I260" t="s">
        <v>54</v>
      </c>
      <c r="J260" t="s">
        <v>54</v>
      </c>
      <c r="K260" t="s">
        <v>525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526</v>
      </c>
      <c r="S260">
        <v>-1</v>
      </c>
      <c r="T260">
        <v>0</v>
      </c>
      <c r="U260">
        <v>-1</v>
      </c>
      <c r="V260">
        <v>0</v>
      </c>
      <c r="W260" t="s">
        <v>70</v>
      </c>
      <c r="X260">
        <v>0</v>
      </c>
      <c r="Y260">
        <v>0</v>
      </c>
      <c r="Z260">
        <v>780</v>
      </c>
      <c r="AA260" t="s">
        <v>57</v>
      </c>
      <c r="AB260">
        <v>0</v>
      </c>
      <c r="AC260">
        <v>0</v>
      </c>
      <c r="AD260">
        <v>0</v>
      </c>
      <c r="AE260">
        <v>0</v>
      </c>
      <c r="AF260" t="s">
        <v>67</v>
      </c>
      <c r="AG260">
        <v>0</v>
      </c>
      <c r="AH260">
        <v>0</v>
      </c>
      <c r="AI260">
        <v>0</v>
      </c>
      <c r="AJ260">
        <v>0</v>
      </c>
      <c r="AK260" t="s">
        <v>60</v>
      </c>
      <c r="AL260">
        <v>0</v>
      </c>
      <c r="AM260">
        <v>0</v>
      </c>
      <c r="AN260">
        <v>0</v>
      </c>
      <c r="AO260">
        <v>0</v>
      </c>
      <c r="AP260" t="b">
        <v>0</v>
      </c>
      <c r="AQ260" t="s">
        <v>58</v>
      </c>
      <c r="AR260" t="s">
        <v>58</v>
      </c>
      <c r="AS260" t="s">
        <v>71</v>
      </c>
      <c r="AT260">
        <v>14</v>
      </c>
      <c r="AU260">
        <v>14</v>
      </c>
      <c r="AV260">
        <v>2</v>
      </c>
      <c r="AW260">
        <v>11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s">
        <v>61</v>
      </c>
      <c r="BF260" t="s">
        <v>57</v>
      </c>
      <c r="BG260" t="s">
        <v>55</v>
      </c>
      <c r="BH260" t="s">
        <v>58</v>
      </c>
      <c r="BI260" t="s">
        <v>58</v>
      </c>
    </row>
    <row r="261" spans="1:61" x14ac:dyDescent="0.25">
      <c r="A261" t="str" cm="1">
        <f t="array" ref="A261">_xlfn.IFS(AS261="RegularSeason",C261,AS261&lt;&gt;"RegularSeason",R261)</f>
        <v>00101101010010100000000000000111</v>
      </c>
      <c r="B261" t="str" cm="1">
        <f t="array" ref="B261">_xlfn.IFS(AS261="RegularSeason",D261,AS261&lt;&gt;"RegularSeason",K261)</f>
        <v>00101101010010100000000000011110</v>
      </c>
      <c r="C261" t="str">
        <f t="shared" si="12"/>
        <v>00101101010010100000000000000111</v>
      </c>
      <c r="D261" t="str">
        <f t="shared" si="13"/>
        <v>00101101010010100000000000011110</v>
      </c>
      <c r="E261" t="str" cm="1">
        <f t="array" ref="E261">_xlfn.XLOOKUP(_xlfn.XLOOKUP(G261,New!A:A,New!M:M,NONE),TeamIdentity!A:A,TeamIdentity!C:C,NONE)</f>
        <v>00000111</v>
      </c>
      <c r="F261" t="str" cm="1">
        <f t="array" ref="F261">_xlfn.XLOOKUP(_xlfn.XLOOKUP(G261,New!A:A,New!F:F,NONE),TeamIdentity!A:A,TeamIdentity!C:C,NONE)</f>
        <v>00011110</v>
      </c>
      <c r="G261" t="str">
        <f t="shared" si="14"/>
        <v>14-3</v>
      </c>
      <c r="H261" t="s">
        <v>54</v>
      </c>
      <c r="I261" t="s">
        <v>54</v>
      </c>
      <c r="J261" t="s">
        <v>54</v>
      </c>
      <c r="K261" t="s">
        <v>540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520</v>
      </c>
      <c r="S261">
        <v>-1</v>
      </c>
      <c r="T261">
        <v>0</v>
      </c>
      <c r="U261">
        <v>-1</v>
      </c>
      <c r="V261">
        <v>0</v>
      </c>
      <c r="W261" t="s">
        <v>70</v>
      </c>
      <c r="X261">
        <v>0</v>
      </c>
      <c r="Y261">
        <v>0</v>
      </c>
      <c r="Z261">
        <v>780</v>
      </c>
      <c r="AA261" t="s">
        <v>57</v>
      </c>
      <c r="AB261">
        <v>0</v>
      </c>
      <c r="AC261">
        <v>0</v>
      </c>
      <c r="AD261">
        <v>0</v>
      </c>
      <c r="AE261">
        <v>0</v>
      </c>
      <c r="AF261" t="s">
        <v>67</v>
      </c>
      <c r="AG261">
        <v>0</v>
      </c>
      <c r="AH261">
        <v>0</v>
      </c>
      <c r="AI261">
        <v>0</v>
      </c>
      <c r="AJ261">
        <v>0</v>
      </c>
      <c r="AK261" t="s">
        <v>60</v>
      </c>
      <c r="AL261">
        <v>0</v>
      </c>
      <c r="AM261">
        <v>0</v>
      </c>
      <c r="AN261">
        <v>0</v>
      </c>
      <c r="AO261">
        <v>0</v>
      </c>
      <c r="AP261" t="b">
        <v>0</v>
      </c>
      <c r="AQ261" t="s">
        <v>58</v>
      </c>
      <c r="AR261" t="s">
        <v>58</v>
      </c>
      <c r="AS261" t="s">
        <v>71</v>
      </c>
      <c r="AT261">
        <v>14</v>
      </c>
      <c r="AU261">
        <v>14</v>
      </c>
      <c r="AV261">
        <v>3</v>
      </c>
      <c r="AW261">
        <v>11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s">
        <v>61</v>
      </c>
      <c r="BF261" t="s">
        <v>57</v>
      </c>
      <c r="BG261" t="s">
        <v>55</v>
      </c>
      <c r="BH261" t="s">
        <v>58</v>
      </c>
      <c r="BI261" t="s">
        <v>58</v>
      </c>
    </row>
    <row r="262" spans="1:61" x14ac:dyDescent="0.25">
      <c r="A262" t="str" cm="1">
        <f t="array" ref="A262">_xlfn.IFS(AS262="RegularSeason",C262,AS262&lt;&gt;"RegularSeason",R262)</f>
        <v>00101101010010100000000000000011</v>
      </c>
      <c r="B262" t="str" cm="1">
        <f t="array" ref="B262">_xlfn.IFS(AS262="RegularSeason",D262,AS262&lt;&gt;"RegularSeason",K262)</f>
        <v>00101101010010100000000000001111</v>
      </c>
      <c r="C262" t="str">
        <f t="shared" si="12"/>
        <v>00101101010010100000000000000011</v>
      </c>
      <c r="D262" t="str">
        <f t="shared" si="13"/>
        <v>00101101010010100000000000001111</v>
      </c>
      <c r="E262" t="str" cm="1">
        <f t="array" ref="E262">_xlfn.XLOOKUP(_xlfn.XLOOKUP(G262,New!A:A,New!M:M,NONE),TeamIdentity!A:A,TeamIdentity!C:C,NONE)</f>
        <v>00000011</v>
      </c>
      <c r="F262" t="str" cm="1">
        <f t="array" ref="F262">_xlfn.XLOOKUP(_xlfn.XLOOKUP(G262,New!A:A,New!F:F,NONE),TeamIdentity!A:A,TeamIdentity!C:C,NONE)</f>
        <v>00001111</v>
      </c>
      <c r="G262" t="str">
        <f t="shared" si="14"/>
        <v>14-4</v>
      </c>
      <c r="H262" t="s">
        <v>54</v>
      </c>
      <c r="I262" t="s">
        <v>54</v>
      </c>
      <c r="J262" t="s">
        <v>54</v>
      </c>
      <c r="K262" t="s">
        <v>514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521</v>
      </c>
      <c r="S262">
        <v>-1</v>
      </c>
      <c r="T262">
        <v>0</v>
      </c>
      <c r="U262">
        <v>-1</v>
      </c>
      <c r="V262">
        <v>0</v>
      </c>
      <c r="W262" t="s">
        <v>70</v>
      </c>
      <c r="X262">
        <v>0</v>
      </c>
      <c r="Y262">
        <v>0</v>
      </c>
      <c r="Z262">
        <v>780</v>
      </c>
      <c r="AA262" t="s">
        <v>57</v>
      </c>
      <c r="AB262">
        <v>0</v>
      </c>
      <c r="AC262">
        <v>0</v>
      </c>
      <c r="AD262">
        <v>0</v>
      </c>
      <c r="AE262">
        <v>0</v>
      </c>
      <c r="AF262" t="s">
        <v>67</v>
      </c>
      <c r="AG262">
        <v>0</v>
      </c>
      <c r="AH262">
        <v>0</v>
      </c>
      <c r="AI262">
        <v>0</v>
      </c>
      <c r="AJ262">
        <v>0</v>
      </c>
      <c r="AK262" t="s">
        <v>60</v>
      </c>
      <c r="AL262">
        <v>0</v>
      </c>
      <c r="AM262">
        <v>0</v>
      </c>
      <c r="AN262">
        <v>0</v>
      </c>
      <c r="AO262">
        <v>0</v>
      </c>
      <c r="AP262" t="b">
        <v>0</v>
      </c>
      <c r="AQ262" t="s">
        <v>58</v>
      </c>
      <c r="AR262" t="s">
        <v>58</v>
      </c>
      <c r="AS262" t="s">
        <v>71</v>
      </c>
      <c r="AT262">
        <v>14</v>
      </c>
      <c r="AU262">
        <v>14</v>
      </c>
      <c r="AV262">
        <v>4</v>
      </c>
      <c r="AW262">
        <v>11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s">
        <v>61</v>
      </c>
      <c r="BF262" t="s">
        <v>57</v>
      </c>
      <c r="BG262" t="s">
        <v>55</v>
      </c>
      <c r="BH262" t="s">
        <v>58</v>
      </c>
      <c r="BI262" t="s">
        <v>58</v>
      </c>
    </row>
    <row r="263" spans="1:61" x14ac:dyDescent="0.25">
      <c r="A263" t="str" cm="1">
        <f t="array" ref="A263">_xlfn.IFS(AS263="RegularSeason",C263,AS263&lt;&gt;"RegularSeason",R263)</f>
        <v>00101101010010100000000000000101</v>
      </c>
      <c r="B263" t="str" cm="1">
        <f t="array" ref="B263">_xlfn.IFS(AS263="RegularSeason",D263,AS263&lt;&gt;"RegularSeason",K263)</f>
        <v>00101101010010100000000000000000</v>
      </c>
      <c r="C263" t="str">
        <f t="shared" si="12"/>
        <v>00101101010010100000000000000101</v>
      </c>
      <c r="D263" t="str">
        <f t="shared" si="13"/>
        <v>00101101010010100000000000000000</v>
      </c>
      <c r="E263" t="str" cm="1">
        <f t="array" ref="E263">_xlfn.XLOOKUP(_xlfn.XLOOKUP(G263,New!A:A,New!M:M,NONE),TeamIdentity!A:A,TeamIdentity!C:C,NONE)</f>
        <v>00000101</v>
      </c>
      <c r="F263" t="str" cm="1">
        <f t="array" ref="F263">_xlfn.XLOOKUP(_xlfn.XLOOKUP(G263,New!A:A,New!F:F,NONE),TeamIdentity!A:A,TeamIdentity!C:C,NONE)</f>
        <v>00000000</v>
      </c>
      <c r="G263" t="str">
        <f t="shared" si="14"/>
        <v>14-15</v>
      </c>
      <c r="H263" t="s">
        <v>54</v>
      </c>
      <c r="I263" t="s">
        <v>54</v>
      </c>
      <c r="J263" t="s">
        <v>54</v>
      </c>
      <c r="K263" t="s">
        <v>518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538</v>
      </c>
      <c r="S263">
        <v>-1</v>
      </c>
      <c r="T263">
        <v>0</v>
      </c>
      <c r="U263">
        <v>-1</v>
      </c>
      <c r="V263">
        <v>0</v>
      </c>
      <c r="W263" t="s">
        <v>70</v>
      </c>
      <c r="X263">
        <v>0</v>
      </c>
      <c r="Y263">
        <v>0</v>
      </c>
      <c r="Z263">
        <v>1220</v>
      </c>
      <c r="AA263" t="s">
        <v>57</v>
      </c>
      <c r="AB263">
        <v>0</v>
      </c>
      <c r="AC263">
        <v>0</v>
      </c>
      <c r="AD263">
        <v>0</v>
      </c>
      <c r="AE263">
        <v>0</v>
      </c>
      <c r="AF263" t="s">
        <v>68</v>
      </c>
      <c r="AG263">
        <v>0</v>
      </c>
      <c r="AH263">
        <v>0</v>
      </c>
      <c r="AI263">
        <v>0</v>
      </c>
      <c r="AJ263">
        <v>0</v>
      </c>
      <c r="AK263" t="s">
        <v>68</v>
      </c>
      <c r="AL263">
        <v>0</v>
      </c>
      <c r="AM263">
        <v>0</v>
      </c>
      <c r="AN263">
        <v>0</v>
      </c>
      <c r="AO263">
        <v>0</v>
      </c>
      <c r="AP263" t="b">
        <v>0</v>
      </c>
      <c r="AQ263" t="s">
        <v>58</v>
      </c>
      <c r="AR263" t="s">
        <v>58</v>
      </c>
      <c r="AS263" t="s">
        <v>71</v>
      </c>
      <c r="AT263">
        <v>14</v>
      </c>
      <c r="AU263">
        <v>14</v>
      </c>
      <c r="AV263">
        <v>15</v>
      </c>
      <c r="AW263">
        <v>11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s">
        <v>61</v>
      </c>
      <c r="BF263" t="s">
        <v>57</v>
      </c>
      <c r="BG263" t="s">
        <v>55</v>
      </c>
      <c r="BH263" t="s">
        <v>58</v>
      </c>
      <c r="BI263" t="s">
        <v>58</v>
      </c>
    </row>
    <row r="264" spans="1:61" x14ac:dyDescent="0.25">
      <c r="A264" t="str" cm="1">
        <f t="array" ref="A264">_xlfn.IFS(AS264="RegularSeason",C264,AS264&lt;&gt;"RegularSeason",R264)</f>
        <v>00101101010010100000000000000010</v>
      </c>
      <c r="B264" t="str" cm="1">
        <f t="array" ref="B264">_xlfn.IFS(AS264="RegularSeason",D264,AS264&lt;&gt;"RegularSeason",K264)</f>
        <v>00101101010010100000000000100010</v>
      </c>
      <c r="C264" t="str">
        <f t="shared" si="12"/>
        <v>00101101010010100000000000000010</v>
      </c>
      <c r="D264" t="str">
        <f t="shared" si="13"/>
        <v>00101101010010100000000000100010</v>
      </c>
      <c r="E264" t="str" cm="1">
        <f t="array" ref="E264">_xlfn.XLOOKUP(_xlfn.XLOOKUP(G264,New!A:A,New!M:M,NONE),TeamIdentity!A:A,TeamIdentity!C:C,NONE)</f>
        <v>00000010</v>
      </c>
      <c r="F264" t="str" cm="1">
        <f t="array" ref="F264">_xlfn.XLOOKUP(_xlfn.XLOOKUP(G264,New!A:A,New!F:F,NONE),TeamIdentity!A:A,TeamIdentity!C:C,NONE)</f>
        <v>00100010</v>
      </c>
      <c r="G264" t="str">
        <f t="shared" si="14"/>
        <v>14-13</v>
      </c>
      <c r="H264" t="s">
        <v>54</v>
      </c>
      <c r="I264" t="s">
        <v>54</v>
      </c>
      <c r="J264" t="s">
        <v>54</v>
      </c>
      <c r="K264" t="s">
        <v>512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541</v>
      </c>
      <c r="S264">
        <v>-1</v>
      </c>
      <c r="T264">
        <v>0</v>
      </c>
      <c r="U264">
        <v>-1</v>
      </c>
      <c r="V264">
        <v>0</v>
      </c>
      <c r="W264" t="s">
        <v>70</v>
      </c>
      <c r="X264">
        <v>0</v>
      </c>
      <c r="Y264">
        <v>0</v>
      </c>
      <c r="Z264">
        <v>1220</v>
      </c>
      <c r="AA264" t="s">
        <v>57</v>
      </c>
      <c r="AB264">
        <v>0</v>
      </c>
      <c r="AC264">
        <v>0</v>
      </c>
      <c r="AD264">
        <v>0</v>
      </c>
      <c r="AE264">
        <v>0</v>
      </c>
      <c r="AF264" t="s">
        <v>60</v>
      </c>
      <c r="AG264">
        <v>0</v>
      </c>
      <c r="AH264">
        <v>0</v>
      </c>
      <c r="AI264">
        <v>0</v>
      </c>
      <c r="AJ264">
        <v>0</v>
      </c>
      <c r="AK264" t="s">
        <v>60</v>
      </c>
      <c r="AL264">
        <v>0</v>
      </c>
      <c r="AM264">
        <v>0</v>
      </c>
      <c r="AN264">
        <v>0</v>
      </c>
      <c r="AO264">
        <v>0</v>
      </c>
      <c r="AP264" t="b">
        <v>0</v>
      </c>
      <c r="AQ264" t="s">
        <v>58</v>
      </c>
      <c r="AR264" t="s">
        <v>58</v>
      </c>
      <c r="AS264" t="s">
        <v>71</v>
      </c>
      <c r="AT264">
        <v>14</v>
      </c>
      <c r="AU264">
        <v>14</v>
      </c>
      <c r="AV264">
        <v>13</v>
      </c>
      <c r="AW264">
        <v>11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s">
        <v>61</v>
      </c>
      <c r="BF264" t="s">
        <v>57</v>
      </c>
      <c r="BG264" t="s">
        <v>55</v>
      </c>
      <c r="BH264" t="s">
        <v>58</v>
      </c>
      <c r="BI264" t="s">
        <v>58</v>
      </c>
    </row>
    <row r="265" spans="1:61" x14ac:dyDescent="0.25">
      <c r="A265" t="str" cm="1">
        <f t="array" ref="A265">_xlfn.IFS(AS265="RegularSeason",C265,AS265&lt;&gt;"RegularSeason",R265)</f>
        <v>00101101010010100000000000010000</v>
      </c>
      <c r="B265" t="str" cm="1">
        <f t="array" ref="B265">_xlfn.IFS(AS265="RegularSeason",D265,AS265&lt;&gt;"RegularSeason",K265)</f>
        <v>00101101010010100000000000011100</v>
      </c>
      <c r="C265" t="str">
        <f t="shared" si="12"/>
        <v>00101101010010100000000000010000</v>
      </c>
      <c r="D265" t="str">
        <f t="shared" si="13"/>
        <v>00101101010010100000000000011100</v>
      </c>
      <c r="E265" t="str" cm="1">
        <f t="array" ref="E265">_xlfn.XLOOKUP(_xlfn.XLOOKUP(G265,New!A:A,New!M:M,NONE),TeamIdentity!A:A,TeamIdentity!C:C,NONE)</f>
        <v>00010000</v>
      </c>
      <c r="F265" t="str" cm="1">
        <f t="array" ref="F265">_xlfn.XLOOKUP(_xlfn.XLOOKUP(G265,New!A:A,New!F:F,NONE),TeamIdentity!A:A,TeamIdentity!C:C,NONE)</f>
        <v>00011100</v>
      </c>
      <c r="G265" t="str">
        <f t="shared" si="14"/>
        <v>12-5</v>
      </c>
      <c r="H265" t="s">
        <v>54</v>
      </c>
      <c r="I265" t="s">
        <v>54</v>
      </c>
      <c r="J265" t="s">
        <v>54</v>
      </c>
      <c r="K265" t="s">
        <v>533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511</v>
      </c>
      <c r="S265">
        <v>-1</v>
      </c>
      <c r="T265">
        <v>0</v>
      </c>
      <c r="U265">
        <v>-1</v>
      </c>
      <c r="V265">
        <v>0</v>
      </c>
      <c r="W265" t="s">
        <v>70</v>
      </c>
      <c r="X265">
        <v>0</v>
      </c>
      <c r="Y265">
        <v>0</v>
      </c>
      <c r="Z265">
        <v>780</v>
      </c>
      <c r="AA265" t="s">
        <v>57</v>
      </c>
      <c r="AB265">
        <v>0</v>
      </c>
      <c r="AC265">
        <v>0</v>
      </c>
      <c r="AD265">
        <v>0</v>
      </c>
      <c r="AE265">
        <v>0</v>
      </c>
      <c r="AF265" t="s">
        <v>67</v>
      </c>
      <c r="AG265">
        <v>0</v>
      </c>
      <c r="AH265">
        <v>0</v>
      </c>
      <c r="AI265">
        <v>0</v>
      </c>
      <c r="AJ265">
        <v>0</v>
      </c>
      <c r="AK265" t="s">
        <v>60</v>
      </c>
      <c r="AL265">
        <v>0</v>
      </c>
      <c r="AM265">
        <v>0</v>
      </c>
      <c r="AN265">
        <v>0</v>
      </c>
      <c r="AO265">
        <v>0</v>
      </c>
      <c r="AP265" t="b">
        <v>0</v>
      </c>
      <c r="AQ265" t="s">
        <v>58</v>
      </c>
      <c r="AR265" t="s">
        <v>58</v>
      </c>
      <c r="AS265" t="s">
        <v>71</v>
      </c>
      <c r="AT265">
        <v>14</v>
      </c>
      <c r="AU265">
        <v>12</v>
      </c>
      <c r="AV265">
        <v>5</v>
      </c>
      <c r="AW265">
        <v>11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s">
        <v>61</v>
      </c>
      <c r="BF265" t="s">
        <v>57</v>
      </c>
      <c r="BG265" t="s">
        <v>55</v>
      </c>
      <c r="BH265" t="s">
        <v>58</v>
      </c>
      <c r="BI265" t="s">
        <v>58</v>
      </c>
    </row>
    <row r="266" spans="1:61" x14ac:dyDescent="0.25">
      <c r="A266" t="str" cm="1">
        <f t="array" ref="A266">_xlfn.IFS(AS266="RegularSeason",C266,AS266&lt;&gt;"RegularSeason",R266)</f>
        <v>00101101010010100000000000000100</v>
      </c>
      <c r="B266" t="str" cm="1">
        <f t="array" ref="B266">_xlfn.IFS(AS266="RegularSeason",D266,AS266&lt;&gt;"RegularSeason",K266)</f>
        <v>00101101010010100000000000001010</v>
      </c>
      <c r="C266" t="str">
        <f t="shared" si="12"/>
        <v>00101101010010100000000000000100</v>
      </c>
      <c r="D266" t="str">
        <f t="shared" si="13"/>
        <v>00101101010010100000000000001010</v>
      </c>
      <c r="E266" t="str" cm="1">
        <f t="array" ref="E266">_xlfn.XLOOKUP(_xlfn.XLOOKUP(G266,New!A:A,New!M:M,NONE),TeamIdentity!A:A,TeamIdentity!C:C,NONE)</f>
        <v>00000100</v>
      </c>
      <c r="F266" t="str" cm="1">
        <f t="array" ref="F266">_xlfn.XLOOKUP(_xlfn.XLOOKUP(G266,New!A:A,New!F:F,NONE),TeamIdentity!A:A,TeamIdentity!C:C,NONE)</f>
        <v>00001010</v>
      </c>
      <c r="G266" t="str">
        <f t="shared" si="14"/>
        <v>13-8</v>
      </c>
      <c r="H266" t="s">
        <v>54</v>
      </c>
      <c r="I266" t="s">
        <v>54</v>
      </c>
      <c r="J266" t="s">
        <v>54</v>
      </c>
      <c r="K266" t="s">
        <v>533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538</v>
      </c>
      <c r="S266">
        <v>-1</v>
      </c>
      <c r="T266">
        <v>0</v>
      </c>
      <c r="U266">
        <v>-1</v>
      </c>
      <c r="V266">
        <v>0</v>
      </c>
      <c r="W266" t="s">
        <v>70</v>
      </c>
      <c r="X266">
        <v>0</v>
      </c>
      <c r="Y266">
        <v>0</v>
      </c>
      <c r="Z266">
        <v>975</v>
      </c>
      <c r="AA266" t="s">
        <v>57</v>
      </c>
      <c r="AB266">
        <v>0</v>
      </c>
      <c r="AC266">
        <v>0</v>
      </c>
      <c r="AD266">
        <v>0</v>
      </c>
      <c r="AE266">
        <v>0</v>
      </c>
      <c r="AF266" t="s">
        <v>67</v>
      </c>
      <c r="AG266">
        <v>0</v>
      </c>
      <c r="AH266">
        <v>0</v>
      </c>
      <c r="AI266">
        <v>0</v>
      </c>
      <c r="AJ266">
        <v>0</v>
      </c>
      <c r="AK266" t="s">
        <v>60</v>
      </c>
      <c r="AL266">
        <v>0</v>
      </c>
      <c r="AM266">
        <v>0</v>
      </c>
      <c r="AN266">
        <v>0</v>
      </c>
      <c r="AO266">
        <v>0</v>
      </c>
      <c r="AP266" t="b">
        <v>0</v>
      </c>
      <c r="AQ266" t="s">
        <v>58</v>
      </c>
      <c r="AR266" t="s">
        <v>58</v>
      </c>
      <c r="AS266" t="s">
        <v>71</v>
      </c>
      <c r="AT266">
        <v>14</v>
      </c>
      <c r="AU266">
        <v>13</v>
      </c>
      <c r="AV266">
        <v>8</v>
      </c>
      <c r="AW266">
        <v>11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s">
        <v>61</v>
      </c>
      <c r="BF266" t="s">
        <v>57</v>
      </c>
      <c r="BG266" t="s">
        <v>55</v>
      </c>
      <c r="BH266" t="s">
        <v>58</v>
      </c>
      <c r="BI266" t="s">
        <v>58</v>
      </c>
    </row>
    <row r="267" spans="1:61" x14ac:dyDescent="0.25">
      <c r="A267" t="str" cm="1">
        <f t="array" ref="A267">_xlfn.IFS(AS267="RegularSeason",C267,AS267&lt;&gt;"RegularSeason",R267)</f>
        <v>00101101010010100000000000000001</v>
      </c>
      <c r="B267" t="str" cm="1">
        <f t="array" ref="B267">_xlfn.IFS(AS267="RegularSeason",D267,AS267&lt;&gt;"RegularSeason",K267)</f>
        <v>00101101010010100000000000010111</v>
      </c>
      <c r="C267" t="str">
        <f t="shared" si="12"/>
        <v>00101101010010100000000000000001</v>
      </c>
      <c r="D267" t="str">
        <f t="shared" si="13"/>
        <v>00101101010010100000000000010111</v>
      </c>
      <c r="E267" t="str" cm="1">
        <f t="array" ref="E267">_xlfn.XLOOKUP(_xlfn.XLOOKUP(G267,New!A:A,New!M:M,NONE),TeamIdentity!A:A,TeamIdentity!C:C,NONE)</f>
        <v>00000001</v>
      </c>
      <c r="F267" t="str" cm="1">
        <f t="array" ref="F267">_xlfn.XLOOKUP(_xlfn.XLOOKUP(G267,New!A:A,New!F:F,NONE),TeamIdentity!A:A,TeamIdentity!C:C,NONE)</f>
        <v>00010111</v>
      </c>
      <c r="G267" t="str">
        <f t="shared" si="14"/>
        <v>15-13</v>
      </c>
      <c r="H267" t="s">
        <v>54</v>
      </c>
      <c r="I267" t="s">
        <v>54</v>
      </c>
      <c r="J267" t="s">
        <v>54</v>
      </c>
      <c r="K267" t="s">
        <v>519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512</v>
      </c>
      <c r="S267">
        <v>-1</v>
      </c>
      <c r="T267">
        <v>0</v>
      </c>
      <c r="U267">
        <v>-1</v>
      </c>
      <c r="V267">
        <v>0</v>
      </c>
      <c r="W267" t="s">
        <v>70</v>
      </c>
      <c r="X267">
        <v>0</v>
      </c>
      <c r="Y267">
        <v>0</v>
      </c>
      <c r="Z267">
        <v>1220</v>
      </c>
      <c r="AA267" t="s">
        <v>57</v>
      </c>
      <c r="AB267">
        <v>0</v>
      </c>
      <c r="AC267">
        <v>0</v>
      </c>
      <c r="AD267">
        <v>0</v>
      </c>
      <c r="AE267">
        <v>0</v>
      </c>
      <c r="AF267" t="s">
        <v>60</v>
      </c>
      <c r="AG267">
        <v>0</v>
      </c>
      <c r="AH267">
        <v>0</v>
      </c>
      <c r="AI267">
        <v>0</v>
      </c>
      <c r="AJ267">
        <v>0</v>
      </c>
      <c r="AK267" t="s">
        <v>60</v>
      </c>
      <c r="AL267">
        <v>0</v>
      </c>
      <c r="AM267">
        <v>0</v>
      </c>
      <c r="AN267">
        <v>0</v>
      </c>
      <c r="AO267">
        <v>0</v>
      </c>
      <c r="AP267" t="b">
        <v>0</v>
      </c>
      <c r="AQ267" t="s">
        <v>58</v>
      </c>
      <c r="AR267" t="s">
        <v>58</v>
      </c>
      <c r="AS267" t="s">
        <v>71</v>
      </c>
      <c r="AT267">
        <v>14</v>
      </c>
      <c r="AU267">
        <v>15</v>
      </c>
      <c r="AV267">
        <v>13</v>
      </c>
      <c r="AW267">
        <v>11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s">
        <v>61</v>
      </c>
      <c r="BF267" t="s">
        <v>57</v>
      </c>
      <c r="BG267" t="s">
        <v>55</v>
      </c>
      <c r="BH267" t="s">
        <v>58</v>
      </c>
      <c r="BI267" t="s">
        <v>58</v>
      </c>
    </row>
    <row r="268" spans="1:61" x14ac:dyDescent="0.25">
      <c r="A268" t="str" cm="1">
        <f t="array" ref="A268">_xlfn.IFS(AS268="RegularSeason",C268,AS268&lt;&gt;"RegularSeason",R268)</f>
        <v>00101101010010100000000000100000</v>
      </c>
      <c r="B268" t="str" cm="1">
        <f t="array" ref="B268">_xlfn.IFS(AS268="RegularSeason",D268,AS268&lt;&gt;"RegularSeason",K268)</f>
        <v>00101101010010100000000000001100</v>
      </c>
      <c r="C268" t="str">
        <f t="shared" si="12"/>
        <v>00101101010010100000000000100000</v>
      </c>
      <c r="D268" t="str">
        <f t="shared" si="13"/>
        <v>00101101010010100000000000001100</v>
      </c>
      <c r="E268" t="str" cm="1">
        <f t="array" ref="E268">_xlfn.XLOOKUP(_xlfn.XLOOKUP(G268,New!A:A,New!M:M,NONE),TeamIdentity!A:A,TeamIdentity!C:C,NONE)</f>
        <v>00100000</v>
      </c>
      <c r="F268" t="str" cm="1">
        <f t="array" ref="F268">_xlfn.XLOOKUP(_xlfn.XLOOKUP(G268,New!A:A,New!F:F,NONE),TeamIdentity!A:A,TeamIdentity!C:C,NONE)</f>
        <v>00001100</v>
      </c>
      <c r="G268" t="str">
        <f t="shared" si="14"/>
        <v>14-5</v>
      </c>
      <c r="H268" t="s">
        <v>54</v>
      </c>
      <c r="I268" t="s">
        <v>54</v>
      </c>
      <c r="J268" t="s">
        <v>54</v>
      </c>
      <c r="K268" t="s">
        <v>529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511</v>
      </c>
      <c r="S268">
        <v>-1</v>
      </c>
      <c r="T268">
        <v>0</v>
      </c>
      <c r="U268">
        <v>-1</v>
      </c>
      <c r="V268">
        <v>0</v>
      </c>
      <c r="W268" t="s">
        <v>70</v>
      </c>
      <c r="X268">
        <v>0</v>
      </c>
      <c r="Y268">
        <v>0</v>
      </c>
      <c r="Z268">
        <v>780</v>
      </c>
      <c r="AA268" t="s">
        <v>57</v>
      </c>
      <c r="AB268">
        <v>0</v>
      </c>
      <c r="AC268">
        <v>0</v>
      </c>
      <c r="AD268">
        <v>0</v>
      </c>
      <c r="AE268">
        <v>0</v>
      </c>
      <c r="AF268" t="s">
        <v>67</v>
      </c>
      <c r="AG268">
        <v>0</v>
      </c>
      <c r="AH268">
        <v>0</v>
      </c>
      <c r="AI268">
        <v>0</v>
      </c>
      <c r="AJ268">
        <v>0</v>
      </c>
      <c r="AK268" t="s">
        <v>60</v>
      </c>
      <c r="AL268">
        <v>0</v>
      </c>
      <c r="AM268">
        <v>0</v>
      </c>
      <c r="AN268">
        <v>0</v>
      </c>
      <c r="AO268">
        <v>0</v>
      </c>
      <c r="AP268" t="b">
        <v>0</v>
      </c>
      <c r="AQ268" t="s">
        <v>58</v>
      </c>
      <c r="AR268" t="s">
        <v>58</v>
      </c>
      <c r="AS268" t="s">
        <v>71</v>
      </c>
      <c r="AT268">
        <v>14</v>
      </c>
      <c r="AU268">
        <v>14</v>
      </c>
      <c r="AV268">
        <v>5</v>
      </c>
      <c r="AW268">
        <v>11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s">
        <v>61</v>
      </c>
      <c r="BF268" t="s">
        <v>57</v>
      </c>
      <c r="BG268" t="s">
        <v>55</v>
      </c>
      <c r="BH268" t="s">
        <v>58</v>
      </c>
      <c r="BI268" t="s">
        <v>58</v>
      </c>
    </row>
    <row r="269" spans="1:61" x14ac:dyDescent="0.25">
      <c r="A269" t="str" cm="1">
        <f t="array" ref="A269">_xlfn.IFS(AS269="RegularSeason",C269,AS269&lt;&gt;"RegularSeason",R269)</f>
        <v>00101101010010100000000000010101</v>
      </c>
      <c r="B269" t="str" cm="1">
        <f t="array" ref="B269">_xlfn.IFS(AS269="RegularSeason",D269,AS269&lt;&gt;"RegularSeason",K269)</f>
        <v>00101101010010100000000000011010</v>
      </c>
      <c r="C269" t="str">
        <f t="shared" si="12"/>
        <v>00101101010010100000000000010101</v>
      </c>
      <c r="D269" t="str">
        <f t="shared" si="13"/>
        <v>00101101010010100000000000011010</v>
      </c>
      <c r="E269" t="str" cm="1">
        <f t="array" ref="E269">_xlfn.XLOOKUP(_xlfn.XLOOKUP(G269,New!A:A,New!M:M,NONE),TeamIdentity!A:A,TeamIdentity!C:C,NONE)</f>
        <v>00010101</v>
      </c>
      <c r="F269" t="str" cm="1">
        <f t="array" ref="F269">_xlfn.XLOOKUP(_xlfn.XLOOKUP(G269,New!A:A,New!F:F,NONE),TeamIdentity!A:A,TeamIdentity!C:C,NONE)</f>
        <v>00011010</v>
      </c>
      <c r="G269" t="str">
        <f t="shared" si="14"/>
        <v>14-6</v>
      </c>
      <c r="H269" t="s">
        <v>54</v>
      </c>
      <c r="I269" t="s">
        <v>54</v>
      </c>
      <c r="J269" t="s">
        <v>54</v>
      </c>
      <c r="K269" t="s">
        <v>524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519</v>
      </c>
      <c r="S269">
        <v>-1</v>
      </c>
      <c r="T269">
        <v>0</v>
      </c>
      <c r="U269">
        <v>-1</v>
      </c>
      <c r="V269">
        <v>0</v>
      </c>
      <c r="W269" t="s">
        <v>70</v>
      </c>
      <c r="X269">
        <v>0</v>
      </c>
      <c r="Y269">
        <v>0</v>
      </c>
      <c r="Z269">
        <v>780</v>
      </c>
      <c r="AA269" t="s">
        <v>57</v>
      </c>
      <c r="AB269">
        <v>0</v>
      </c>
      <c r="AC269">
        <v>0</v>
      </c>
      <c r="AD269">
        <v>0</v>
      </c>
      <c r="AE269">
        <v>0</v>
      </c>
      <c r="AF269" t="s">
        <v>67</v>
      </c>
      <c r="AG269">
        <v>0</v>
      </c>
      <c r="AH269">
        <v>0</v>
      </c>
      <c r="AI269">
        <v>0</v>
      </c>
      <c r="AJ269">
        <v>0</v>
      </c>
      <c r="AK269" t="s">
        <v>60</v>
      </c>
      <c r="AL269">
        <v>0</v>
      </c>
      <c r="AM269">
        <v>0</v>
      </c>
      <c r="AN269">
        <v>0</v>
      </c>
      <c r="AO269">
        <v>0</v>
      </c>
      <c r="AP269" t="b">
        <v>0</v>
      </c>
      <c r="AQ269" t="s">
        <v>58</v>
      </c>
      <c r="AR269" t="s">
        <v>58</v>
      </c>
      <c r="AS269" t="s">
        <v>71</v>
      </c>
      <c r="AT269">
        <v>14</v>
      </c>
      <c r="AU269">
        <v>14</v>
      </c>
      <c r="AV269">
        <v>6</v>
      </c>
      <c r="AW269">
        <v>11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s">
        <v>61</v>
      </c>
      <c r="BF269" t="s">
        <v>57</v>
      </c>
      <c r="BG269" t="s">
        <v>55</v>
      </c>
      <c r="BH269" t="s">
        <v>58</v>
      </c>
      <c r="BI269" t="s">
        <v>58</v>
      </c>
    </row>
    <row r="270" spans="1:61" x14ac:dyDescent="0.25">
      <c r="A270" t="str" cm="1">
        <f t="array" ref="A270">_xlfn.IFS(AS270="RegularSeason",C270,AS270&lt;&gt;"RegularSeason",R270)</f>
        <v>00101101010010100000000000011101</v>
      </c>
      <c r="B270" t="str" cm="1">
        <f t="array" ref="B270">_xlfn.IFS(AS270="RegularSeason",D270,AS270&lt;&gt;"RegularSeason",K270)</f>
        <v>00101101010010100000000000000111</v>
      </c>
      <c r="C270" t="str">
        <f t="shared" si="12"/>
        <v>00101101010010100000000000011101</v>
      </c>
      <c r="D270" t="str">
        <f t="shared" si="13"/>
        <v>00101101010010100000000000000111</v>
      </c>
      <c r="E270" t="str" cm="1">
        <f t="array" ref="E270">_xlfn.XLOOKUP(_xlfn.XLOOKUP(G270,New!A:A,New!M:M,NONE),TeamIdentity!A:A,TeamIdentity!C:C,NONE)</f>
        <v>00011101</v>
      </c>
      <c r="F270" t="str" cm="1">
        <f t="array" ref="F270">_xlfn.XLOOKUP(_xlfn.XLOOKUP(G270,New!A:A,New!F:F,NONE),TeamIdentity!A:A,TeamIdentity!C:C,NONE)</f>
        <v>00000111</v>
      </c>
      <c r="G270" t="str">
        <f t="shared" si="14"/>
        <v>12-6</v>
      </c>
      <c r="H270" t="s">
        <v>54</v>
      </c>
      <c r="I270" t="s">
        <v>54</v>
      </c>
      <c r="J270" t="s">
        <v>54</v>
      </c>
      <c r="K270" t="s">
        <v>534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517</v>
      </c>
      <c r="S270">
        <v>-1</v>
      </c>
      <c r="T270">
        <v>0</v>
      </c>
      <c r="U270">
        <v>-1</v>
      </c>
      <c r="V270">
        <v>0</v>
      </c>
      <c r="W270" t="s">
        <v>70</v>
      </c>
      <c r="X270">
        <v>0</v>
      </c>
      <c r="Y270">
        <v>0</v>
      </c>
      <c r="Z270">
        <v>780</v>
      </c>
      <c r="AA270" t="s">
        <v>57</v>
      </c>
      <c r="AB270">
        <v>0</v>
      </c>
      <c r="AC270">
        <v>0</v>
      </c>
      <c r="AD270">
        <v>0</v>
      </c>
      <c r="AE270">
        <v>0</v>
      </c>
      <c r="AF270" t="s">
        <v>67</v>
      </c>
      <c r="AG270">
        <v>0</v>
      </c>
      <c r="AH270">
        <v>0</v>
      </c>
      <c r="AI270">
        <v>0</v>
      </c>
      <c r="AJ270">
        <v>0</v>
      </c>
      <c r="AK270" t="s">
        <v>60</v>
      </c>
      <c r="AL270">
        <v>0</v>
      </c>
      <c r="AM270">
        <v>0</v>
      </c>
      <c r="AN270">
        <v>0</v>
      </c>
      <c r="AO270">
        <v>0</v>
      </c>
      <c r="AP270" t="b">
        <v>0</v>
      </c>
      <c r="AQ270" t="s">
        <v>58</v>
      </c>
      <c r="AR270" t="s">
        <v>58</v>
      </c>
      <c r="AS270" t="s">
        <v>71</v>
      </c>
      <c r="AT270">
        <v>14</v>
      </c>
      <c r="AU270">
        <v>12</v>
      </c>
      <c r="AV270">
        <v>6</v>
      </c>
      <c r="AW270">
        <v>11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s">
        <v>61</v>
      </c>
      <c r="BF270" t="s">
        <v>57</v>
      </c>
      <c r="BG270" t="s">
        <v>55</v>
      </c>
      <c r="BH270" t="s">
        <v>58</v>
      </c>
      <c r="BI270" t="s">
        <v>58</v>
      </c>
    </row>
    <row r="271" spans="1:61" x14ac:dyDescent="0.25">
      <c r="A271" t="str" cm="1">
        <f t="array" ref="A271">_xlfn.IFS(AS271="RegularSeason",C271,AS271&lt;&gt;"RegularSeason",R271)</f>
        <v>00101101010010100000000000100010</v>
      </c>
      <c r="B271" t="str" cm="1">
        <f t="array" ref="B271">_xlfn.IFS(AS271="RegularSeason",D271,AS271&lt;&gt;"RegularSeason",K271)</f>
        <v>00101101010010100000000000001100</v>
      </c>
      <c r="C271" t="str">
        <f t="shared" si="12"/>
        <v>00101101010010100000000000100010</v>
      </c>
      <c r="D271" t="str">
        <f t="shared" si="13"/>
        <v>00101101010010100000000000001100</v>
      </c>
      <c r="E271" t="str" cm="1">
        <f t="array" ref="E271">_xlfn.XLOOKUP(_xlfn.XLOOKUP(G271,New!A:A,New!M:M,NONE),TeamIdentity!A:A,TeamIdentity!C:C,NONE)</f>
        <v>00100010</v>
      </c>
      <c r="F271" t="str" cm="1">
        <f t="array" ref="F271">_xlfn.XLOOKUP(_xlfn.XLOOKUP(G271,New!A:A,New!F:F,NONE),TeamIdentity!A:A,TeamIdentity!C:C,NONE)</f>
        <v>00001100</v>
      </c>
      <c r="G271" t="str">
        <f t="shared" si="14"/>
        <v>13-12</v>
      </c>
      <c r="H271" t="s">
        <v>54</v>
      </c>
      <c r="I271" t="s">
        <v>54</v>
      </c>
      <c r="J271" t="s">
        <v>54</v>
      </c>
      <c r="K271" t="s">
        <v>513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523</v>
      </c>
      <c r="S271">
        <v>-1</v>
      </c>
      <c r="T271">
        <v>0</v>
      </c>
      <c r="U271">
        <v>-1</v>
      </c>
      <c r="V271">
        <v>0</v>
      </c>
      <c r="W271" t="s">
        <v>70</v>
      </c>
      <c r="X271">
        <v>0</v>
      </c>
      <c r="Y271">
        <v>0</v>
      </c>
      <c r="Z271">
        <v>1230</v>
      </c>
      <c r="AA271" t="s">
        <v>57</v>
      </c>
      <c r="AB271">
        <v>0</v>
      </c>
      <c r="AC271">
        <v>0</v>
      </c>
      <c r="AD271">
        <v>0</v>
      </c>
      <c r="AE271">
        <v>0</v>
      </c>
      <c r="AF271" t="s">
        <v>65</v>
      </c>
      <c r="AG271">
        <v>0</v>
      </c>
      <c r="AH271">
        <v>0</v>
      </c>
      <c r="AI271">
        <v>0</v>
      </c>
      <c r="AJ271">
        <v>0</v>
      </c>
      <c r="AK271" t="s">
        <v>65</v>
      </c>
      <c r="AL271">
        <v>0</v>
      </c>
      <c r="AM271">
        <v>0</v>
      </c>
      <c r="AN271">
        <v>0</v>
      </c>
      <c r="AO271">
        <v>0</v>
      </c>
      <c r="AP271" t="b">
        <v>0</v>
      </c>
      <c r="AQ271" t="s">
        <v>58</v>
      </c>
      <c r="AR271" t="s">
        <v>58</v>
      </c>
      <c r="AS271" t="s">
        <v>71</v>
      </c>
      <c r="AT271">
        <v>14</v>
      </c>
      <c r="AU271">
        <v>13</v>
      </c>
      <c r="AV271">
        <v>12</v>
      </c>
      <c r="AW271">
        <v>11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s">
        <v>61</v>
      </c>
      <c r="BF271" t="s">
        <v>57</v>
      </c>
      <c r="BG271" t="s">
        <v>55</v>
      </c>
      <c r="BH271" t="s">
        <v>58</v>
      </c>
      <c r="BI271" t="s">
        <v>58</v>
      </c>
    </row>
    <row r="272" spans="1:61" x14ac:dyDescent="0.25">
      <c r="A272" t="str" cm="1">
        <f t="array" ref="A272">_xlfn.IFS(AS272="RegularSeason",C272,AS272&lt;&gt;"RegularSeason",R272)</f>
        <v>00101101010010100000000000010101</v>
      </c>
      <c r="B272" t="str" cm="1">
        <f t="array" ref="B272">_xlfn.IFS(AS272="RegularSeason",D272,AS272&lt;&gt;"RegularSeason",K272)</f>
        <v>00101101010010100000000000001010</v>
      </c>
      <c r="C272" t="str">
        <f t="shared" si="12"/>
        <v>00101101010010100000000000010101</v>
      </c>
      <c r="D272" t="str">
        <f t="shared" si="13"/>
        <v>00101101010010100000000000001010</v>
      </c>
      <c r="E272" t="str" cm="1">
        <f t="array" ref="E272">_xlfn.XLOOKUP(_xlfn.XLOOKUP(G272,New!A:A,New!M:M,NONE),TeamIdentity!A:A,TeamIdentity!C:C,NONE)</f>
        <v>00010101</v>
      </c>
      <c r="F272" t="str" cm="1">
        <f t="array" ref="F272">_xlfn.XLOOKUP(_xlfn.XLOOKUP(G272,New!A:A,New!F:F,NONE),TeamIdentity!A:A,TeamIdentity!C:C,NONE)</f>
        <v>00001010</v>
      </c>
      <c r="G272" t="str">
        <f t="shared" si="14"/>
        <v>15-14</v>
      </c>
      <c r="H272" t="s">
        <v>54</v>
      </c>
      <c r="I272" t="s">
        <v>54</v>
      </c>
      <c r="J272" t="s">
        <v>54</v>
      </c>
      <c r="K272" t="s">
        <v>530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527</v>
      </c>
      <c r="S272">
        <v>-1</v>
      </c>
      <c r="T272">
        <v>0</v>
      </c>
      <c r="U272">
        <v>-1</v>
      </c>
      <c r="V272">
        <v>0</v>
      </c>
      <c r="W272" t="s">
        <v>70</v>
      </c>
      <c r="X272">
        <v>0</v>
      </c>
      <c r="Y272">
        <v>0</v>
      </c>
      <c r="Z272">
        <v>1230</v>
      </c>
      <c r="AA272" t="s">
        <v>57</v>
      </c>
      <c r="AB272">
        <v>0</v>
      </c>
      <c r="AC272">
        <v>0</v>
      </c>
      <c r="AD272">
        <v>0</v>
      </c>
      <c r="AE272">
        <v>0</v>
      </c>
      <c r="AF272" t="s">
        <v>65</v>
      </c>
      <c r="AG272">
        <v>0</v>
      </c>
      <c r="AH272">
        <v>0</v>
      </c>
      <c r="AI272">
        <v>0</v>
      </c>
      <c r="AJ272">
        <v>0</v>
      </c>
      <c r="AK272" t="s">
        <v>65</v>
      </c>
      <c r="AL272">
        <v>0</v>
      </c>
      <c r="AM272">
        <v>0</v>
      </c>
      <c r="AN272">
        <v>0</v>
      </c>
      <c r="AO272">
        <v>0</v>
      </c>
      <c r="AP272" t="b">
        <v>0</v>
      </c>
      <c r="AQ272" t="s">
        <v>58</v>
      </c>
      <c r="AR272" t="s">
        <v>58</v>
      </c>
      <c r="AS272" t="s">
        <v>71</v>
      </c>
      <c r="AT272">
        <v>14</v>
      </c>
      <c r="AU272">
        <v>15</v>
      </c>
      <c r="AV272">
        <v>14</v>
      </c>
      <c r="AW272">
        <v>11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s">
        <v>61</v>
      </c>
      <c r="BF272" t="s">
        <v>57</v>
      </c>
      <c r="BG272" t="s">
        <v>55</v>
      </c>
      <c r="BH272" t="s">
        <v>58</v>
      </c>
      <c r="BI272" t="s">
        <v>58</v>
      </c>
    </row>
    <row r="273" spans="1:61" x14ac:dyDescent="0.25">
      <c r="A273" t="str" cm="1">
        <f t="array" ref="A273">_xlfn.IFS(AS273="RegularSeason",C273,AS273&lt;&gt;"RegularSeason",R273)</f>
        <v>00101101010010100000000000100010</v>
      </c>
      <c r="B273" t="str" cm="1">
        <f t="array" ref="B273">_xlfn.IFS(AS273="RegularSeason",D273,AS273&lt;&gt;"RegularSeason",K273)</f>
        <v>00101101010010100000000000010001</v>
      </c>
      <c r="C273" t="str">
        <f t="shared" si="12"/>
        <v>00101101010010100000000000100010</v>
      </c>
      <c r="D273" t="str">
        <f t="shared" si="13"/>
        <v>00101101010010100000000000010001</v>
      </c>
      <c r="E273" t="str" cm="1">
        <f t="array" ref="E273">_xlfn.XLOOKUP(_xlfn.XLOOKUP(G273,New!A:A,New!M:M,NONE),TeamIdentity!A:A,TeamIdentity!C:C,NONE)</f>
        <v>00100010</v>
      </c>
      <c r="F273" t="str" cm="1">
        <f t="array" ref="F273">_xlfn.XLOOKUP(_xlfn.XLOOKUP(G273,New!A:A,New!F:F,NONE),TeamIdentity!A:A,TeamIdentity!C:C,NONE)</f>
        <v>00010001</v>
      </c>
      <c r="G273" t="str">
        <f t="shared" si="14"/>
        <v>16-8</v>
      </c>
      <c r="H273" t="s">
        <v>54</v>
      </c>
      <c r="I273" t="s">
        <v>54</v>
      </c>
      <c r="J273" t="s">
        <v>54</v>
      </c>
      <c r="K273" t="s">
        <v>541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538</v>
      </c>
      <c r="S273">
        <v>-1</v>
      </c>
      <c r="T273">
        <v>0</v>
      </c>
      <c r="U273">
        <v>-1</v>
      </c>
      <c r="V273">
        <v>0</v>
      </c>
      <c r="W273" t="s">
        <v>70</v>
      </c>
      <c r="X273">
        <v>0</v>
      </c>
      <c r="Y273">
        <v>0</v>
      </c>
      <c r="Z273">
        <v>965</v>
      </c>
      <c r="AA273" t="s">
        <v>57</v>
      </c>
      <c r="AB273">
        <v>0</v>
      </c>
      <c r="AC273">
        <v>0</v>
      </c>
      <c r="AD273">
        <v>0</v>
      </c>
      <c r="AE273">
        <v>0</v>
      </c>
      <c r="AF273" t="s">
        <v>67</v>
      </c>
      <c r="AG273">
        <v>0</v>
      </c>
      <c r="AH273">
        <v>0</v>
      </c>
      <c r="AI273">
        <v>0</v>
      </c>
      <c r="AJ273">
        <v>0</v>
      </c>
      <c r="AK273" t="s">
        <v>60</v>
      </c>
      <c r="AL273">
        <v>0</v>
      </c>
      <c r="AM273">
        <v>0</v>
      </c>
      <c r="AN273">
        <v>0</v>
      </c>
      <c r="AO273">
        <v>0</v>
      </c>
      <c r="AP273" t="b">
        <v>0</v>
      </c>
      <c r="AQ273" t="s">
        <v>58</v>
      </c>
      <c r="AR273" t="s">
        <v>58</v>
      </c>
      <c r="AS273" t="s">
        <v>71</v>
      </c>
      <c r="AT273">
        <v>14</v>
      </c>
      <c r="AU273">
        <v>16</v>
      </c>
      <c r="AV273">
        <v>8</v>
      </c>
      <c r="AW273">
        <v>11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s">
        <v>61</v>
      </c>
      <c r="BF273" t="s">
        <v>57</v>
      </c>
      <c r="BG273" t="s">
        <v>55</v>
      </c>
      <c r="BH273" t="s">
        <v>58</v>
      </c>
      <c r="BI273" t="s">
        <v>58</v>
      </c>
    </row>
    <row r="274" spans="1:61" x14ac:dyDescent="0.25">
      <c r="A274" t="str" cm="1">
        <f t="array" ref="A274">_xlfn.IFS(AS274="RegularSeason",C274,AS274&lt;&gt;"RegularSeason",R274)</f>
        <v>00101101010010100000000000000110</v>
      </c>
      <c r="B274" t="str" cm="1">
        <f t="array" ref="B274">_xlfn.IFS(AS274="RegularSeason",D274,AS274&lt;&gt;"RegularSeason",K274)</f>
        <v>00101101010010100000000000001111</v>
      </c>
      <c r="C274" t="str">
        <f t="shared" si="12"/>
        <v>00101101010010100000000000000110</v>
      </c>
      <c r="D274" t="str">
        <f t="shared" si="13"/>
        <v>00101101010010100000000000001111</v>
      </c>
      <c r="E274" t="str" cm="1">
        <f t="array" ref="E274">_xlfn.XLOOKUP(_xlfn.XLOOKUP(G274,New!A:A,New!M:M,NONE),TeamIdentity!A:A,TeamIdentity!C:C,NONE)</f>
        <v>00000110</v>
      </c>
      <c r="F274" t="str" cm="1">
        <f t="array" ref="F274">_xlfn.XLOOKUP(_xlfn.XLOOKUP(G274,New!A:A,New!F:F,NONE),TeamIdentity!A:A,TeamIdentity!C:C,NONE)</f>
        <v>00001111</v>
      </c>
      <c r="G274" t="str">
        <f t="shared" si="14"/>
        <v>16-0</v>
      </c>
      <c r="H274" t="s">
        <v>54</v>
      </c>
      <c r="I274" t="s">
        <v>54</v>
      </c>
      <c r="J274" t="s">
        <v>54</v>
      </c>
      <c r="K274" t="s">
        <v>512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521</v>
      </c>
      <c r="S274">
        <v>-1</v>
      </c>
      <c r="T274">
        <v>0</v>
      </c>
      <c r="U274">
        <v>-1</v>
      </c>
      <c r="V274">
        <v>0</v>
      </c>
      <c r="W274" t="s">
        <v>70</v>
      </c>
      <c r="X274">
        <v>0</v>
      </c>
      <c r="Y274">
        <v>0</v>
      </c>
      <c r="Z274">
        <v>780</v>
      </c>
      <c r="AA274" t="s">
        <v>57</v>
      </c>
      <c r="AB274">
        <v>0</v>
      </c>
      <c r="AC274">
        <v>0</v>
      </c>
      <c r="AD274">
        <v>0</v>
      </c>
      <c r="AE274">
        <v>0</v>
      </c>
      <c r="AF274" t="s">
        <v>67</v>
      </c>
      <c r="AG274">
        <v>0</v>
      </c>
      <c r="AH274">
        <v>0</v>
      </c>
      <c r="AI274">
        <v>0</v>
      </c>
      <c r="AJ274">
        <v>0</v>
      </c>
      <c r="AK274" t="s">
        <v>60</v>
      </c>
      <c r="AL274">
        <v>0</v>
      </c>
      <c r="AM274">
        <v>0</v>
      </c>
      <c r="AN274">
        <v>0</v>
      </c>
      <c r="AO274">
        <v>0</v>
      </c>
      <c r="AP274" t="b">
        <v>0</v>
      </c>
      <c r="AQ274" t="s">
        <v>58</v>
      </c>
      <c r="AR274" t="s">
        <v>58</v>
      </c>
      <c r="AS274" t="s">
        <v>71</v>
      </c>
      <c r="AT274">
        <v>14</v>
      </c>
      <c r="AU274">
        <v>16</v>
      </c>
      <c r="AV274">
        <v>0</v>
      </c>
      <c r="AW274">
        <v>11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s">
        <v>61</v>
      </c>
      <c r="BF274" t="s">
        <v>57</v>
      </c>
      <c r="BG274" t="s">
        <v>55</v>
      </c>
      <c r="BH274" t="s">
        <v>58</v>
      </c>
      <c r="BI274" t="s">
        <v>58</v>
      </c>
    </row>
    <row r="275" spans="1:61" x14ac:dyDescent="0.25">
      <c r="A275" t="str" cm="1">
        <f t="array" ref="A275">_xlfn.IFS(AS275="RegularSeason",C275,AS275&lt;&gt;"RegularSeason",R275)</f>
        <v>00101101010010100000000000010001</v>
      </c>
      <c r="B275" t="str" cm="1">
        <f t="array" ref="B275">_xlfn.IFS(AS275="RegularSeason",D275,AS275&lt;&gt;"RegularSeason",K275)</f>
        <v>00101101010010100000000000100000</v>
      </c>
      <c r="C275" t="str">
        <f t="shared" si="12"/>
        <v>00101101010010100000000000010001</v>
      </c>
      <c r="D275" t="str">
        <f t="shared" si="13"/>
        <v>00101101010010100000000000100000</v>
      </c>
      <c r="E275" t="str" cm="1">
        <f t="array" ref="E275">_xlfn.XLOOKUP(_xlfn.XLOOKUP(G275,New!A:A,New!M:M,NONE),TeamIdentity!A:A,TeamIdentity!C:C,NONE)</f>
        <v>00010001</v>
      </c>
      <c r="F275" t="str" cm="1">
        <f t="array" ref="F275">_xlfn.XLOOKUP(_xlfn.XLOOKUP(G275,New!A:A,New!F:F,NONE),TeamIdentity!A:A,TeamIdentity!C:C,NONE)</f>
        <v>00100000</v>
      </c>
      <c r="G275" t="str">
        <f t="shared" si="14"/>
        <v>15-11</v>
      </c>
      <c r="H275" t="s">
        <v>54</v>
      </c>
      <c r="I275" t="s">
        <v>54</v>
      </c>
      <c r="J275" t="s">
        <v>54</v>
      </c>
      <c r="K275" t="s">
        <v>542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538</v>
      </c>
      <c r="S275">
        <v>-1</v>
      </c>
      <c r="T275">
        <v>0</v>
      </c>
      <c r="U275">
        <v>-1</v>
      </c>
      <c r="V275">
        <v>0</v>
      </c>
      <c r="W275" t="s">
        <v>70</v>
      </c>
      <c r="X275">
        <v>0</v>
      </c>
      <c r="Y275">
        <v>0</v>
      </c>
      <c r="Z275">
        <v>975</v>
      </c>
      <c r="AA275" t="s">
        <v>57</v>
      </c>
      <c r="AB275">
        <v>0</v>
      </c>
      <c r="AC275">
        <v>0</v>
      </c>
      <c r="AD275">
        <v>0</v>
      </c>
      <c r="AE275">
        <v>0</v>
      </c>
      <c r="AF275" t="s">
        <v>67</v>
      </c>
      <c r="AG275">
        <v>0</v>
      </c>
      <c r="AH275">
        <v>0</v>
      </c>
      <c r="AI275">
        <v>0</v>
      </c>
      <c r="AJ275">
        <v>0</v>
      </c>
      <c r="AK275" t="s">
        <v>60</v>
      </c>
      <c r="AL275">
        <v>0</v>
      </c>
      <c r="AM275">
        <v>0</v>
      </c>
      <c r="AN275">
        <v>0</v>
      </c>
      <c r="AO275">
        <v>0</v>
      </c>
      <c r="AP275" t="b">
        <v>0</v>
      </c>
      <c r="AQ275" t="s">
        <v>58</v>
      </c>
      <c r="AR275" t="s">
        <v>58</v>
      </c>
      <c r="AS275" t="s">
        <v>71</v>
      </c>
      <c r="AT275">
        <v>14</v>
      </c>
      <c r="AU275">
        <v>15</v>
      </c>
      <c r="AV275">
        <v>11</v>
      </c>
      <c r="AW275">
        <v>11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s">
        <v>61</v>
      </c>
      <c r="BF275" t="s">
        <v>57</v>
      </c>
      <c r="BG275" t="s">
        <v>55</v>
      </c>
      <c r="BH275" t="s">
        <v>58</v>
      </c>
      <c r="BI275" t="s">
        <v>58</v>
      </c>
    </row>
    <row r="276" spans="1:61" x14ac:dyDescent="0.25">
      <c r="A276" t="str" cm="1">
        <f t="array" ref="A276">_xlfn.IFS(AS276="RegularSeason",C276,AS276&lt;&gt;"RegularSeason",R276)</f>
        <v>00101101010010100000000000000000</v>
      </c>
      <c r="B276" t="str" cm="1">
        <f t="array" ref="B276">_xlfn.IFS(AS276="RegularSeason",D276,AS276&lt;&gt;"RegularSeason",K276)</f>
        <v>00101101010010100000000000100011</v>
      </c>
      <c r="C276" t="str">
        <f t="shared" si="12"/>
        <v>00101101010010100000000000000000</v>
      </c>
      <c r="D276" t="str">
        <f t="shared" si="13"/>
        <v>00101101010010100000000000100011</v>
      </c>
      <c r="E276" t="str" cm="1">
        <f t="array" ref="E276">_xlfn.XLOOKUP(_xlfn.XLOOKUP(G276,New!A:A,New!M:M,NONE),TeamIdentity!A:A,TeamIdentity!C:C,NONE)</f>
        <v>00000000</v>
      </c>
      <c r="F276" t="str" cm="1">
        <f t="array" ref="F276">_xlfn.XLOOKUP(_xlfn.XLOOKUP(G276,New!A:A,New!F:F,NONE),TeamIdentity!A:A,TeamIdentity!C:C,NONE)</f>
        <v>00100011</v>
      </c>
      <c r="G276" t="str">
        <f t="shared" si="14"/>
        <v>15-1</v>
      </c>
      <c r="H276" t="s">
        <v>54</v>
      </c>
      <c r="I276" t="s">
        <v>54</v>
      </c>
      <c r="J276" t="s">
        <v>54</v>
      </c>
      <c r="K276" t="s">
        <v>514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522</v>
      </c>
      <c r="S276">
        <v>-1</v>
      </c>
      <c r="T276">
        <v>0</v>
      </c>
      <c r="U276">
        <v>-1</v>
      </c>
      <c r="V276">
        <v>0</v>
      </c>
      <c r="W276" t="s">
        <v>70</v>
      </c>
      <c r="X276">
        <v>0</v>
      </c>
      <c r="Y276">
        <v>0</v>
      </c>
      <c r="Z276">
        <v>780</v>
      </c>
      <c r="AA276" t="s">
        <v>57</v>
      </c>
      <c r="AB276">
        <v>0</v>
      </c>
      <c r="AC276">
        <v>0</v>
      </c>
      <c r="AD276">
        <v>0</v>
      </c>
      <c r="AE276">
        <v>0</v>
      </c>
      <c r="AF276" t="s">
        <v>67</v>
      </c>
      <c r="AG276">
        <v>0</v>
      </c>
      <c r="AH276">
        <v>0</v>
      </c>
      <c r="AI276">
        <v>0</v>
      </c>
      <c r="AJ276">
        <v>0</v>
      </c>
      <c r="AK276" t="s">
        <v>60</v>
      </c>
      <c r="AL276">
        <v>0</v>
      </c>
      <c r="AM276">
        <v>0</v>
      </c>
      <c r="AN276">
        <v>0</v>
      </c>
      <c r="AO276">
        <v>0</v>
      </c>
      <c r="AP276" t="b">
        <v>0</v>
      </c>
      <c r="AQ276" t="s">
        <v>58</v>
      </c>
      <c r="AR276" t="s">
        <v>58</v>
      </c>
      <c r="AS276" t="s">
        <v>71</v>
      </c>
      <c r="AT276">
        <v>14</v>
      </c>
      <c r="AU276">
        <v>15</v>
      </c>
      <c r="AV276">
        <v>1</v>
      </c>
      <c r="AW276">
        <v>11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s">
        <v>61</v>
      </c>
      <c r="BF276" t="s">
        <v>57</v>
      </c>
      <c r="BG276" t="s">
        <v>55</v>
      </c>
      <c r="BH276" t="s">
        <v>58</v>
      </c>
      <c r="BI276" t="s">
        <v>58</v>
      </c>
    </row>
    <row r="277" spans="1:61" x14ac:dyDescent="0.25">
      <c r="A277" t="str" cm="1">
        <f t="array" ref="A277">_xlfn.IFS(AS277="RegularSeason",C277,AS277&lt;&gt;"RegularSeason",R277)</f>
        <v>00101101010010100000000000001101</v>
      </c>
      <c r="B277" t="str" cm="1">
        <f t="array" ref="B277">_xlfn.IFS(AS277="RegularSeason",D277,AS277&lt;&gt;"RegularSeason",K277)</f>
        <v>00101101010010100000000000010000</v>
      </c>
      <c r="C277" t="str">
        <f t="shared" si="12"/>
        <v>00101101010010100000000000001101</v>
      </c>
      <c r="D277" t="str">
        <f t="shared" si="13"/>
        <v>00101101010010100000000000010000</v>
      </c>
      <c r="E277" t="str" cm="1">
        <f t="array" ref="E277">_xlfn.XLOOKUP(_xlfn.XLOOKUP(G277,New!A:A,New!M:M,NONE),TeamIdentity!A:A,TeamIdentity!C:C,NONE)</f>
        <v>00001101</v>
      </c>
      <c r="F277" t="str" cm="1">
        <f t="array" ref="F277">_xlfn.XLOOKUP(_xlfn.XLOOKUP(G277,New!A:A,New!F:F,NONE),TeamIdentity!A:A,TeamIdentity!C:C,NONE)</f>
        <v>00010000</v>
      </c>
      <c r="G277" t="str">
        <f t="shared" si="14"/>
        <v>15-2</v>
      </c>
      <c r="H277" t="s">
        <v>54</v>
      </c>
      <c r="I277" t="s">
        <v>54</v>
      </c>
      <c r="J277" t="s">
        <v>54</v>
      </c>
      <c r="K277" t="s">
        <v>528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536</v>
      </c>
      <c r="S277">
        <v>-1</v>
      </c>
      <c r="T277">
        <v>0</v>
      </c>
      <c r="U277">
        <v>-1</v>
      </c>
      <c r="V277">
        <v>0</v>
      </c>
      <c r="W277" t="s">
        <v>70</v>
      </c>
      <c r="X277">
        <v>0</v>
      </c>
      <c r="Y277">
        <v>0</v>
      </c>
      <c r="Z277">
        <v>780</v>
      </c>
      <c r="AA277" t="s">
        <v>57</v>
      </c>
      <c r="AB277">
        <v>0</v>
      </c>
      <c r="AC277">
        <v>0</v>
      </c>
      <c r="AD277">
        <v>0</v>
      </c>
      <c r="AE277">
        <v>0</v>
      </c>
      <c r="AF277" t="s">
        <v>67</v>
      </c>
      <c r="AG277">
        <v>0</v>
      </c>
      <c r="AH277">
        <v>0</v>
      </c>
      <c r="AI277">
        <v>0</v>
      </c>
      <c r="AJ277">
        <v>0</v>
      </c>
      <c r="AK277" t="s">
        <v>60</v>
      </c>
      <c r="AL277">
        <v>0</v>
      </c>
      <c r="AM277">
        <v>0</v>
      </c>
      <c r="AN277">
        <v>0</v>
      </c>
      <c r="AO277">
        <v>0</v>
      </c>
      <c r="AP277" t="b">
        <v>0</v>
      </c>
      <c r="AQ277" t="s">
        <v>58</v>
      </c>
      <c r="AR277" t="s">
        <v>58</v>
      </c>
      <c r="AS277" t="s">
        <v>71</v>
      </c>
      <c r="AT277">
        <v>14</v>
      </c>
      <c r="AU277">
        <v>15</v>
      </c>
      <c r="AV277">
        <v>2</v>
      </c>
      <c r="AW277">
        <v>11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s">
        <v>61</v>
      </c>
      <c r="BF277" t="s">
        <v>57</v>
      </c>
      <c r="BG277" t="s">
        <v>55</v>
      </c>
      <c r="BH277" t="s">
        <v>58</v>
      </c>
      <c r="BI277" t="s">
        <v>58</v>
      </c>
    </row>
    <row r="278" spans="1:61" x14ac:dyDescent="0.25">
      <c r="A278" t="str" cm="1">
        <f t="array" ref="A278">_xlfn.IFS(AS278="RegularSeason",C278,AS278&lt;&gt;"RegularSeason",R278)</f>
        <v>00101101010010100000000000100001</v>
      </c>
      <c r="B278" t="str" cm="1">
        <f t="array" ref="B278">_xlfn.IFS(AS278="RegularSeason",D278,AS278&lt;&gt;"RegularSeason",K278)</f>
        <v>00101101010010100000000000011011</v>
      </c>
      <c r="C278" t="str">
        <f t="shared" si="12"/>
        <v>00101101010010100000000000100001</v>
      </c>
      <c r="D278" t="str">
        <f t="shared" si="13"/>
        <v>00101101010010100000000000011011</v>
      </c>
      <c r="E278" t="str" cm="1">
        <f t="array" ref="E278">_xlfn.XLOOKUP(_xlfn.XLOOKUP(G278,New!A:A,New!M:M,NONE),TeamIdentity!A:A,TeamIdentity!C:C,NONE)</f>
        <v>00100001</v>
      </c>
      <c r="F278" t="str" cm="1">
        <f t="array" ref="F278">_xlfn.XLOOKUP(_xlfn.XLOOKUP(G278,New!A:A,New!F:F,NONE),TeamIdentity!A:A,TeamIdentity!C:C,NONE)</f>
        <v>00011011</v>
      </c>
      <c r="G278" t="str">
        <f t="shared" si="14"/>
        <v>14-10</v>
      </c>
      <c r="H278" t="s">
        <v>54</v>
      </c>
      <c r="I278" t="s">
        <v>54</v>
      </c>
      <c r="J278" t="s">
        <v>54</v>
      </c>
      <c r="K278" t="s">
        <v>517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537</v>
      </c>
      <c r="S278">
        <v>-1</v>
      </c>
      <c r="T278">
        <v>0</v>
      </c>
      <c r="U278">
        <v>-1</v>
      </c>
      <c r="V278">
        <v>0</v>
      </c>
      <c r="W278" t="s">
        <v>70</v>
      </c>
      <c r="X278">
        <v>0</v>
      </c>
      <c r="Y278">
        <v>0</v>
      </c>
      <c r="Z278">
        <v>975</v>
      </c>
      <c r="AA278" t="s">
        <v>57</v>
      </c>
      <c r="AB278">
        <v>0</v>
      </c>
      <c r="AC278">
        <v>0</v>
      </c>
      <c r="AD278">
        <v>0</v>
      </c>
      <c r="AE278">
        <v>0</v>
      </c>
      <c r="AF278" t="s">
        <v>67</v>
      </c>
      <c r="AG278">
        <v>0</v>
      </c>
      <c r="AH278">
        <v>0</v>
      </c>
      <c r="AI278">
        <v>0</v>
      </c>
      <c r="AJ278">
        <v>0</v>
      </c>
      <c r="AK278" t="s">
        <v>60</v>
      </c>
      <c r="AL278">
        <v>0</v>
      </c>
      <c r="AM278">
        <v>0</v>
      </c>
      <c r="AN278">
        <v>0</v>
      </c>
      <c r="AO278">
        <v>0</v>
      </c>
      <c r="AP278" t="b">
        <v>0</v>
      </c>
      <c r="AQ278" t="s">
        <v>58</v>
      </c>
      <c r="AR278" t="s">
        <v>58</v>
      </c>
      <c r="AS278" t="s">
        <v>71</v>
      </c>
      <c r="AT278">
        <v>14</v>
      </c>
      <c r="AU278">
        <v>14</v>
      </c>
      <c r="AV278">
        <v>10</v>
      </c>
      <c r="AW278">
        <v>11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s">
        <v>61</v>
      </c>
      <c r="BF278" t="s">
        <v>57</v>
      </c>
      <c r="BG278" t="s">
        <v>55</v>
      </c>
      <c r="BH278" t="s">
        <v>58</v>
      </c>
      <c r="BI278" t="s">
        <v>58</v>
      </c>
    </row>
    <row r="279" spans="1:61" x14ac:dyDescent="0.25">
      <c r="A279" t="str" cm="1">
        <f t="array" ref="A279">_xlfn.IFS(AS279="RegularSeason",C279,AS279&lt;&gt;"RegularSeason",R279)</f>
        <v>00101101010010100000000000010110</v>
      </c>
      <c r="B279" t="str" cm="1">
        <f t="array" ref="B279">_xlfn.IFS(AS279="RegularSeason",D279,AS279&lt;&gt;"RegularSeason",K279)</f>
        <v>00101101010010100000000000001111</v>
      </c>
      <c r="C279" t="str">
        <f t="shared" si="12"/>
        <v>00101101010010100000000000010110</v>
      </c>
      <c r="D279" t="str">
        <f t="shared" si="13"/>
        <v>00101101010010100000000000001111</v>
      </c>
      <c r="E279" t="str" cm="1">
        <f t="array" ref="E279">_xlfn.XLOOKUP(_xlfn.XLOOKUP(G279,New!A:A,New!M:M,NONE),TeamIdentity!A:A,TeamIdentity!C:C,NONE)</f>
        <v>00010110</v>
      </c>
      <c r="F279" t="str" cm="1">
        <f t="array" ref="F279">_xlfn.XLOOKUP(_xlfn.XLOOKUP(G279,New!A:A,New!F:F,NONE),TeamIdentity!A:A,TeamIdentity!C:C,NONE)</f>
        <v>00001111</v>
      </c>
      <c r="G279" t="str">
        <f t="shared" si="14"/>
        <v>15-15</v>
      </c>
      <c r="H279" t="s">
        <v>54</v>
      </c>
      <c r="I279" t="s">
        <v>54</v>
      </c>
      <c r="J279" t="s">
        <v>54</v>
      </c>
      <c r="K279" t="s">
        <v>540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517</v>
      </c>
      <c r="S279">
        <v>-1</v>
      </c>
      <c r="T279">
        <v>0</v>
      </c>
      <c r="U279">
        <v>-1</v>
      </c>
      <c r="V279">
        <v>0</v>
      </c>
      <c r="W279" t="s">
        <v>70</v>
      </c>
      <c r="X279">
        <v>0</v>
      </c>
      <c r="Y279">
        <v>0</v>
      </c>
      <c r="Z279">
        <v>1220</v>
      </c>
      <c r="AA279" t="s">
        <v>57</v>
      </c>
      <c r="AB279">
        <v>0</v>
      </c>
      <c r="AC279">
        <v>0</v>
      </c>
      <c r="AD279">
        <v>0</v>
      </c>
      <c r="AE279">
        <v>0</v>
      </c>
      <c r="AF279" t="s">
        <v>68</v>
      </c>
      <c r="AG279">
        <v>0</v>
      </c>
      <c r="AH279">
        <v>0</v>
      </c>
      <c r="AI279">
        <v>0</v>
      </c>
      <c r="AJ279">
        <v>0</v>
      </c>
      <c r="AK279" t="s">
        <v>68</v>
      </c>
      <c r="AL279">
        <v>0</v>
      </c>
      <c r="AM279">
        <v>0</v>
      </c>
      <c r="AN279">
        <v>0</v>
      </c>
      <c r="AO279">
        <v>0</v>
      </c>
      <c r="AP279" t="b">
        <v>0</v>
      </c>
      <c r="AQ279" t="s">
        <v>58</v>
      </c>
      <c r="AR279" t="s">
        <v>58</v>
      </c>
      <c r="AS279" t="s">
        <v>71</v>
      </c>
      <c r="AT279">
        <v>14</v>
      </c>
      <c r="AU279">
        <v>15</v>
      </c>
      <c r="AV279">
        <v>15</v>
      </c>
      <c r="AW279">
        <v>11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s">
        <v>61</v>
      </c>
      <c r="BF279" t="s">
        <v>57</v>
      </c>
      <c r="BG279" t="s">
        <v>55</v>
      </c>
      <c r="BH279" t="s">
        <v>58</v>
      </c>
      <c r="BI279" t="s">
        <v>58</v>
      </c>
    </row>
    <row r="280" spans="1:61" x14ac:dyDescent="0.25">
      <c r="A280" t="str" cm="1">
        <f t="array" ref="A280">_xlfn.IFS(AS280="RegularSeason",C280,AS280&lt;&gt;"RegularSeason",R280)</f>
        <v>00101101010010100000000000000100</v>
      </c>
      <c r="B280" t="str" cm="1">
        <f t="array" ref="B280">_xlfn.IFS(AS280="RegularSeason",D280,AS280&lt;&gt;"RegularSeason",K280)</f>
        <v>00101101010010100000000000011011</v>
      </c>
      <c r="C280" t="str">
        <f t="shared" si="12"/>
        <v>00101101010010100000000000000100</v>
      </c>
      <c r="D280" t="str">
        <f t="shared" si="13"/>
        <v>00101101010010100000000000011011</v>
      </c>
      <c r="E280" t="str" cm="1">
        <f t="array" ref="E280">_xlfn.XLOOKUP(_xlfn.XLOOKUP(G280,New!A:A,New!M:M,NONE),TeamIdentity!A:A,TeamIdentity!C:C,NONE)</f>
        <v>00000100</v>
      </c>
      <c r="F280" t="str" cm="1">
        <f t="array" ref="F280">_xlfn.XLOOKUP(_xlfn.XLOOKUP(G280,New!A:A,New!F:F,NONE),TeamIdentity!A:A,TeamIdentity!C:C,NONE)</f>
        <v>00011011</v>
      </c>
      <c r="G280" t="str">
        <f t="shared" si="14"/>
        <v>15-3</v>
      </c>
      <c r="H280" t="s">
        <v>54</v>
      </c>
      <c r="I280" t="s">
        <v>54</v>
      </c>
      <c r="J280" t="s">
        <v>54</v>
      </c>
      <c r="K280" t="s">
        <v>529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523</v>
      </c>
      <c r="S280">
        <v>-1</v>
      </c>
      <c r="T280">
        <v>0</v>
      </c>
      <c r="U280">
        <v>-1</v>
      </c>
      <c r="V280">
        <v>0</v>
      </c>
      <c r="W280" t="s">
        <v>70</v>
      </c>
      <c r="X280">
        <v>0</v>
      </c>
      <c r="Y280">
        <v>0</v>
      </c>
      <c r="Z280">
        <v>780</v>
      </c>
      <c r="AA280" t="s">
        <v>57</v>
      </c>
      <c r="AB280">
        <v>0</v>
      </c>
      <c r="AC280">
        <v>0</v>
      </c>
      <c r="AD280">
        <v>0</v>
      </c>
      <c r="AE280">
        <v>0</v>
      </c>
      <c r="AF280" t="s">
        <v>67</v>
      </c>
      <c r="AG280">
        <v>0</v>
      </c>
      <c r="AH280">
        <v>0</v>
      </c>
      <c r="AI280">
        <v>0</v>
      </c>
      <c r="AJ280">
        <v>0</v>
      </c>
      <c r="AK280" t="s">
        <v>60</v>
      </c>
      <c r="AL280">
        <v>0</v>
      </c>
      <c r="AM280">
        <v>0</v>
      </c>
      <c r="AN280">
        <v>0</v>
      </c>
      <c r="AO280">
        <v>0</v>
      </c>
      <c r="AP280" t="b">
        <v>0</v>
      </c>
      <c r="AQ280" t="s">
        <v>58</v>
      </c>
      <c r="AR280" t="s">
        <v>58</v>
      </c>
      <c r="AS280" t="s">
        <v>71</v>
      </c>
      <c r="AT280">
        <v>14</v>
      </c>
      <c r="AU280">
        <v>15</v>
      </c>
      <c r="AV280">
        <v>3</v>
      </c>
      <c r="AW280">
        <v>11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s">
        <v>61</v>
      </c>
      <c r="BF280" t="s">
        <v>57</v>
      </c>
      <c r="BG280" t="s">
        <v>55</v>
      </c>
      <c r="BH280" t="s">
        <v>58</v>
      </c>
      <c r="BI280" t="s">
        <v>58</v>
      </c>
    </row>
    <row r="281" spans="1:61" x14ac:dyDescent="0.25">
      <c r="A281" t="str" cm="1">
        <f t="array" ref="A281">_xlfn.IFS(AS281="RegularSeason",C281,AS281&lt;&gt;"RegularSeason",R281)</f>
        <v>00101101010010100000000000001011</v>
      </c>
      <c r="B281" t="str" cm="1">
        <f t="array" ref="B281">_xlfn.IFS(AS281="RegularSeason",D281,AS281&lt;&gt;"RegularSeason",K281)</f>
        <v>00101101010010100000000000011100</v>
      </c>
      <c r="C281" t="str">
        <f t="shared" si="12"/>
        <v>00101101010010100000000000001011</v>
      </c>
      <c r="D281" t="str">
        <f t="shared" si="13"/>
        <v>00101101010010100000000000011100</v>
      </c>
      <c r="E281" t="str" cm="1">
        <f t="array" ref="E281">_xlfn.XLOOKUP(_xlfn.XLOOKUP(G281,New!A:A,New!M:M,NONE),TeamIdentity!A:A,TeamIdentity!C:C,NONE)</f>
        <v>00001011</v>
      </c>
      <c r="F281" t="str" cm="1">
        <f t="array" ref="F281">_xlfn.XLOOKUP(_xlfn.XLOOKUP(G281,New!A:A,New!F:F,NONE),TeamIdentity!A:A,TeamIdentity!C:C,NONE)</f>
        <v>00011100</v>
      </c>
      <c r="G281" t="str">
        <f t="shared" si="14"/>
        <v>15-4</v>
      </c>
      <c r="H281" t="s">
        <v>54</v>
      </c>
      <c r="I281" t="s">
        <v>54</v>
      </c>
      <c r="J281" t="s">
        <v>54</v>
      </c>
      <c r="K281" t="s">
        <v>531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513</v>
      </c>
      <c r="S281">
        <v>-1</v>
      </c>
      <c r="T281">
        <v>0</v>
      </c>
      <c r="U281">
        <v>-1</v>
      </c>
      <c r="V281">
        <v>0</v>
      </c>
      <c r="W281" t="s">
        <v>70</v>
      </c>
      <c r="X281">
        <v>0</v>
      </c>
      <c r="Y281">
        <v>0</v>
      </c>
      <c r="Z281">
        <v>780</v>
      </c>
      <c r="AA281" t="s">
        <v>57</v>
      </c>
      <c r="AB281">
        <v>0</v>
      </c>
      <c r="AC281">
        <v>0</v>
      </c>
      <c r="AD281">
        <v>0</v>
      </c>
      <c r="AE281">
        <v>0</v>
      </c>
      <c r="AF281" t="s">
        <v>67</v>
      </c>
      <c r="AG281">
        <v>0</v>
      </c>
      <c r="AH281">
        <v>0</v>
      </c>
      <c r="AI281">
        <v>0</v>
      </c>
      <c r="AJ281">
        <v>0</v>
      </c>
      <c r="AK281" t="s">
        <v>60</v>
      </c>
      <c r="AL281">
        <v>0</v>
      </c>
      <c r="AM281">
        <v>0</v>
      </c>
      <c r="AN281">
        <v>0</v>
      </c>
      <c r="AO281">
        <v>0</v>
      </c>
      <c r="AP281" t="b">
        <v>0</v>
      </c>
      <c r="AQ281" t="s">
        <v>58</v>
      </c>
      <c r="AR281" t="s">
        <v>58</v>
      </c>
      <c r="AS281" t="s">
        <v>71</v>
      </c>
      <c r="AT281">
        <v>14</v>
      </c>
      <c r="AU281">
        <v>15</v>
      </c>
      <c r="AV281">
        <v>4</v>
      </c>
      <c r="AW281">
        <v>11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s">
        <v>61</v>
      </c>
      <c r="BF281" t="s">
        <v>57</v>
      </c>
      <c r="BG281" t="s">
        <v>55</v>
      </c>
      <c r="BH281" t="s">
        <v>58</v>
      </c>
      <c r="BI281" t="s">
        <v>58</v>
      </c>
    </row>
    <row r="282" spans="1:61" x14ac:dyDescent="0.25">
      <c r="A282" t="str" cm="1">
        <f t="array" ref="A282">_xlfn.IFS(AS282="RegularSeason",C282,AS282&lt;&gt;"RegularSeason",R282)</f>
        <v>00101101010010100000000000000010</v>
      </c>
      <c r="B282" t="str" cm="1">
        <f t="array" ref="B282">_xlfn.IFS(AS282="RegularSeason",D282,AS282&lt;&gt;"RegularSeason",K282)</f>
        <v>00101101010010100000000000000011</v>
      </c>
      <c r="C282" t="str">
        <f t="shared" si="12"/>
        <v>00101101010010100000000000000010</v>
      </c>
      <c r="D282" t="str">
        <f t="shared" si="13"/>
        <v>00101101010010100000000000000011</v>
      </c>
      <c r="E282" t="str" cm="1">
        <f t="array" ref="E282">_xlfn.XLOOKUP(_xlfn.XLOOKUP(G282,New!A:A,New!M:M,NONE),TeamIdentity!A:A,TeamIdentity!C:C,NONE)</f>
        <v>00000010</v>
      </c>
      <c r="F282" t="str" cm="1">
        <f t="array" ref="F282">_xlfn.XLOOKUP(_xlfn.XLOOKUP(G282,New!A:A,New!F:F,NONE),TeamIdentity!A:A,TeamIdentity!C:C,NONE)</f>
        <v>00000011</v>
      </c>
      <c r="G282" t="str">
        <f t="shared" si="14"/>
        <v>15-5</v>
      </c>
      <c r="H282" t="s">
        <v>54</v>
      </c>
      <c r="I282" t="s">
        <v>54</v>
      </c>
      <c r="J282" t="s">
        <v>54</v>
      </c>
      <c r="K282" t="s">
        <v>539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524</v>
      </c>
      <c r="S282">
        <v>-1</v>
      </c>
      <c r="T282">
        <v>0</v>
      </c>
      <c r="U282">
        <v>-1</v>
      </c>
      <c r="V282">
        <v>0</v>
      </c>
      <c r="W282" t="s">
        <v>70</v>
      </c>
      <c r="X282">
        <v>0</v>
      </c>
      <c r="Y282">
        <v>0</v>
      </c>
      <c r="Z282">
        <v>780</v>
      </c>
      <c r="AA282" t="s">
        <v>57</v>
      </c>
      <c r="AB282">
        <v>0</v>
      </c>
      <c r="AC282">
        <v>0</v>
      </c>
      <c r="AD282">
        <v>0</v>
      </c>
      <c r="AE282">
        <v>0</v>
      </c>
      <c r="AF282" t="s">
        <v>67</v>
      </c>
      <c r="AG282">
        <v>0</v>
      </c>
      <c r="AH282">
        <v>0</v>
      </c>
      <c r="AI282">
        <v>0</v>
      </c>
      <c r="AJ282">
        <v>0</v>
      </c>
      <c r="AK282" t="s">
        <v>60</v>
      </c>
      <c r="AL282">
        <v>0</v>
      </c>
      <c r="AM282">
        <v>0</v>
      </c>
      <c r="AN282">
        <v>0</v>
      </c>
      <c r="AO282">
        <v>0</v>
      </c>
      <c r="AP282" t="b">
        <v>0</v>
      </c>
      <c r="AQ282" t="s">
        <v>58</v>
      </c>
      <c r="AR282" t="s">
        <v>58</v>
      </c>
      <c r="AS282" t="s">
        <v>71</v>
      </c>
      <c r="AT282">
        <v>14</v>
      </c>
      <c r="AU282">
        <v>15</v>
      </c>
      <c r="AV282">
        <v>5</v>
      </c>
      <c r="AW282">
        <v>11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s">
        <v>61</v>
      </c>
      <c r="BF282" t="s">
        <v>57</v>
      </c>
      <c r="BG282" t="s">
        <v>55</v>
      </c>
      <c r="BH282" t="s">
        <v>58</v>
      </c>
      <c r="BI282" t="s">
        <v>58</v>
      </c>
    </row>
    <row r="283" spans="1:61" x14ac:dyDescent="0.25">
      <c r="A283" t="str" cm="1">
        <f t="array" ref="A283">_xlfn.IFS(AS283="RegularSeason",C283,AS283&lt;&gt;"RegularSeason",R283)</f>
        <v>00101101010010100000000000010011</v>
      </c>
      <c r="B283" t="str" cm="1">
        <f t="array" ref="B283">_xlfn.IFS(AS283="RegularSeason",D283,AS283&lt;&gt;"RegularSeason",K283)</f>
        <v>00101101010010100000000000000011</v>
      </c>
      <c r="C283" t="str">
        <f t="shared" si="12"/>
        <v>00101101010010100000000000010011</v>
      </c>
      <c r="D283" t="str">
        <f t="shared" si="13"/>
        <v>00101101010010100000000000000011</v>
      </c>
      <c r="E283" t="str" cm="1">
        <f t="array" ref="E283">_xlfn.XLOOKUP(_xlfn.XLOOKUP(G283,New!A:A,New!M:M,NONE),TeamIdentity!A:A,TeamIdentity!C:C,NONE)</f>
        <v>00010011</v>
      </c>
      <c r="F283" t="str" cm="1">
        <f t="array" ref="F283">_xlfn.XLOOKUP(_xlfn.XLOOKUP(G283,New!A:A,New!F:F,NONE),TeamIdentity!A:A,TeamIdentity!C:C,NONE)</f>
        <v>00000011</v>
      </c>
      <c r="G283" t="str">
        <f t="shared" si="14"/>
        <v>16-14</v>
      </c>
      <c r="H283" t="s">
        <v>54</v>
      </c>
      <c r="I283" t="s">
        <v>54</v>
      </c>
      <c r="J283" t="s">
        <v>54</v>
      </c>
      <c r="K283" t="s">
        <v>519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514</v>
      </c>
      <c r="S283">
        <v>-1</v>
      </c>
      <c r="T283">
        <v>0</v>
      </c>
      <c r="U283">
        <v>-1</v>
      </c>
      <c r="V283">
        <v>0</v>
      </c>
      <c r="W283" t="s">
        <v>70</v>
      </c>
      <c r="X283">
        <v>0</v>
      </c>
      <c r="Y283">
        <v>0</v>
      </c>
      <c r="Z283">
        <v>1230</v>
      </c>
      <c r="AA283" t="s">
        <v>57</v>
      </c>
      <c r="AB283">
        <v>0</v>
      </c>
      <c r="AC283">
        <v>0</v>
      </c>
      <c r="AD283">
        <v>0</v>
      </c>
      <c r="AE283">
        <v>0</v>
      </c>
      <c r="AF283" t="s">
        <v>65</v>
      </c>
      <c r="AG283">
        <v>0</v>
      </c>
      <c r="AH283">
        <v>0</v>
      </c>
      <c r="AI283">
        <v>0</v>
      </c>
      <c r="AJ283">
        <v>0</v>
      </c>
      <c r="AK283" t="s">
        <v>65</v>
      </c>
      <c r="AL283">
        <v>0</v>
      </c>
      <c r="AM283">
        <v>0</v>
      </c>
      <c r="AN283">
        <v>0</v>
      </c>
      <c r="AO283">
        <v>0</v>
      </c>
      <c r="AP283" t="b">
        <v>0</v>
      </c>
      <c r="AQ283" t="s">
        <v>58</v>
      </c>
      <c r="AR283" t="s">
        <v>58</v>
      </c>
      <c r="AS283" t="s">
        <v>71</v>
      </c>
      <c r="AT283">
        <v>14</v>
      </c>
      <c r="AU283">
        <v>16</v>
      </c>
      <c r="AV283">
        <v>14</v>
      </c>
      <c r="AW283">
        <v>11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s">
        <v>61</v>
      </c>
      <c r="BF283" t="s">
        <v>57</v>
      </c>
      <c r="BG283" t="s">
        <v>55</v>
      </c>
      <c r="BH283" t="s">
        <v>58</v>
      </c>
      <c r="BI283" t="s">
        <v>58</v>
      </c>
    </row>
    <row r="284" spans="1:61" x14ac:dyDescent="0.25">
      <c r="A284" t="str" cm="1">
        <f t="array" ref="A284">_xlfn.IFS(AS284="RegularSeason",C284,AS284&lt;&gt;"RegularSeason",R284)</f>
        <v>00101101010010100000000000010011</v>
      </c>
      <c r="B284" t="str" cm="1">
        <f t="array" ref="B284">_xlfn.IFS(AS284="RegularSeason",D284,AS284&lt;&gt;"RegularSeason",K284)</f>
        <v>00101101010010100000000000000111</v>
      </c>
      <c r="C284" t="str">
        <f t="shared" si="12"/>
        <v>00101101010010100000000000010011</v>
      </c>
      <c r="D284" t="str">
        <f t="shared" si="13"/>
        <v>00101101010010100000000000000111</v>
      </c>
      <c r="E284" t="str" cm="1">
        <f t="array" ref="E284">_xlfn.XLOOKUP(_xlfn.XLOOKUP(G284,New!A:A,New!M:M,NONE),TeamIdentity!A:A,TeamIdentity!C:C,NONE)</f>
        <v>00010011</v>
      </c>
      <c r="F284" t="str" cm="1">
        <f t="array" ref="F284">_xlfn.XLOOKUP(_xlfn.XLOOKUP(G284,New!A:A,New!F:F,NONE),TeamIdentity!A:A,TeamIdentity!C:C,NONE)</f>
        <v>00000111</v>
      </c>
      <c r="G284" t="str">
        <f t="shared" si="14"/>
        <v>15-6</v>
      </c>
      <c r="H284" t="s">
        <v>54</v>
      </c>
      <c r="I284" t="s">
        <v>54</v>
      </c>
      <c r="J284" t="s">
        <v>54</v>
      </c>
      <c r="K284" t="s">
        <v>518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534</v>
      </c>
      <c r="S284">
        <v>-1</v>
      </c>
      <c r="T284">
        <v>0</v>
      </c>
      <c r="U284">
        <v>-1</v>
      </c>
      <c r="V284">
        <v>0</v>
      </c>
      <c r="W284" t="s">
        <v>70</v>
      </c>
      <c r="X284">
        <v>0</v>
      </c>
      <c r="Y284">
        <v>0</v>
      </c>
      <c r="Z284">
        <v>780</v>
      </c>
      <c r="AA284" t="s">
        <v>57</v>
      </c>
      <c r="AB284">
        <v>0</v>
      </c>
      <c r="AC284">
        <v>0</v>
      </c>
      <c r="AD284">
        <v>0</v>
      </c>
      <c r="AE284">
        <v>0</v>
      </c>
      <c r="AF284" t="s">
        <v>67</v>
      </c>
      <c r="AG284">
        <v>0</v>
      </c>
      <c r="AH284">
        <v>0</v>
      </c>
      <c r="AI284">
        <v>0</v>
      </c>
      <c r="AJ284">
        <v>0</v>
      </c>
      <c r="AK284" t="s">
        <v>60</v>
      </c>
      <c r="AL284">
        <v>0</v>
      </c>
      <c r="AM284">
        <v>0</v>
      </c>
      <c r="AN284">
        <v>0</v>
      </c>
      <c r="AO284">
        <v>0</v>
      </c>
      <c r="AP284" t="b">
        <v>0</v>
      </c>
      <c r="AQ284" t="s">
        <v>58</v>
      </c>
      <c r="AR284" t="s">
        <v>58</v>
      </c>
      <c r="AS284" t="s">
        <v>71</v>
      </c>
      <c r="AT284">
        <v>14</v>
      </c>
      <c r="AU284">
        <v>15</v>
      </c>
      <c r="AV284">
        <v>6</v>
      </c>
      <c r="AW284">
        <v>11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s">
        <v>61</v>
      </c>
      <c r="BF284" t="s">
        <v>57</v>
      </c>
      <c r="BG284" t="s">
        <v>55</v>
      </c>
      <c r="BH284" t="s">
        <v>58</v>
      </c>
      <c r="BI284" t="s">
        <v>58</v>
      </c>
    </row>
    <row r="285" spans="1:61" x14ac:dyDescent="0.25">
      <c r="A285" t="str" cm="1">
        <f t="array" ref="A285">_xlfn.IFS(AS285="RegularSeason",C285,AS285&lt;&gt;"RegularSeason",R285)</f>
        <v>00101101010010100000000000011001</v>
      </c>
      <c r="B285" t="str" cm="1">
        <f t="array" ref="B285">_xlfn.IFS(AS285="RegularSeason",D285,AS285&lt;&gt;"RegularSeason",K285)</f>
        <v>00101101010010100000000000000110</v>
      </c>
      <c r="C285" t="str">
        <f t="shared" si="12"/>
        <v>00101101010010100000000000011001</v>
      </c>
      <c r="D285" t="str">
        <f t="shared" si="13"/>
        <v>00101101010010100000000000000110</v>
      </c>
      <c r="E285" t="str" cm="1">
        <f t="array" ref="E285">_xlfn.XLOOKUP(_xlfn.XLOOKUP(G285,New!A:A,New!M:M,NONE),TeamIdentity!A:A,TeamIdentity!C:C,NONE)</f>
        <v>00011001</v>
      </c>
      <c r="F285" t="str" cm="1">
        <f t="array" ref="F285">_xlfn.XLOOKUP(_xlfn.XLOOKUP(G285,New!A:A,New!F:F,NONE),TeamIdentity!A:A,TeamIdentity!C:C,NONE)</f>
        <v>00000110</v>
      </c>
      <c r="G285" t="str">
        <f t="shared" si="14"/>
        <v>13-9</v>
      </c>
      <c r="H285" t="s">
        <v>54</v>
      </c>
      <c r="I285" t="s">
        <v>54</v>
      </c>
      <c r="J285" t="s">
        <v>54</v>
      </c>
      <c r="K285" t="s">
        <v>514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527</v>
      </c>
      <c r="S285">
        <v>-1</v>
      </c>
      <c r="T285">
        <v>0</v>
      </c>
      <c r="U285">
        <v>-1</v>
      </c>
      <c r="V285">
        <v>0</v>
      </c>
      <c r="W285" t="s">
        <v>70</v>
      </c>
      <c r="X285">
        <v>0</v>
      </c>
      <c r="Y285">
        <v>0</v>
      </c>
      <c r="Z285">
        <v>975</v>
      </c>
      <c r="AA285" t="s">
        <v>57</v>
      </c>
      <c r="AB285">
        <v>0</v>
      </c>
      <c r="AC285">
        <v>0</v>
      </c>
      <c r="AD285">
        <v>0</v>
      </c>
      <c r="AE285">
        <v>0</v>
      </c>
      <c r="AF285" t="s">
        <v>67</v>
      </c>
      <c r="AG285">
        <v>0</v>
      </c>
      <c r="AH285">
        <v>0</v>
      </c>
      <c r="AI285">
        <v>0</v>
      </c>
      <c r="AJ285">
        <v>0</v>
      </c>
      <c r="AK285" t="s">
        <v>60</v>
      </c>
      <c r="AL285">
        <v>0</v>
      </c>
      <c r="AM285">
        <v>0</v>
      </c>
      <c r="AN285">
        <v>0</v>
      </c>
      <c r="AO285">
        <v>0</v>
      </c>
      <c r="AP285" t="b">
        <v>0</v>
      </c>
      <c r="AQ285" t="s">
        <v>58</v>
      </c>
      <c r="AR285" t="s">
        <v>58</v>
      </c>
      <c r="AS285" t="s">
        <v>71</v>
      </c>
      <c r="AT285">
        <v>14</v>
      </c>
      <c r="AU285">
        <v>13</v>
      </c>
      <c r="AV285">
        <v>9</v>
      </c>
      <c r="AW285">
        <v>11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s">
        <v>61</v>
      </c>
      <c r="BF285" t="s">
        <v>57</v>
      </c>
      <c r="BG285" t="s">
        <v>55</v>
      </c>
      <c r="BH285" t="s">
        <v>58</v>
      </c>
      <c r="BI285" t="s">
        <v>58</v>
      </c>
    </row>
    <row r="286" spans="1:61" x14ac:dyDescent="0.25">
      <c r="A286" t="str" cm="1">
        <f t="array" ref="A286">_xlfn.IFS(AS286="RegularSeason",C286,AS286&lt;&gt;"RegularSeason",R286)</f>
        <v>00101101010010100000000000010110</v>
      </c>
      <c r="B286" t="str" cm="1">
        <f t="array" ref="B286">_xlfn.IFS(AS286="RegularSeason",D286,AS286&lt;&gt;"RegularSeason",K286)</f>
        <v>00101101010010100000000000010000</v>
      </c>
      <c r="C286" t="str">
        <f t="shared" si="12"/>
        <v>00101101010010100000000000010110</v>
      </c>
      <c r="D286" t="str">
        <f t="shared" si="13"/>
        <v>00101101010010100000000000010000</v>
      </c>
      <c r="E286" t="str" cm="1">
        <f t="array" ref="E286">_xlfn.XLOOKUP(_xlfn.XLOOKUP(G286,New!A:A,New!M:M,NONE),TeamIdentity!A:A,TeamIdentity!C:C,NONE)</f>
        <v>00010110</v>
      </c>
      <c r="F286" t="str" cm="1">
        <f t="array" ref="F286">_xlfn.XLOOKUP(_xlfn.XLOOKUP(G286,New!A:A,New!F:F,NONE),TeamIdentity!A:A,TeamIdentity!C:C,NONE)</f>
        <v>00010000</v>
      </c>
      <c r="G286" t="str">
        <f t="shared" si="14"/>
        <v>13-10</v>
      </c>
      <c r="H286" t="s">
        <v>54</v>
      </c>
      <c r="I286" t="s">
        <v>54</v>
      </c>
      <c r="J286" t="s">
        <v>54</v>
      </c>
      <c r="K286" t="s">
        <v>526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535</v>
      </c>
      <c r="S286">
        <v>-1</v>
      </c>
      <c r="T286">
        <v>0</v>
      </c>
      <c r="U286">
        <v>-1</v>
      </c>
      <c r="V286">
        <v>0</v>
      </c>
      <c r="W286" t="s">
        <v>70</v>
      </c>
      <c r="X286">
        <v>0</v>
      </c>
      <c r="Y286">
        <v>0</v>
      </c>
      <c r="Z286">
        <v>975</v>
      </c>
      <c r="AA286" t="s">
        <v>57</v>
      </c>
      <c r="AB286">
        <v>0</v>
      </c>
      <c r="AC286">
        <v>0</v>
      </c>
      <c r="AD286">
        <v>0</v>
      </c>
      <c r="AE286">
        <v>0</v>
      </c>
      <c r="AF286" t="s">
        <v>67</v>
      </c>
      <c r="AG286">
        <v>0</v>
      </c>
      <c r="AH286">
        <v>0</v>
      </c>
      <c r="AI286">
        <v>0</v>
      </c>
      <c r="AJ286">
        <v>0</v>
      </c>
      <c r="AK286" t="s">
        <v>60</v>
      </c>
      <c r="AL286">
        <v>0</v>
      </c>
      <c r="AM286">
        <v>0</v>
      </c>
      <c r="AN286">
        <v>0</v>
      </c>
      <c r="AO286">
        <v>0</v>
      </c>
      <c r="AP286" t="b">
        <v>0</v>
      </c>
      <c r="AQ286" t="s">
        <v>58</v>
      </c>
      <c r="AR286" t="s">
        <v>58</v>
      </c>
      <c r="AS286" t="s">
        <v>71</v>
      </c>
      <c r="AT286">
        <v>14</v>
      </c>
      <c r="AU286">
        <v>13</v>
      </c>
      <c r="AV286">
        <v>10</v>
      </c>
      <c r="AW286">
        <v>11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s">
        <v>61</v>
      </c>
      <c r="BF286" t="s">
        <v>57</v>
      </c>
      <c r="BG286" t="s">
        <v>55</v>
      </c>
      <c r="BH286" t="s">
        <v>58</v>
      </c>
      <c r="BI286" t="s">
        <v>58</v>
      </c>
    </row>
    <row r="287" spans="1:61" x14ac:dyDescent="0.25">
      <c r="A287" t="str" cm="1">
        <f t="array" ref="A287">_xlfn.IFS(AS287="RegularSeason",C287,AS287&lt;&gt;"RegularSeason",R287)</f>
        <v>00101101010010100000000000010000</v>
      </c>
      <c r="B287" t="str" cm="1">
        <f t="array" ref="B287">_xlfn.IFS(AS287="RegularSeason",D287,AS287&lt;&gt;"RegularSeason",K287)</f>
        <v>00101101010010100000000000001101</v>
      </c>
      <c r="C287" t="str">
        <f t="shared" si="12"/>
        <v>00101101010010100000000000010000</v>
      </c>
      <c r="D287" t="str">
        <f t="shared" si="13"/>
        <v>00101101010010100000000000001101</v>
      </c>
      <c r="E287" t="str" cm="1">
        <f t="array" ref="E287">_xlfn.XLOOKUP(_xlfn.XLOOKUP(G287,New!A:A,New!M:M,NONE),TeamIdentity!A:A,TeamIdentity!C:C,NONE)</f>
        <v>00010000</v>
      </c>
      <c r="F287" t="str" cm="1">
        <f t="array" ref="F287">_xlfn.XLOOKUP(_xlfn.XLOOKUP(G287,New!A:A,New!F:F,NONE),TeamIdentity!A:A,TeamIdentity!C:C,NONE)</f>
        <v>00001101</v>
      </c>
      <c r="G287" t="str">
        <f t="shared" si="14"/>
        <v>14-7</v>
      </c>
      <c r="H287" t="s">
        <v>54</v>
      </c>
      <c r="I287" t="s">
        <v>54</v>
      </c>
      <c r="J287" t="s">
        <v>54</v>
      </c>
      <c r="K287" t="s">
        <v>516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522</v>
      </c>
      <c r="S287">
        <v>-1</v>
      </c>
      <c r="T287">
        <v>0</v>
      </c>
      <c r="U287">
        <v>-1</v>
      </c>
      <c r="V287">
        <v>0</v>
      </c>
      <c r="W287" t="s">
        <v>70</v>
      </c>
      <c r="X287">
        <v>0</v>
      </c>
      <c r="Y287">
        <v>0</v>
      </c>
      <c r="Z287">
        <v>780</v>
      </c>
      <c r="AA287" t="s">
        <v>57</v>
      </c>
      <c r="AB287">
        <v>0</v>
      </c>
      <c r="AC287">
        <v>0</v>
      </c>
      <c r="AD287">
        <v>0</v>
      </c>
      <c r="AE287">
        <v>0</v>
      </c>
      <c r="AF287" t="s">
        <v>67</v>
      </c>
      <c r="AG287">
        <v>0</v>
      </c>
      <c r="AH287">
        <v>0</v>
      </c>
      <c r="AI287">
        <v>0</v>
      </c>
      <c r="AJ287">
        <v>0</v>
      </c>
      <c r="AK287" t="s">
        <v>60</v>
      </c>
      <c r="AL287">
        <v>0</v>
      </c>
      <c r="AM287">
        <v>0</v>
      </c>
      <c r="AN287">
        <v>0</v>
      </c>
      <c r="AO287">
        <v>0</v>
      </c>
      <c r="AP287" t="b">
        <v>0</v>
      </c>
      <c r="AQ287" t="s">
        <v>58</v>
      </c>
      <c r="AR287" t="s">
        <v>58</v>
      </c>
      <c r="AS287" t="s">
        <v>71</v>
      </c>
      <c r="AT287">
        <v>14</v>
      </c>
      <c r="AU287">
        <v>14</v>
      </c>
      <c r="AV287">
        <v>7</v>
      </c>
      <c r="AW287">
        <v>11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s">
        <v>61</v>
      </c>
      <c r="BF287" t="s">
        <v>57</v>
      </c>
      <c r="BG287" t="s">
        <v>55</v>
      </c>
      <c r="BH287" t="s">
        <v>58</v>
      </c>
      <c r="BI287" t="s">
        <v>58</v>
      </c>
    </row>
    <row r="288" spans="1:61" x14ac:dyDescent="0.25">
      <c r="A288" t="str" cm="1">
        <f t="array" ref="A288">_xlfn.IFS(AS288="RegularSeason",C288,AS288&lt;&gt;"RegularSeason",R288)</f>
        <v>00101101010010100000000000100001</v>
      </c>
      <c r="B288" t="str" cm="1">
        <f t="array" ref="B288">_xlfn.IFS(AS288="RegularSeason",D288,AS288&lt;&gt;"RegularSeason",K288)</f>
        <v>00101101010010100000000000100000</v>
      </c>
      <c r="C288" t="str">
        <f t="shared" si="12"/>
        <v>00101101010010100000000000100001</v>
      </c>
      <c r="D288" t="str">
        <f t="shared" si="13"/>
        <v>00101101010010100000000000100000</v>
      </c>
      <c r="E288" t="str" cm="1">
        <f t="array" ref="E288">_xlfn.XLOOKUP(_xlfn.XLOOKUP(G288,New!A:A,New!M:M,NONE),TeamIdentity!A:A,TeamIdentity!C:C,NONE)</f>
        <v>00100001</v>
      </c>
      <c r="F288" t="str" cm="1">
        <f t="array" ref="F288">_xlfn.XLOOKUP(_xlfn.XLOOKUP(G288,New!A:A,New!F:F,NONE),TeamIdentity!A:A,TeamIdentity!C:C,NONE)</f>
        <v>00100000</v>
      </c>
      <c r="G288" t="str">
        <f t="shared" si="14"/>
        <v>16-13</v>
      </c>
      <c r="H288" t="s">
        <v>54</v>
      </c>
      <c r="I288" t="s">
        <v>54</v>
      </c>
      <c r="J288" t="s">
        <v>54</v>
      </c>
      <c r="K288" t="s">
        <v>523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542</v>
      </c>
      <c r="S288">
        <v>-1</v>
      </c>
      <c r="T288">
        <v>0</v>
      </c>
      <c r="U288">
        <v>-1</v>
      </c>
      <c r="V288">
        <v>0</v>
      </c>
      <c r="W288" t="s">
        <v>70</v>
      </c>
      <c r="X288">
        <v>0</v>
      </c>
      <c r="Y288">
        <v>0</v>
      </c>
      <c r="Z288">
        <v>1220</v>
      </c>
      <c r="AA288" t="s">
        <v>57</v>
      </c>
      <c r="AB288">
        <v>0</v>
      </c>
      <c r="AC288">
        <v>0</v>
      </c>
      <c r="AD288">
        <v>0</v>
      </c>
      <c r="AE288">
        <v>0</v>
      </c>
      <c r="AF288" t="s">
        <v>60</v>
      </c>
      <c r="AG288">
        <v>0</v>
      </c>
      <c r="AH288">
        <v>0</v>
      </c>
      <c r="AI288">
        <v>0</v>
      </c>
      <c r="AJ288">
        <v>0</v>
      </c>
      <c r="AK288" t="s">
        <v>60</v>
      </c>
      <c r="AL288">
        <v>0</v>
      </c>
      <c r="AM288">
        <v>0</v>
      </c>
      <c r="AN288">
        <v>0</v>
      </c>
      <c r="AO288">
        <v>0</v>
      </c>
      <c r="AP288" t="b">
        <v>0</v>
      </c>
      <c r="AQ288" t="s">
        <v>58</v>
      </c>
      <c r="AR288" t="s">
        <v>58</v>
      </c>
      <c r="AS288" t="s">
        <v>71</v>
      </c>
      <c r="AT288">
        <v>14</v>
      </c>
      <c r="AU288">
        <v>16</v>
      </c>
      <c r="AV288">
        <v>13</v>
      </c>
      <c r="AW288">
        <v>11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s">
        <v>61</v>
      </c>
      <c r="BF288" t="s">
        <v>57</v>
      </c>
      <c r="BG288" t="s">
        <v>55</v>
      </c>
      <c r="BH288" t="s">
        <v>58</v>
      </c>
      <c r="BI288" t="s">
        <v>58</v>
      </c>
    </row>
    <row r="289" spans="1:61" x14ac:dyDescent="0.25">
      <c r="A289" t="str" cm="1">
        <f t="array" ref="A289">_xlfn.IFS(AS289="RegularSeason",C289,AS289&lt;&gt;"RegularSeason",R289)</f>
        <v>00101101010010100000000000010111</v>
      </c>
      <c r="B289" t="str" cm="1">
        <f t="array" ref="B289">_xlfn.IFS(AS289="RegularSeason",D289,AS289&lt;&gt;"RegularSeason",K289)</f>
        <v>00101101010010100000000000100100</v>
      </c>
      <c r="C289" t="str">
        <f t="shared" si="12"/>
        <v>00101101010010100000000000010111</v>
      </c>
      <c r="D289" t="str">
        <f t="shared" si="13"/>
        <v>00101101010010100000000000100100</v>
      </c>
      <c r="E289" t="str" cm="1">
        <f t="array" ref="E289">_xlfn.XLOOKUP(_xlfn.XLOOKUP(G289,New!A:A,New!M:M,NONE),TeamIdentity!A:A,TeamIdentity!C:C,NONE)</f>
        <v>00010111</v>
      </c>
      <c r="F289" t="str" cm="1">
        <f t="array" ref="F289">_xlfn.XLOOKUP(_xlfn.XLOOKUP(G289,New!A:A,New!F:F,NONE),TeamIdentity!A:A,TeamIdentity!C:C,NONE)</f>
        <v>00100100</v>
      </c>
      <c r="G289" t="str">
        <f t="shared" si="14"/>
        <v>17-0</v>
      </c>
      <c r="H289" t="s">
        <v>54</v>
      </c>
      <c r="I289" t="s">
        <v>54</v>
      </c>
      <c r="J289" t="s">
        <v>54</v>
      </c>
      <c r="K289" t="s">
        <v>527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521</v>
      </c>
      <c r="S289">
        <v>-1</v>
      </c>
      <c r="T289">
        <v>0</v>
      </c>
      <c r="U289">
        <v>-1</v>
      </c>
      <c r="V289">
        <v>0</v>
      </c>
      <c r="W289" t="s">
        <v>70</v>
      </c>
      <c r="X289">
        <v>0</v>
      </c>
      <c r="Y289">
        <v>0</v>
      </c>
      <c r="Z289">
        <v>780</v>
      </c>
      <c r="AA289" t="s">
        <v>57</v>
      </c>
      <c r="AB289">
        <v>0</v>
      </c>
      <c r="AC289">
        <v>0</v>
      </c>
      <c r="AD289">
        <v>0</v>
      </c>
      <c r="AE289">
        <v>0</v>
      </c>
      <c r="AF289" t="s">
        <v>67</v>
      </c>
      <c r="AG289">
        <v>0</v>
      </c>
      <c r="AH289">
        <v>0</v>
      </c>
      <c r="AI289">
        <v>0</v>
      </c>
      <c r="AJ289">
        <v>0</v>
      </c>
      <c r="AK289" t="s">
        <v>60</v>
      </c>
      <c r="AL289">
        <v>0</v>
      </c>
      <c r="AM289">
        <v>0</v>
      </c>
      <c r="AN289">
        <v>0</v>
      </c>
      <c r="AO289">
        <v>0</v>
      </c>
      <c r="AP289" t="b">
        <v>0</v>
      </c>
      <c r="AQ289" t="s">
        <v>58</v>
      </c>
      <c r="AR289" t="s">
        <v>58</v>
      </c>
      <c r="AS289" t="s">
        <v>71</v>
      </c>
      <c r="AT289">
        <v>14</v>
      </c>
      <c r="AU289">
        <v>17</v>
      </c>
      <c r="AV289">
        <v>0</v>
      </c>
      <c r="AW289">
        <v>11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s">
        <v>61</v>
      </c>
      <c r="BF289" t="s">
        <v>57</v>
      </c>
      <c r="BG289" t="s">
        <v>55</v>
      </c>
      <c r="BH289" t="s">
        <v>58</v>
      </c>
      <c r="BI289" t="s">
        <v>58</v>
      </c>
    </row>
    <row r="290" spans="1:61" x14ac:dyDescent="0.25">
      <c r="A290" t="str" cm="1">
        <f t="array" ref="A290">_xlfn.IFS(AS290="RegularSeason",C290,AS290&lt;&gt;"RegularSeason",R290)</f>
        <v>00101101010010100000000000010110</v>
      </c>
      <c r="B290" t="str" cm="1">
        <f t="array" ref="B290">_xlfn.IFS(AS290="RegularSeason",D290,AS290&lt;&gt;"RegularSeason",K290)</f>
        <v>00101101010010100000000000001010</v>
      </c>
      <c r="C290" t="str">
        <f t="shared" si="12"/>
        <v>00101101010010100000000000010110</v>
      </c>
      <c r="D290" t="str">
        <f t="shared" si="13"/>
        <v>00101101010010100000000000001010</v>
      </c>
      <c r="E290" t="str" cm="1">
        <f t="array" ref="E290">_xlfn.XLOOKUP(_xlfn.XLOOKUP(G290,New!A:A,New!M:M,NONE),TeamIdentity!A:A,TeamIdentity!C:C,NONE)</f>
        <v>00010110</v>
      </c>
      <c r="F290" t="str" cm="1">
        <f t="array" ref="F290">_xlfn.XLOOKUP(_xlfn.XLOOKUP(G290,New!A:A,New!F:F,NONE),TeamIdentity!A:A,TeamIdentity!C:C,NONE)</f>
        <v>00001010</v>
      </c>
      <c r="G290" t="str">
        <f t="shared" si="14"/>
        <v>16-1</v>
      </c>
      <c r="H290" t="s">
        <v>54</v>
      </c>
      <c r="I290" t="s">
        <v>54</v>
      </c>
      <c r="J290" t="s">
        <v>54</v>
      </c>
      <c r="K290" t="s">
        <v>531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515</v>
      </c>
      <c r="S290">
        <v>-1</v>
      </c>
      <c r="T290">
        <v>0</v>
      </c>
      <c r="U290">
        <v>-1</v>
      </c>
      <c r="V290">
        <v>0</v>
      </c>
      <c r="W290" t="s">
        <v>70</v>
      </c>
      <c r="X290">
        <v>0</v>
      </c>
      <c r="Y290">
        <v>0</v>
      </c>
      <c r="Z290">
        <v>780</v>
      </c>
      <c r="AA290" t="s">
        <v>57</v>
      </c>
      <c r="AB290">
        <v>0</v>
      </c>
      <c r="AC290">
        <v>0</v>
      </c>
      <c r="AD290">
        <v>0</v>
      </c>
      <c r="AE290">
        <v>0</v>
      </c>
      <c r="AF290" t="s">
        <v>67</v>
      </c>
      <c r="AG290">
        <v>0</v>
      </c>
      <c r="AH290">
        <v>0</v>
      </c>
      <c r="AI290">
        <v>0</v>
      </c>
      <c r="AJ290">
        <v>0</v>
      </c>
      <c r="AK290" t="s">
        <v>60</v>
      </c>
      <c r="AL290">
        <v>0</v>
      </c>
      <c r="AM290">
        <v>0</v>
      </c>
      <c r="AN290">
        <v>0</v>
      </c>
      <c r="AO290">
        <v>0</v>
      </c>
      <c r="AP290" t="b">
        <v>0</v>
      </c>
      <c r="AQ290" t="s">
        <v>58</v>
      </c>
      <c r="AR290" t="s">
        <v>58</v>
      </c>
      <c r="AS290" t="s">
        <v>71</v>
      </c>
      <c r="AT290">
        <v>14</v>
      </c>
      <c r="AU290">
        <v>16</v>
      </c>
      <c r="AV290">
        <v>1</v>
      </c>
      <c r="AW290">
        <v>11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s">
        <v>61</v>
      </c>
      <c r="BF290" t="s">
        <v>57</v>
      </c>
      <c r="BG290" t="s">
        <v>55</v>
      </c>
      <c r="BH290" t="s">
        <v>58</v>
      </c>
      <c r="BI290" t="s">
        <v>58</v>
      </c>
    </row>
    <row r="291" spans="1:61" x14ac:dyDescent="0.25">
      <c r="A291" t="str" cm="1">
        <f t="array" ref="A291">_xlfn.IFS(AS291="RegularSeason",C291,AS291&lt;&gt;"RegularSeason",R291)</f>
        <v>00101101010010100000000000000111</v>
      </c>
      <c r="B291" t="str" cm="1">
        <f t="array" ref="B291">_xlfn.IFS(AS291="RegularSeason",D291,AS291&lt;&gt;"RegularSeason",K291)</f>
        <v>00101101010010100000000000100000</v>
      </c>
      <c r="C291" t="str">
        <f t="shared" si="12"/>
        <v>00101101010010100000000000000111</v>
      </c>
      <c r="D291" t="str">
        <f t="shared" si="13"/>
        <v>00101101010010100000000000100000</v>
      </c>
      <c r="E291" t="str" cm="1">
        <f t="array" ref="E291">_xlfn.XLOOKUP(_xlfn.XLOOKUP(G291,New!A:A,New!M:M,NONE),TeamIdentity!A:A,TeamIdentity!C:C,NONE)</f>
        <v>00000111</v>
      </c>
      <c r="F291" t="str" cm="1">
        <f t="array" ref="F291">_xlfn.XLOOKUP(_xlfn.XLOOKUP(G291,New!A:A,New!F:F,NONE),TeamIdentity!A:A,TeamIdentity!C:C,NONE)</f>
        <v>00100000</v>
      </c>
      <c r="G291" t="str">
        <f t="shared" si="14"/>
        <v>17-1</v>
      </c>
      <c r="H291" t="s">
        <v>54</v>
      </c>
      <c r="I291" t="s">
        <v>54</v>
      </c>
      <c r="J291" t="s">
        <v>54</v>
      </c>
      <c r="K291" t="s">
        <v>528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535</v>
      </c>
      <c r="S291">
        <v>-1</v>
      </c>
      <c r="T291">
        <v>0</v>
      </c>
      <c r="U291">
        <v>-1</v>
      </c>
      <c r="V291">
        <v>0</v>
      </c>
      <c r="W291" t="s">
        <v>70</v>
      </c>
      <c r="X291">
        <v>0</v>
      </c>
      <c r="Y291">
        <v>0</v>
      </c>
      <c r="Z291">
        <v>780</v>
      </c>
      <c r="AA291" t="s">
        <v>57</v>
      </c>
      <c r="AB291">
        <v>0</v>
      </c>
      <c r="AC291">
        <v>0</v>
      </c>
      <c r="AD291">
        <v>0</v>
      </c>
      <c r="AE291">
        <v>0</v>
      </c>
      <c r="AF291" t="s">
        <v>67</v>
      </c>
      <c r="AG291">
        <v>0</v>
      </c>
      <c r="AH291">
        <v>0</v>
      </c>
      <c r="AI291">
        <v>0</v>
      </c>
      <c r="AJ291">
        <v>0</v>
      </c>
      <c r="AK291" t="s">
        <v>60</v>
      </c>
      <c r="AL291">
        <v>0</v>
      </c>
      <c r="AM291">
        <v>0</v>
      </c>
      <c r="AN291">
        <v>0</v>
      </c>
      <c r="AO291">
        <v>0</v>
      </c>
      <c r="AP291" t="b">
        <v>0</v>
      </c>
      <c r="AQ291" t="s">
        <v>58</v>
      </c>
      <c r="AR291" t="s">
        <v>58</v>
      </c>
      <c r="AS291" t="s">
        <v>71</v>
      </c>
      <c r="AT291">
        <v>14</v>
      </c>
      <c r="AU291">
        <v>17</v>
      </c>
      <c r="AV291">
        <v>1</v>
      </c>
      <c r="AW291">
        <v>11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s">
        <v>61</v>
      </c>
      <c r="BF291" t="s">
        <v>57</v>
      </c>
      <c r="BG291" t="s">
        <v>55</v>
      </c>
      <c r="BH291" t="s">
        <v>58</v>
      </c>
      <c r="BI291" t="s">
        <v>58</v>
      </c>
    </row>
    <row r="292" spans="1:61" x14ac:dyDescent="0.25">
      <c r="A292" t="str" cm="1">
        <f t="array" ref="A292">_xlfn.IFS(AS292="RegularSeason",C292,AS292&lt;&gt;"RegularSeason",R292)</f>
        <v>00101101010010100000000000001100</v>
      </c>
      <c r="B292" t="str" cm="1">
        <f t="array" ref="B292">_xlfn.IFS(AS292="RegularSeason",D292,AS292&lt;&gt;"RegularSeason",K292)</f>
        <v>00101101010010100000000000011010</v>
      </c>
      <c r="C292" t="str">
        <f t="shared" si="12"/>
        <v>00101101010010100000000000001100</v>
      </c>
      <c r="D292" t="str">
        <f t="shared" si="13"/>
        <v>00101101010010100000000000011010</v>
      </c>
      <c r="E292" t="str" cm="1">
        <f t="array" ref="E292">_xlfn.XLOOKUP(_xlfn.XLOOKUP(G292,New!A:A,New!M:M,NONE),TeamIdentity!A:A,TeamIdentity!C:C,NONE)</f>
        <v>00001100</v>
      </c>
      <c r="F292" t="str" cm="1">
        <f t="array" ref="F292">_xlfn.XLOOKUP(_xlfn.XLOOKUP(G292,New!A:A,New!F:F,NONE),TeamIdentity!A:A,TeamIdentity!C:C,NONE)</f>
        <v>00011010</v>
      </c>
      <c r="G292" t="str">
        <f t="shared" si="14"/>
        <v>16-15</v>
      </c>
      <c r="H292" t="s">
        <v>54</v>
      </c>
      <c r="I292" t="s">
        <v>54</v>
      </c>
      <c r="J292" t="s">
        <v>54</v>
      </c>
      <c r="K292" t="s">
        <v>529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526</v>
      </c>
      <c r="S292">
        <v>-1</v>
      </c>
      <c r="T292">
        <v>0</v>
      </c>
      <c r="U292">
        <v>-1</v>
      </c>
      <c r="V292">
        <v>0</v>
      </c>
      <c r="W292" t="s">
        <v>70</v>
      </c>
      <c r="X292">
        <v>0</v>
      </c>
      <c r="Y292">
        <v>0</v>
      </c>
      <c r="Z292">
        <v>1220</v>
      </c>
      <c r="AA292" t="s">
        <v>57</v>
      </c>
      <c r="AB292">
        <v>0</v>
      </c>
      <c r="AC292">
        <v>0</v>
      </c>
      <c r="AD292">
        <v>0</v>
      </c>
      <c r="AE292">
        <v>0</v>
      </c>
      <c r="AF292" t="s">
        <v>68</v>
      </c>
      <c r="AG292">
        <v>0</v>
      </c>
      <c r="AH292">
        <v>0</v>
      </c>
      <c r="AI292">
        <v>0</v>
      </c>
      <c r="AJ292">
        <v>0</v>
      </c>
      <c r="AK292" t="s">
        <v>68</v>
      </c>
      <c r="AL292">
        <v>0</v>
      </c>
      <c r="AM292">
        <v>0</v>
      </c>
      <c r="AN292">
        <v>0</v>
      </c>
      <c r="AO292">
        <v>0</v>
      </c>
      <c r="AP292" t="b">
        <v>0</v>
      </c>
      <c r="AQ292" t="s">
        <v>58</v>
      </c>
      <c r="AR292" t="s">
        <v>58</v>
      </c>
      <c r="AS292" t="s">
        <v>71</v>
      </c>
      <c r="AT292">
        <v>14</v>
      </c>
      <c r="AU292">
        <v>16</v>
      </c>
      <c r="AV292">
        <v>15</v>
      </c>
      <c r="AW292">
        <v>11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s">
        <v>61</v>
      </c>
      <c r="BF292" t="s">
        <v>57</v>
      </c>
      <c r="BG292" t="s">
        <v>55</v>
      </c>
      <c r="BH292" t="s">
        <v>58</v>
      </c>
      <c r="BI292" t="s">
        <v>58</v>
      </c>
    </row>
    <row r="293" spans="1:61" x14ac:dyDescent="0.25">
      <c r="A293" t="str" cm="1">
        <f t="array" ref="A293">_xlfn.IFS(AS293="RegularSeason",C293,AS293&lt;&gt;"RegularSeason",R293)</f>
        <v>00101101010010100000000000000000</v>
      </c>
      <c r="B293" t="str" cm="1">
        <f t="array" ref="B293">_xlfn.IFS(AS293="RegularSeason",D293,AS293&lt;&gt;"RegularSeason",K293)</f>
        <v>00101101010010100000000000011001</v>
      </c>
      <c r="C293" t="str">
        <f t="shared" si="12"/>
        <v>00101101010010100000000000000000</v>
      </c>
      <c r="D293" t="str">
        <f t="shared" si="13"/>
        <v>00101101010010100000000000011001</v>
      </c>
      <c r="E293" t="str" cm="1">
        <f t="array" ref="E293">_xlfn.XLOOKUP(_xlfn.XLOOKUP(G293,New!A:A,New!M:M,NONE),TeamIdentity!A:A,TeamIdentity!C:C,NONE)</f>
        <v>00000000</v>
      </c>
      <c r="F293" t="str" cm="1">
        <f t="array" ref="F293">_xlfn.XLOOKUP(_xlfn.XLOOKUP(G293,New!A:A,New!F:F,NONE),TeamIdentity!A:A,TeamIdentity!C:C,NONE)</f>
        <v>00011001</v>
      </c>
      <c r="G293" t="str">
        <f t="shared" si="14"/>
        <v>16-9</v>
      </c>
      <c r="H293" t="s">
        <v>54</v>
      </c>
      <c r="I293" t="s">
        <v>54</v>
      </c>
      <c r="J293" t="s">
        <v>54</v>
      </c>
      <c r="K293" t="s">
        <v>533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527</v>
      </c>
      <c r="S293">
        <v>-1</v>
      </c>
      <c r="T293">
        <v>0</v>
      </c>
      <c r="U293">
        <v>-1</v>
      </c>
      <c r="V293">
        <v>0</v>
      </c>
      <c r="W293" t="s">
        <v>70</v>
      </c>
      <c r="X293">
        <v>0</v>
      </c>
      <c r="Y293">
        <v>0</v>
      </c>
      <c r="Z293">
        <v>965</v>
      </c>
      <c r="AA293" t="s">
        <v>57</v>
      </c>
      <c r="AB293">
        <v>0</v>
      </c>
      <c r="AC293">
        <v>0</v>
      </c>
      <c r="AD293">
        <v>0</v>
      </c>
      <c r="AE293">
        <v>0</v>
      </c>
      <c r="AF293" t="s">
        <v>67</v>
      </c>
      <c r="AG293">
        <v>0</v>
      </c>
      <c r="AH293">
        <v>0</v>
      </c>
      <c r="AI293">
        <v>0</v>
      </c>
      <c r="AJ293">
        <v>0</v>
      </c>
      <c r="AK293" t="s">
        <v>60</v>
      </c>
      <c r="AL293">
        <v>0</v>
      </c>
      <c r="AM293">
        <v>0</v>
      </c>
      <c r="AN293">
        <v>0</v>
      </c>
      <c r="AO293">
        <v>0</v>
      </c>
      <c r="AP293" t="b">
        <v>0</v>
      </c>
      <c r="AQ293" t="s">
        <v>58</v>
      </c>
      <c r="AR293" t="s">
        <v>58</v>
      </c>
      <c r="AS293" t="s">
        <v>71</v>
      </c>
      <c r="AT293">
        <v>14</v>
      </c>
      <c r="AU293">
        <v>16</v>
      </c>
      <c r="AV293">
        <v>9</v>
      </c>
      <c r="AW293">
        <v>11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s">
        <v>61</v>
      </c>
      <c r="BF293" t="s">
        <v>57</v>
      </c>
      <c r="BG293" t="s">
        <v>55</v>
      </c>
      <c r="BH293" t="s">
        <v>58</v>
      </c>
      <c r="BI293" t="s">
        <v>58</v>
      </c>
    </row>
    <row r="294" spans="1:61" x14ac:dyDescent="0.25">
      <c r="A294" t="str" cm="1">
        <f t="array" ref="A294">_xlfn.IFS(AS294="RegularSeason",C294,AS294&lt;&gt;"RegularSeason",R294)</f>
        <v>00101101010010100000000000010000</v>
      </c>
      <c r="B294" t="str" cm="1">
        <f t="array" ref="B294">_xlfn.IFS(AS294="RegularSeason",D294,AS294&lt;&gt;"RegularSeason",K294)</f>
        <v>00101101010010100000000000010011</v>
      </c>
      <c r="C294" t="str">
        <f t="shared" si="12"/>
        <v>00101101010010100000000000010000</v>
      </c>
      <c r="D294" t="str">
        <f t="shared" si="13"/>
        <v>00101101010010100000000000010011</v>
      </c>
      <c r="E294" t="str" cm="1">
        <f t="array" ref="E294">_xlfn.XLOOKUP(_xlfn.XLOOKUP(G294,New!A:A,New!M:M,NONE),TeamIdentity!A:A,TeamIdentity!C:C,NONE)</f>
        <v>00010000</v>
      </c>
      <c r="F294" t="str" cm="1">
        <f t="array" ref="F294">_xlfn.XLOOKUP(_xlfn.XLOOKUP(G294,New!A:A,New!F:F,NONE),TeamIdentity!A:A,TeamIdentity!C:C,NONE)</f>
        <v>00010011</v>
      </c>
      <c r="G294" t="str">
        <f t="shared" si="14"/>
        <v>17-2</v>
      </c>
      <c r="H294" t="s">
        <v>54</v>
      </c>
      <c r="I294" t="s">
        <v>54</v>
      </c>
      <c r="J294" t="s">
        <v>54</v>
      </c>
      <c r="K294" t="s">
        <v>516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512</v>
      </c>
      <c r="S294">
        <v>-1</v>
      </c>
      <c r="T294">
        <v>0</v>
      </c>
      <c r="U294">
        <v>-1</v>
      </c>
      <c r="V294">
        <v>0</v>
      </c>
      <c r="W294" t="s">
        <v>70</v>
      </c>
      <c r="X294">
        <v>0</v>
      </c>
      <c r="Y294">
        <v>0</v>
      </c>
      <c r="Z294">
        <v>780</v>
      </c>
      <c r="AA294" t="s">
        <v>57</v>
      </c>
      <c r="AB294">
        <v>0</v>
      </c>
      <c r="AC294">
        <v>0</v>
      </c>
      <c r="AD294">
        <v>0</v>
      </c>
      <c r="AE294">
        <v>0</v>
      </c>
      <c r="AF294" t="s">
        <v>67</v>
      </c>
      <c r="AG294">
        <v>0</v>
      </c>
      <c r="AH294">
        <v>0</v>
      </c>
      <c r="AI294">
        <v>0</v>
      </c>
      <c r="AJ294">
        <v>0</v>
      </c>
      <c r="AK294" t="s">
        <v>60</v>
      </c>
      <c r="AL294">
        <v>0</v>
      </c>
      <c r="AM294">
        <v>0</v>
      </c>
      <c r="AN294">
        <v>0</v>
      </c>
      <c r="AO294">
        <v>0</v>
      </c>
      <c r="AP294" t="b">
        <v>0</v>
      </c>
      <c r="AQ294" t="s">
        <v>58</v>
      </c>
      <c r="AR294" t="s">
        <v>58</v>
      </c>
      <c r="AS294" t="s">
        <v>71</v>
      </c>
      <c r="AT294">
        <v>14</v>
      </c>
      <c r="AU294">
        <v>17</v>
      </c>
      <c r="AV294">
        <v>2</v>
      </c>
      <c r="AW294">
        <v>11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s">
        <v>61</v>
      </c>
      <c r="BF294" t="s">
        <v>57</v>
      </c>
      <c r="BG294" t="s">
        <v>55</v>
      </c>
      <c r="BH294" t="s">
        <v>58</v>
      </c>
      <c r="BI294" t="s">
        <v>58</v>
      </c>
    </row>
    <row r="295" spans="1:61" x14ac:dyDescent="0.25">
      <c r="A295" t="str" cm="1">
        <f t="array" ref="A295">_xlfn.IFS(AS295="RegularSeason",C295,AS295&lt;&gt;"RegularSeason",R295)</f>
        <v>00101101010010100000000000001110</v>
      </c>
      <c r="B295" t="str" cm="1">
        <f t="array" ref="B295">_xlfn.IFS(AS295="RegularSeason",D295,AS295&lt;&gt;"RegularSeason",K295)</f>
        <v>00101101010010100000000000011101</v>
      </c>
      <c r="C295" t="str">
        <f t="shared" si="12"/>
        <v>00101101010010100000000000001110</v>
      </c>
      <c r="D295" t="str">
        <f t="shared" si="13"/>
        <v>00101101010010100000000000011101</v>
      </c>
      <c r="E295" t="str" cm="1">
        <f t="array" ref="E295">_xlfn.XLOOKUP(_xlfn.XLOOKUP(G295,New!A:A,New!M:M,NONE),TeamIdentity!A:A,TeamIdentity!C:C,NONE)</f>
        <v>00001110</v>
      </c>
      <c r="F295" t="str" cm="1">
        <f t="array" ref="F295">_xlfn.XLOOKUP(_xlfn.XLOOKUP(G295,New!A:A,New!F:F,NONE),TeamIdentity!A:A,TeamIdentity!C:C,NONE)</f>
        <v>00011101</v>
      </c>
      <c r="G295" t="str">
        <f t="shared" si="14"/>
        <v>15-7</v>
      </c>
      <c r="H295" t="s">
        <v>54</v>
      </c>
      <c r="I295" t="s">
        <v>54</v>
      </c>
      <c r="J295" t="s">
        <v>54</v>
      </c>
      <c r="K295" t="s">
        <v>511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537</v>
      </c>
      <c r="S295">
        <v>-1</v>
      </c>
      <c r="T295">
        <v>0</v>
      </c>
      <c r="U295">
        <v>-1</v>
      </c>
      <c r="V295">
        <v>0</v>
      </c>
      <c r="W295" t="s">
        <v>70</v>
      </c>
      <c r="X295">
        <v>0</v>
      </c>
      <c r="Y295">
        <v>0</v>
      </c>
      <c r="Z295">
        <v>780</v>
      </c>
      <c r="AA295" t="s">
        <v>57</v>
      </c>
      <c r="AB295">
        <v>0</v>
      </c>
      <c r="AC295">
        <v>0</v>
      </c>
      <c r="AD295">
        <v>0</v>
      </c>
      <c r="AE295">
        <v>0</v>
      </c>
      <c r="AF295" t="s">
        <v>67</v>
      </c>
      <c r="AG295">
        <v>0</v>
      </c>
      <c r="AH295">
        <v>0</v>
      </c>
      <c r="AI295">
        <v>0</v>
      </c>
      <c r="AJ295">
        <v>0</v>
      </c>
      <c r="AK295" t="s">
        <v>60</v>
      </c>
      <c r="AL295">
        <v>0</v>
      </c>
      <c r="AM295">
        <v>0</v>
      </c>
      <c r="AN295">
        <v>0</v>
      </c>
      <c r="AO295">
        <v>0</v>
      </c>
      <c r="AP295" t="b">
        <v>0</v>
      </c>
      <c r="AQ295" t="s">
        <v>58</v>
      </c>
      <c r="AR295" t="s">
        <v>58</v>
      </c>
      <c r="AS295" t="s">
        <v>71</v>
      </c>
      <c r="AT295">
        <v>14</v>
      </c>
      <c r="AU295">
        <v>15</v>
      </c>
      <c r="AV295">
        <v>7</v>
      </c>
      <c r="AW295">
        <v>11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s">
        <v>61</v>
      </c>
      <c r="BF295" t="s">
        <v>57</v>
      </c>
      <c r="BG295" t="s">
        <v>55</v>
      </c>
      <c r="BH295" t="s">
        <v>58</v>
      </c>
      <c r="BI295" t="s">
        <v>58</v>
      </c>
    </row>
    <row r="296" spans="1:61" x14ac:dyDescent="0.25">
      <c r="A296" t="str" cm="1">
        <f t="array" ref="A296">_xlfn.IFS(AS296="RegularSeason",C296,AS296&lt;&gt;"RegularSeason",R296)</f>
        <v>00101101010010100000000000001101</v>
      </c>
      <c r="B296" t="str" cm="1">
        <f t="array" ref="B296">_xlfn.IFS(AS296="RegularSeason",D296,AS296&lt;&gt;"RegularSeason",K296)</f>
        <v>00101101010010100000000000011011</v>
      </c>
      <c r="C296" t="str">
        <f t="shared" si="12"/>
        <v>00101101010010100000000000001101</v>
      </c>
      <c r="D296" t="str">
        <f t="shared" si="13"/>
        <v>00101101010010100000000000011011</v>
      </c>
      <c r="E296" t="str" cm="1">
        <f t="array" ref="E296">_xlfn.XLOOKUP(_xlfn.XLOOKUP(G296,New!A:A,New!M:M,NONE),TeamIdentity!A:A,TeamIdentity!C:C,NONE)</f>
        <v>00001101</v>
      </c>
      <c r="F296" t="str" cm="1">
        <f t="array" ref="F296">_xlfn.XLOOKUP(_xlfn.XLOOKUP(G296,New!A:A,New!F:F,NONE),TeamIdentity!A:A,TeamIdentity!C:C,NONE)</f>
        <v>00011011</v>
      </c>
      <c r="G296" t="str">
        <f t="shared" si="14"/>
        <v>16-2</v>
      </c>
      <c r="H296" t="s">
        <v>54</v>
      </c>
      <c r="I296" t="s">
        <v>54</v>
      </c>
      <c r="J296" t="s">
        <v>54</v>
      </c>
      <c r="K296" t="s">
        <v>513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537</v>
      </c>
      <c r="S296">
        <v>-1</v>
      </c>
      <c r="T296">
        <v>0</v>
      </c>
      <c r="U296">
        <v>-1</v>
      </c>
      <c r="V296">
        <v>0</v>
      </c>
      <c r="W296" t="s">
        <v>70</v>
      </c>
      <c r="X296">
        <v>0</v>
      </c>
      <c r="Y296">
        <v>0</v>
      </c>
      <c r="Z296">
        <v>780</v>
      </c>
      <c r="AA296" t="s">
        <v>57</v>
      </c>
      <c r="AB296">
        <v>0</v>
      </c>
      <c r="AC296">
        <v>0</v>
      </c>
      <c r="AD296">
        <v>0</v>
      </c>
      <c r="AE296">
        <v>0</v>
      </c>
      <c r="AF296" t="s">
        <v>67</v>
      </c>
      <c r="AG296">
        <v>0</v>
      </c>
      <c r="AH296">
        <v>0</v>
      </c>
      <c r="AI296">
        <v>0</v>
      </c>
      <c r="AJ296">
        <v>0</v>
      </c>
      <c r="AK296" t="s">
        <v>60</v>
      </c>
      <c r="AL296">
        <v>0</v>
      </c>
      <c r="AM296">
        <v>0</v>
      </c>
      <c r="AN296">
        <v>0</v>
      </c>
      <c r="AO296">
        <v>0</v>
      </c>
      <c r="AP296" t="b">
        <v>0</v>
      </c>
      <c r="AQ296" t="s">
        <v>58</v>
      </c>
      <c r="AR296" t="s">
        <v>58</v>
      </c>
      <c r="AS296" t="s">
        <v>71</v>
      </c>
      <c r="AT296">
        <v>14</v>
      </c>
      <c r="AU296">
        <v>16</v>
      </c>
      <c r="AV296">
        <v>2</v>
      </c>
      <c r="AW296">
        <v>11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s">
        <v>61</v>
      </c>
      <c r="BF296" t="s">
        <v>57</v>
      </c>
      <c r="BG296" t="s">
        <v>55</v>
      </c>
      <c r="BH296" t="s">
        <v>58</v>
      </c>
      <c r="BI296" t="s">
        <v>58</v>
      </c>
    </row>
    <row r="297" spans="1:61" x14ac:dyDescent="0.25">
      <c r="A297" t="str" cm="1">
        <f t="array" ref="A297">_xlfn.IFS(AS297="RegularSeason",C297,AS297&lt;&gt;"RegularSeason",R297)</f>
        <v>00101101010010100000000000011001</v>
      </c>
      <c r="B297" t="str" cm="1">
        <f t="array" ref="B297">_xlfn.IFS(AS297="RegularSeason",D297,AS297&lt;&gt;"RegularSeason",K297)</f>
        <v>00101101010010100000000000011110</v>
      </c>
      <c r="C297" t="str">
        <f t="shared" si="12"/>
        <v>00101101010010100000000000011001</v>
      </c>
      <c r="D297" t="str">
        <f t="shared" si="13"/>
        <v>00101101010010100000000000011110</v>
      </c>
      <c r="E297" t="str" cm="1">
        <f t="array" ref="E297">_xlfn.XLOOKUP(_xlfn.XLOOKUP(G297,New!A:A,New!M:M,NONE),TeamIdentity!A:A,TeamIdentity!C:C,NONE)</f>
        <v>00011001</v>
      </c>
      <c r="F297" t="str" cm="1">
        <f t="array" ref="F297">_xlfn.XLOOKUP(_xlfn.XLOOKUP(G297,New!A:A,New!F:F,NONE),TeamIdentity!A:A,TeamIdentity!C:C,NONE)</f>
        <v>00011110</v>
      </c>
      <c r="G297" t="str">
        <f t="shared" si="14"/>
        <v>15-12</v>
      </c>
      <c r="H297" t="s">
        <v>54</v>
      </c>
      <c r="I297" t="s">
        <v>54</v>
      </c>
      <c r="J297" t="s">
        <v>54</v>
      </c>
      <c r="K297" t="s">
        <v>520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532</v>
      </c>
      <c r="S297">
        <v>-1</v>
      </c>
      <c r="T297">
        <v>0</v>
      </c>
      <c r="U297">
        <v>-1</v>
      </c>
      <c r="V297">
        <v>0</v>
      </c>
      <c r="W297" t="s">
        <v>70</v>
      </c>
      <c r="X297">
        <v>0</v>
      </c>
      <c r="Y297">
        <v>0</v>
      </c>
      <c r="Z297">
        <v>975</v>
      </c>
      <c r="AA297" t="s">
        <v>57</v>
      </c>
      <c r="AB297">
        <v>0</v>
      </c>
      <c r="AC297">
        <v>0</v>
      </c>
      <c r="AD297">
        <v>0</v>
      </c>
      <c r="AE297">
        <v>0</v>
      </c>
      <c r="AF297" t="s">
        <v>67</v>
      </c>
      <c r="AG297">
        <v>0</v>
      </c>
      <c r="AH297">
        <v>0</v>
      </c>
      <c r="AI297">
        <v>0</v>
      </c>
      <c r="AJ297">
        <v>0</v>
      </c>
      <c r="AK297" t="s">
        <v>60</v>
      </c>
      <c r="AL297">
        <v>0</v>
      </c>
      <c r="AM297">
        <v>0</v>
      </c>
      <c r="AN297">
        <v>0</v>
      </c>
      <c r="AO297">
        <v>0</v>
      </c>
      <c r="AP297" t="b">
        <v>0</v>
      </c>
      <c r="AQ297" t="s">
        <v>58</v>
      </c>
      <c r="AR297" t="s">
        <v>58</v>
      </c>
      <c r="AS297" t="s">
        <v>71</v>
      </c>
      <c r="AT297">
        <v>14</v>
      </c>
      <c r="AU297">
        <v>15</v>
      </c>
      <c r="AV297">
        <v>12</v>
      </c>
      <c r="AW297">
        <v>11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s">
        <v>61</v>
      </c>
      <c r="BF297" t="s">
        <v>57</v>
      </c>
      <c r="BG297" t="s">
        <v>55</v>
      </c>
      <c r="BH297" t="s">
        <v>58</v>
      </c>
      <c r="BI297" t="s">
        <v>58</v>
      </c>
    </row>
    <row r="298" spans="1:61" x14ac:dyDescent="0.25">
      <c r="A298" t="str" cm="1">
        <f t="array" ref="A298">_xlfn.IFS(AS298="RegularSeason",C298,AS298&lt;&gt;"RegularSeason",R298)</f>
        <v>00101101010010100000000000010101</v>
      </c>
      <c r="B298" t="str" cm="1">
        <f t="array" ref="B298">_xlfn.IFS(AS298="RegularSeason",D298,AS298&lt;&gt;"RegularSeason",K298)</f>
        <v>00101101010010100000000000011111</v>
      </c>
      <c r="C298" t="str">
        <f t="shared" si="12"/>
        <v>00101101010010100000000000010101</v>
      </c>
      <c r="D298" t="str">
        <f t="shared" si="13"/>
        <v>00101101010010100000000000011111</v>
      </c>
      <c r="E298" t="str" cm="1">
        <f t="array" ref="E298">_xlfn.XLOOKUP(_xlfn.XLOOKUP(G298,New!A:A,New!M:M,NONE),TeamIdentity!A:A,TeamIdentity!C:C,NONE)</f>
        <v>00010101</v>
      </c>
      <c r="F298" t="str" cm="1">
        <f t="array" ref="F298">_xlfn.XLOOKUP(_xlfn.XLOOKUP(G298,New!A:A,New!F:F,NONE),TeamIdentity!A:A,TeamIdentity!C:C,NONE)</f>
        <v>00011111</v>
      </c>
      <c r="G298" t="str">
        <f t="shared" si="14"/>
        <v>16-12</v>
      </c>
      <c r="H298" t="s">
        <v>54</v>
      </c>
      <c r="I298" t="s">
        <v>54</v>
      </c>
      <c r="J298" t="s">
        <v>54</v>
      </c>
      <c r="K298" t="s">
        <v>530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528</v>
      </c>
      <c r="S298">
        <v>-1</v>
      </c>
      <c r="T298">
        <v>0</v>
      </c>
      <c r="U298">
        <v>-1</v>
      </c>
      <c r="V298">
        <v>0</v>
      </c>
      <c r="W298" t="s">
        <v>70</v>
      </c>
      <c r="X298">
        <v>0</v>
      </c>
      <c r="Y298">
        <v>0</v>
      </c>
      <c r="Z298">
        <v>975</v>
      </c>
      <c r="AA298" t="s">
        <v>57</v>
      </c>
      <c r="AB298">
        <v>0</v>
      </c>
      <c r="AC298">
        <v>0</v>
      </c>
      <c r="AD298">
        <v>0</v>
      </c>
      <c r="AE298">
        <v>0</v>
      </c>
      <c r="AF298" t="s">
        <v>67</v>
      </c>
      <c r="AG298">
        <v>0</v>
      </c>
      <c r="AH298">
        <v>0</v>
      </c>
      <c r="AI298">
        <v>0</v>
      </c>
      <c r="AJ298">
        <v>0</v>
      </c>
      <c r="AK298" t="s">
        <v>60</v>
      </c>
      <c r="AL298">
        <v>0</v>
      </c>
      <c r="AM298">
        <v>0</v>
      </c>
      <c r="AN298">
        <v>0</v>
      </c>
      <c r="AO298">
        <v>0</v>
      </c>
      <c r="AP298" t="b">
        <v>0</v>
      </c>
      <c r="AQ298" t="s">
        <v>58</v>
      </c>
      <c r="AR298" t="s">
        <v>58</v>
      </c>
      <c r="AS298" t="s">
        <v>71</v>
      </c>
      <c r="AT298">
        <v>14</v>
      </c>
      <c r="AU298">
        <v>16</v>
      </c>
      <c r="AV298">
        <v>12</v>
      </c>
      <c r="AW298">
        <v>11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s">
        <v>61</v>
      </c>
      <c r="BF298" t="s">
        <v>57</v>
      </c>
      <c r="BG298" t="s">
        <v>55</v>
      </c>
      <c r="BH298" t="s">
        <v>58</v>
      </c>
      <c r="BI298" t="s">
        <v>58</v>
      </c>
    </row>
    <row r="299" spans="1:61" x14ac:dyDescent="0.25">
      <c r="A299" t="str" cm="1">
        <f t="array" ref="A299">_xlfn.IFS(AS299="RegularSeason",C299,AS299&lt;&gt;"RegularSeason",R299)</f>
        <v>00101101010010100000000000011111</v>
      </c>
      <c r="B299" t="str" cm="1">
        <f t="array" ref="B299">_xlfn.IFS(AS299="RegularSeason",D299,AS299&lt;&gt;"RegularSeason",K299)</f>
        <v>00101101010010100000000000100011</v>
      </c>
      <c r="C299" t="str">
        <f t="shared" si="12"/>
        <v>00101101010010100000000000011111</v>
      </c>
      <c r="D299" t="str">
        <f t="shared" si="13"/>
        <v>00101101010010100000000000100011</v>
      </c>
      <c r="E299" t="str" cm="1">
        <f t="array" ref="E299">_xlfn.XLOOKUP(_xlfn.XLOOKUP(G299,New!A:A,New!M:M,NONE),TeamIdentity!A:A,TeamIdentity!C:C,NONE)</f>
        <v>00011111</v>
      </c>
      <c r="F299" t="str" cm="1">
        <f t="array" ref="F299">_xlfn.XLOOKUP(_xlfn.XLOOKUP(G299,New!A:A,New!F:F,NONE),TeamIdentity!A:A,TeamIdentity!C:C,NONE)</f>
        <v>00100011</v>
      </c>
      <c r="G299" t="str">
        <f t="shared" si="14"/>
        <v>14-11</v>
      </c>
      <c r="H299" t="s">
        <v>54</v>
      </c>
      <c r="I299" t="s">
        <v>54</v>
      </c>
      <c r="J299" t="s">
        <v>54</v>
      </c>
      <c r="K299" t="s">
        <v>533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530</v>
      </c>
      <c r="S299">
        <v>-1</v>
      </c>
      <c r="T299">
        <v>0</v>
      </c>
      <c r="U299">
        <v>-1</v>
      </c>
      <c r="V299">
        <v>0</v>
      </c>
      <c r="W299" t="s">
        <v>70</v>
      </c>
      <c r="X299">
        <v>0</v>
      </c>
      <c r="Y299">
        <v>0</v>
      </c>
      <c r="Z299">
        <v>975</v>
      </c>
      <c r="AA299" t="s">
        <v>57</v>
      </c>
      <c r="AB299">
        <v>0</v>
      </c>
      <c r="AC299">
        <v>0</v>
      </c>
      <c r="AD299">
        <v>0</v>
      </c>
      <c r="AE299">
        <v>0</v>
      </c>
      <c r="AF299" t="s">
        <v>67</v>
      </c>
      <c r="AG299">
        <v>0</v>
      </c>
      <c r="AH299">
        <v>0</v>
      </c>
      <c r="AI299">
        <v>0</v>
      </c>
      <c r="AJ299">
        <v>0</v>
      </c>
      <c r="AK299" t="s">
        <v>60</v>
      </c>
      <c r="AL299">
        <v>0</v>
      </c>
      <c r="AM299">
        <v>0</v>
      </c>
      <c r="AN299">
        <v>0</v>
      </c>
      <c r="AO299">
        <v>0</v>
      </c>
      <c r="AP299" t="b">
        <v>0</v>
      </c>
      <c r="AQ299" t="s">
        <v>58</v>
      </c>
      <c r="AR299" t="s">
        <v>58</v>
      </c>
      <c r="AS299" t="s">
        <v>71</v>
      </c>
      <c r="AT299">
        <v>14</v>
      </c>
      <c r="AU299">
        <v>14</v>
      </c>
      <c r="AV299">
        <v>11</v>
      </c>
      <c r="AW299">
        <v>11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s">
        <v>61</v>
      </c>
      <c r="BF299" t="s">
        <v>57</v>
      </c>
      <c r="BG299" t="s">
        <v>55</v>
      </c>
      <c r="BH299" t="s">
        <v>58</v>
      </c>
      <c r="BI299" t="s">
        <v>58</v>
      </c>
    </row>
    <row r="300" spans="1:61" x14ac:dyDescent="0.25">
      <c r="A300" t="str" cm="1">
        <f t="array" ref="A300">_xlfn.IFS(AS300="RegularSeason",C300,AS300&lt;&gt;"RegularSeason",R300)</f>
        <v>00101101010010100000000000011010</v>
      </c>
      <c r="B300" t="str" cm="1">
        <f t="array" ref="B300">_xlfn.IFS(AS300="RegularSeason",D300,AS300&lt;&gt;"RegularSeason",K300)</f>
        <v>00101101010010100000000000000110</v>
      </c>
      <c r="C300" t="str">
        <f t="shared" si="12"/>
        <v>00101101010010100000000000011010</v>
      </c>
      <c r="D300" t="str">
        <f t="shared" si="13"/>
        <v>00101101010010100000000000000110</v>
      </c>
      <c r="E300" t="str" cm="1">
        <f t="array" ref="E300">_xlfn.XLOOKUP(_xlfn.XLOOKUP(G300,New!A:A,New!M:M,NONE),TeamIdentity!A:A,TeamIdentity!C:C,NONE)</f>
        <v>00011010</v>
      </c>
      <c r="F300" t="str" cm="1">
        <f t="array" ref="F300">_xlfn.XLOOKUP(_xlfn.XLOOKUP(G300,New!A:A,New!F:F,NONE),TeamIdentity!A:A,TeamIdentity!C:C,NONE)</f>
        <v>00000110</v>
      </c>
      <c r="G300" t="str">
        <f t="shared" si="14"/>
        <v>15-8</v>
      </c>
      <c r="H300" t="s">
        <v>54</v>
      </c>
      <c r="I300" t="s">
        <v>54</v>
      </c>
      <c r="J300" t="s">
        <v>54</v>
      </c>
      <c r="K300" t="s">
        <v>521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533</v>
      </c>
      <c r="S300">
        <v>-1</v>
      </c>
      <c r="T300">
        <v>0</v>
      </c>
      <c r="U300">
        <v>-1</v>
      </c>
      <c r="V300">
        <v>0</v>
      </c>
      <c r="W300" t="s">
        <v>70</v>
      </c>
      <c r="X300">
        <v>0</v>
      </c>
      <c r="Y300">
        <v>0</v>
      </c>
      <c r="Z300">
        <v>965</v>
      </c>
      <c r="AA300" t="s">
        <v>57</v>
      </c>
      <c r="AB300">
        <v>0</v>
      </c>
      <c r="AC300">
        <v>0</v>
      </c>
      <c r="AD300">
        <v>0</v>
      </c>
      <c r="AE300">
        <v>0</v>
      </c>
      <c r="AF300" t="s">
        <v>67</v>
      </c>
      <c r="AG300">
        <v>0</v>
      </c>
      <c r="AH300">
        <v>0</v>
      </c>
      <c r="AI300">
        <v>0</v>
      </c>
      <c r="AJ300">
        <v>0</v>
      </c>
      <c r="AK300" t="s">
        <v>60</v>
      </c>
      <c r="AL300">
        <v>0</v>
      </c>
      <c r="AM300">
        <v>0</v>
      </c>
      <c r="AN300">
        <v>0</v>
      </c>
      <c r="AO300">
        <v>0</v>
      </c>
      <c r="AP300" t="b">
        <v>0</v>
      </c>
      <c r="AQ300" t="s">
        <v>58</v>
      </c>
      <c r="AR300" t="s">
        <v>58</v>
      </c>
      <c r="AS300" t="s">
        <v>71</v>
      </c>
      <c r="AT300">
        <v>14</v>
      </c>
      <c r="AU300">
        <v>15</v>
      </c>
      <c r="AV300">
        <v>8</v>
      </c>
      <c r="AW300">
        <v>11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s">
        <v>61</v>
      </c>
      <c r="BF300" t="s">
        <v>57</v>
      </c>
      <c r="BG300" t="s">
        <v>55</v>
      </c>
      <c r="BH300" t="s">
        <v>58</v>
      </c>
      <c r="BI300" t="s">
        <v>58</v>
      </c>
    </row>
    <row r="301" spans="1:61" x14ac:dyDescent="0.25">
      <c r="A301" t="str" cm="1">
        <f t="array" ref="A301">_xlfn.IFS(AS301="RegularSeason",C301,AS301&lt;&gt;"RegularSeason",R301)</f>
        <v>00101101010010100000000000000110</v>
      </c>
      <c r="B301" t="str" cm="1">
        <f t="array" ref="B301">_xlfn.IFS(AS301="RegularSeason",D301,AS301&lt;&gt;"RegularSeason",K301)</f>
        <v>00101101010010100000000000011101</v>
      </c>
      <c r="C301" t="str">
        <f t="shared" si="12"/>
        <v>00101101010010100000000000000110</v>
      </c>
      <c r="D301" t="str">
        <f t="shared" si="13"/>
        <v>00101101010010100000000000011101</v>
      </c>
      <c r="E301" t="str" cm="1">
        <f t="array" ref="E301">_xlfn.XLOOKUP(_xlfn.XLOOKUP(G301,New!A:A,New!M:M,NONE),TeamIdentity!A:A,TeamIdentity!C:C,NONE)</f>
        <v>00000110</v>
      </c>
      <c r="F301" t="str" cm="1">
        <f t="array" ref="F301">_xlfn.XLOOKUP(_xlfn.XLOOKUP(G301,New!A:A,New!F:F,NONE),TeamIdentity!A:A,TeamIdentity!C:C,NONE)</f>
        <v>00011101</v>
      </c>
      <c r="G301" t="str">
        <f t="shared" si="14"/>
        <v>14-12</v>
      </c>
      <c r="H301" t="s">
        <v>54</v>
      </c>
      <c r="I301" t="s">
        <v>54</v>
      </c>
      <c r="J301" t="s">
        <v>54</v>
      </c>
      <c r="K301" t="s">
        <v>523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531</v>
      </c>
      <c r="S301">
        <v>-1</v>
      </c>
      <c r="T301">
        <v>0</v>
      </c>
      <c r="U301">
        <v>-1</v>
      </c>
      <c r="V301">
        <v>0</v>
      </c>
      <c r="W301" t="s">
        <v>70</v>
      </c>
      <c r="X301">
        <v>0</v>
      </c>
      <c r="Y301">
        <v>0</v>
      </c>
      <c r="Z301">
        <v>975</v>
      </c>
      <c r="AA301" t="s">
        <v>57</v>
      </c>
      <c r="AB301">
        <v>0</v>
      </c>
      <c r="AC301">
        <v>0</v>
      </c>
      <c r="AD301">
        <v>0</v>
      </c>
      <c r="AE301">
        <v>0</v>
      </c>
      <c r="AF301" t="s">
        <v>67</v>
      </c>
      <c r="AG301">
        <v>0</v>
      </c>
      <c r="AH301">
        <v>0</v>
      </c>
      <c r="AI301">
        <v>0</v>
      </c>
      <c r="AJ301">
        <v>0</v>
      </c>
      <c r="AK301" t="s">
        <v>60</v>
      </c>
      <c r="AL301">
        <v>0</v>
      </c>
      <c r="AM301">
        <v>0</v>
      </c>
      <c r="AN301">
        <v>0</v>
      </c>
      <c r="AO301">
        <v>0</v>
      </c>
      <c r="AP301" t="b">
        <v>0</v>
      </c>
      <c r="AQ301" t="s">
        <v>58</v>
      </c>
      <c r="AR301" t="s">
        <v>58</v>
      </c>
      <c r="AS301" t="s">
        <v>71</v>
      </c>
      <c r="AT301">
        <v>14</v>
      </c>
      <c r="AU301">
        <v>14</v>
      </c>
      <c r="AV301">
        <v>12</v>
      </c>
      <c r="AW301">
        <v>11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s">
        <v>61</v>
      </c>
      <c r="BF301" t="s">
        <v>57</v>
      </c>
      <c r="BG301" t="s">
        <v>55</v>
      </c>
      <c r="BH301" t="s">
        <v>58</v>
      </c>
      <c r="BI301" t="s">
        <v>58</v>
      </c>
    </row>
    <row r="302" spans="1:61" x14ac:dyDescent="0.25">
      <c r="A302" t="str" cm="1">
        <f t="array" ref="A302">_xlfn.IFS(AS302="RegularSeason",C302,AS302&lt;&gt;"RegularSeason",R302)</f>
        <v>00101101010010100000000000000101</v>
      </c>
      <c r="B302" t="str" cm="1">
        <f t="array" ref="B302">_xlfn.IFS(AS302="RegularSeason",D302,AS302&lt;&gt;"RegularSeason",K302)</f>
        <v>00101101010010100000000000000010</v>
      </c>
      <c r="C302" t="str">
        <f t="shared" si="12"/>
        <v>00101101010010100000000000000101</v>
      </c>
      <c r="D302" t="str">
        <f t="shared" si="13"/>
        <v>00101101010010100000000000000010</v>
      </c>
      <c r="E302" t="str" cm="1">
        <f t="array" ref="E302">_xlfn.XLOOKUP(_xlfn.XLOOKUP(G302,New!A:A,New!M:M,NONE),TeamIdentity!A:A,TeamIdentity!C:C,NONE)</f>
        <v>00000101</v>
      </c>
      <c r="F302" t="str" cm="1">
        <f t="array" ref="F302">_xlfn.XLOOKUP(_xlfn.XLOOKUP(G302,New!A:A,New!F:F,NONE),TeamIdentity!A:A,TeamIdentity!C:C,NONE)</f>
        <v>00000010</v>
      </c>
      <c r="G302" t="str">
        <f t="shared" si="14"/>
        <v>16-3</v>
      </c>
      <c r="H302" t="s">
        <v>54</v>
      </c>
      <c r="I302" t="s">
        <v>54</v>
      </c>
      <c r="J302" t="s">
        <v>54</v>
      </c>
      <c r="K302" t="s">
        <v>534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540</v>
      </c>
      <c r="S302">
        <v>-1</v>
      </c>
      <c r="T302">
        <v>0</v>
      </c>
      <c r="U302">
        <v>-1</v>
      </c>
      <c r="V302">
        <v>0</v>
      </c>
      <c r="W302" t="s">
        <v>70</v>
      </c>
      <c r="X302">
        <v>0</v>
      </c>
      <c r="Y302">
        <v>0</v>
      </c>
      <c r="Z302">
        <v>780</v>
      </c>
      <c r="AA302" t="s">
        <v>57</v>
      </c>
      <c r="AB302">
        <v>0</v>
      </c>
      <c r="AC302">
        <v>0</v>
      </c>
      <c r="AD302">
        <v>0</v>
      </c>
      <c r="AE302">
        <v>0</v>
      </c>
      <c r="AF302" t="s">
        <v>67</v>
      </c>
      <c r="AG302">
        <v>0</v>
      </c>
      <c r="AH302">
        <v>0</v>
      </c>
      <c r="AI302">
        <v>0</v>
      </c>
      <c r="AJ302">
        <v>0</v>
      </c>
      <c r="AK302" t="s">
        <v>60</v>
      </c>
      <c r="AL302">
        <v>0</v>
      </c>
      <c r="AM302">
        <v>0</v>
      </c>
      <c r="AN302">
        <v>0</v>
      </c>
      <c r="AO302">
        <v>0</v>
      </c>
      <c r="AP302" t="b">
        <v>0</v>
      </c>
      <c r="AQ302" t="s">
        <v>58</v>
      </c>
      <c r="AR302" t="s">
        <v>58</v>
      </c>
      <c r="AS302" t="s">
        <v>71</v>
      </c>
      <c r="AT302">
        <v>14</v>
      </c>
      <c r="AU302">
        <v>16</v>
      </c>
      <c r="AV302">
        <v>3</v>
      </c>
      <c r="AW302">
        <v>11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s">
        <v>61</v>
      </c>
      <c r="BF302" t="s">
        <v>57</v>
      </c>
      <c r="BG302" t="s">
        <v>55</v>
      </c>
      <c r="BH302" t="s">
        <v>58</v>
      </c>
      <c r="BI302" t="s">
        <v>58</v>
      </c>
    </row>
    <row r="303" spans="1:61" x14ac:dyDescent="0.25">
      <c r="A303" t="str" cm="1">
        <f t="array" ref="A303">_xlfn.IFS(AS303="RegularSeason",C303,AS303&lt;&gt;"RegularSeason",R303)</f>
        <v>00101101010010100000000000000001</v>
      </c>
      <c r="B303" t="str" cm="1">
        <f t="array" ref="B303">_xlfn.IFS(AS303="RegularSeason",D303,AS303&lt;&gt;"RegularSeason",K303)</f>
        <v>00101101010010100000000000011100</v>
      </c>
      <c r="C303" t="str">
        <f t="shared" si="12"/>
        <v>00101101010010100000000000000001</v>
      </c>
      <c r="D303" t="str">
        <f t="shared" si="13"/>
        <v>00101101010010100000000000011100</v>
      </c>
      <c r="E303" t="str" cm="1">
        <f t="array" ref="E303">_xlfn.XLOOKUP(_xlfn.XLOOKUP(G303,New!A:A,New!M:M,NONE),TeamIdentity!A:A,TeamIdentity!C:C,NONE)</f>
        <v>00000001</v>
      </c>
      <c r="F303" t="str" cm="1">
        <f t="array" ref="F303">_xlfn.XLOOKUP(_xlfn.XLOOKUP(G303,New!A:A,New!F:F,NONE),TeamIdentity!A:A,TeamIdentity!C:C,NONE)</f>
        <v>00011100</v>
      </c>
      <c r="G303" t="str">
        <f t="shared" si="14"/>
        <v>16-4</v>
      </c>
      <c r="H303" t="s">
        <v>54</v>
      </c>
      <c r="I303" t="s">
        <v>54</v>
      </c>
      <c r="J303" t="s">
        <v>54</v>
      </c>
      <c r="K303" t="s">
        <v>536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520</v>
      </c>
      <c r="S303">
        <v>-1</v>
      </c>
      <c r="T303">
        <v>0</v>
      </c>
      <c r="U303">
        <v>-1</v>
      </c>
      <c r="V303">
        <v>0</v>
      </c>
      <c r="W303" t="s">
        <v>70</v>
      </c>
      <c r="X303">
        <v>0</v>
      </c>
      <c r="Y303">
        <v>0</v>
      </c>
      <c r="Z303">
        <v>780</v>
      </c>
      <c r="AA303" t="s">
        <v>57</v>
      </c>
      <c r="AB303">
        <v>0</v>
      </c>
      <c r="AC303">
        <v>0</v>
      </c>
      <c r="AD303">
        <v>0</v>
      </c>
      <c r="AE303">
        <v>0</v>
      </c>
      <c r="AF303" t="s">
        <v>67</v>
      </c>
      <c r="AG303">
        <v>0</v>
      </c>
      <c r="AH303">
        <v>0</v>
      </c>
      <c r="AI303">
        <v>0</v>
      </c>
      <c r="AJ303">
        <v>0</v>
      </c>
      <c r="AK303" t="s">
        <v>60</v>
      </c>
      <c r="AL303">
        <v>0</v>
      </c>
      <c r="AM303">
        <v>0</v>
      </c>
      <c r="AN303">
        <v>0</v>
      </c>
      <c r="AO303">
        <v>0</v>
      </c>
      <c r="AP303" t="b">
        <v>0</v>
      </c>
      <c r="AQ303" t="s">
        <v>58</v>
      </c>
      <c r="AR303" t="s">
        <v>58</v>
      </c>
      <c r="AS303" t="s">
        <v>71</v>
      </c>
      <c r="AT303">
        <v>14</v>
      </c>
      <c r="AU303">
        <v>16</v>
      </c>
      <c r="AV303">
        <v>4</v>
      </c>
      <c r="AW303">
        <v>11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s">
        <v>61</v>
      </c>
      <c r="BF303" t="s">
        <v>57</v>
      </c>
      <c r="BG303" t="s">
        <v>55</v>
      </c>
      <c r="BH303" t="s">
        <v>58</v>
      </c>
      <c r="BI303" t="s">
        <v>58</v>
      </c>
    </row>
    <row r="304" spans="1:61" x14ac:dyDescent="0.25">
      <c r="A304" t="str" cm="1">
        <f t="array" ref="A304">_xlfn.IFS(AS304="RegularSeason",C304,AS304&lt;&gt;"RegularSeason",R304)</f>
        <v>00101101010010100000000000011100</v>
      </c>
      <c r="B304" t="str" cm="1">
        <f t="array" ref="B304">_xlfn.IFS(AS304="RegularSeason",D304,AS304&lt;&gt;"RegularSeason",K304)</f>
        <v>00101101010010100000000000001010</v>
      </c>
      <c r="C304" t="str">
        <f t="shared" si="12"/>
        <v>00101101010010100000000000011100</v>
      </c>
      <c r="D304" t="str">
        <f t="shared" si="13"/>
        <v>00101101010010100000000000001010</v>
      </c>
      <c r="E304" t="str" cm="1">
        <f t="array" ref="E304">_xlfn.XLOOKUP(_xlfn.XLOOKUP(G304,New!A:A,New!M:M,NONE),TeamIdentity!A:A,TeamIdentity!C:C,NONE)</f>
        <v>00011100</v>
      </c>
      <c r="F304" t="str" cm="1">
        <f t="array" ref="F304">_xlfn.XLOOKUP(_xlfn.XLOOKUP(G304,New!A:A,New!F:F,NONE),TeamIdentity!A:A,TeamIdentity!C:C,NONE)</f>
        <v>00001010</v>
      </c>
      <c r="G304" t="str">
        <f t="shared" si="14"/>
        <v>17-8</v>
      </c>
      <c r="H304" t="s">
        <v>54</v>
      </c>
      <c r="I304" t="s">
        <v>54</v>
      </c>
      <c r="J304" t="s">
        <v>54</v>
      </c>
      <c r="K304" t="s">
        <v>542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533</v>
      </c>
      <c r="S304">
        <v>-1</v>
      </c>
      <c r="T304">
        <v>0</v>
      </c>
      <c r="U304">
        <v>-1</v>
      </c>
      <c r="V304">
        <v>0</v>
      </c>
      <c r="W304" t="s">
        <v>70</v>
      </c>
      <c r="X304">
        <v>0</v>
      </c>
      <c r="Y304">
        <v>0</v>
      </c>
      <c r="Z304">
        <v>965</v>
      </c>
      <c r="AA304" t="s">
        <v>57</v>
      </c>
      <c r="AB304">
        <v>0</v>
      </c>
      <c r="AC304">
        <v>0</v>
      </c>
      <c r="AD304">
        <v>0</v>
      </c>
      <c r="AE304">
        <v>0</v>
      </c>
      <c r="AF304" t="s">
        <v>67</v>
      </c>
      <c r="AG304">
        <v>0</v>
      </c>
      <c r="AH304">
        <v>0</v>
      </c>
      <c r="AI304">
        <v>0</v>
      </c>
      <c r="AJ304">
        <v>0</v>
      </c>
      <c r="AK304" t="s">
        <v>60</v>
      </c>
      <c r="AL304">
        <v>0</v>
      </c>
      <c r="AM304">
        <v>0</v>
      </c>
      <c r="AN304">
        <v>0</v>
      </c>
      <c r="AO304">
        <v>0</v>
      </c>
      <c r="AP304" t="b">
        <v>0</v>
      </c>
      <c r="AQ304" t="s">
        <v>58</v>
      </c>
      <c r="AR304" t="s">
        <v>58</v>
      </c>
      <c r="AS304" t="s">
        <v>71</v>
      </c>
      <c r="AT304">
        <v>14</v>
      </c>
      <c r="AU304">
        <v>17</v>
      </c>
      <c r="AV304">
        <v>8</v>
      </c>
      <c r="AW304">
        <v>11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s">
        <v>61</v>
      </c>
      <c r="BF304" t="s">
        <v>57</v>
      </c>
      <c r="BG304" t="s">
        <v>55</v>
      </c>
      <c r="BH304" t="s">
        <v>58</v>
      </c>
      <c r="BI304" t="s">
        <v>58</v>
      </c>
    </row>
    <row r="305" spans="1:61" x14ac:dyDescent="0.25">
      <c r="A305" t="str" cm="1">
        <f t="array" ref="A305">_xlfn.IFS(AS305="RegularSeason",C305,AS305&lt;&gt;"RegularSeason",R305)</f>
        <v>00101101010010100000000000011110</v>
      </c>
      <c r="B305" t="str" cm="1">
        <f t="array" ref="B305">_xlfn.IFS(AS305="RegularSeason",D305,AS305&lt;&gt;"RegularSeason",K305)</f>
        <v>00101101010010100000000000011101</v>
      </c>
      <c r="C305" t="str">
        <f t="shared" si="12"/>
        <v>00101101010010100000000000011110</v>
      </c>
      <c r="D305" t="str">
        <f t="shared" si="13"/>
        <v>00101101010010100000000000011101</v>
      </c>
      <c r="E305" t="str" cm="1">
        <f t="array" ref="E305">_xlfn.XLOOKUP(_xlfn.XLOOKUP(G305,New!A:A,New!M:M,NONE),TeamIdentity!A:A,TeamIdentity!C:C,NONE)</f>
        <v>00011110</v>
      </c>
      <c r="F305" t="str" cm="1">
        <f t="array" ref="F305">_xlfn.XLOOKUP(_xlfn.XLOOKUP(G305,New!A:A,New!F:F,NONE),TeamIdentity!A:A,TeamIdentity!C:C,NONE)</f>
        <v>00011101</v>
      </c>
      <c r="G305" t="str">
        <f t="shared" si="14"/>
        <v>16-10</v>
      </c>
      <c r="H305" t="s">
        <v>54</v>
      </c>
      <c r="I305" t="s">
        <v>54</v>
      </c>
      <c r="J305" t="s">
        <v>54</v>
      </c>
      <c r="K305" t="s">
        <v>524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525</v>
      </c>
      <c r="S305">
        <v>-1</v>
      </c>
      <c r="T305">
        <v>0</v>
      </c>
      <c r="U305">
        <v>-1</v>
      </c>
      <c r="V305">
        <v>0</v>
      </c>
      <c r="W305" t="s">
        <v>70</v>
      </c>
      <c r="X305">
        <v>0</v>
      </c>
      <c r="Y305">
        <v>0</v>
      </c>
      <c r="Z305">
        <v>965</v>
      </c>
      <c r="AA305" t="s">
        <v>57</v>
      </c>
      <c r="AB305">
        <v>0</v>
      </c>
      <c r="AC305">
        <v>0</v>
      </c>
      <c r="AD305">
        <v>0</v>
      </c>
      <c r="AE305">
        <v>0</v>
      </c>
      <c r="AF305" t="s">
        <v>67</v>
      </c>
      <c r="AG305">
        <v>0</v>
      </c>
      <c r="AH305">
        <v>0</v>
      </c>
      <c r="AI305">
        <v>0</v>
      </c>
      <c r="AJ305">
        <v>0</v>
      </c>
      <c r="AK305" t="s">
        <v>60</v>
      </c>
      <c r="AL305">
        <v>0</v>
      </c>
      <c r="AM305">
        <v>0</v>
      </c>
      <c r="AN305">
        <v>0</v>
      </c>
      <c r="AO305">
        <v>0</v>
      </c>
      <c r="AP305" t="b">
        <v>0</v>
      </c>
      <c r="AQ305" t="s">
        <v>58</v>
      </c>
      <c r="AR305" t="s">
        <v>58</v>
      </c>
      <c r="AS305" t="s">
        <v>71</v>
      </c>
      <c r="AT305">
        <v>14</v>
      </c>
      <c r="AU305">
        <v>16</v>
      </c>
      <c r="AV305">
        <v>10</v>
      </c>
      <c r="AW305">
        <v>11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s">
        <v>61</v>
      </c>
      <c r="BF305" t="s">
        <v>57</v>
      </c>
      <c r="BG305" t="s">
        <v>55</v>
      </c>
      <c r="BH305" t="s">
        <v>58</v>
      </c>
      <c r="BI305" t="s">
        <v>58</v>
      </c>
    </row>
    <row r="306" spans="1:61" x14ac:dyDescent="0.25">
      <c r="A306" t="str" cm="1">
        <f t="array" ref="A306">_xlfn.IFS(AS306="RegularSeason",C306,AS306&lt;&gt;"RegularSeason",R306)</f>
        <v>00101101010010100000000000100011</v>
      </c>
      <c r="B306" t="str" cm="1">
        <f t="array" ref="B306">_xlfn.IFS(AS306="RegularSeason",D306,AS306&lt;&gt;"RegularSeason",K306)</f>
        <v>00101101010010100000000000001011</v>
      </c>
      <c r="C306" t="str">
        <f t="shared" si="12"/>
        <v>00101101010010100000000000100011</v>
      </c>
      <c r="D306" t="str">
        <f t="shared" si="13"/>
        <v>00101101010010100000000000001011</v>
      </c>
      <c r="E306" t="str" cm="1">
        <f t="array" ref="E306">_xlfn.XLOOKUP(_xlfn.XLOOKUP(G306,New!A:A,New!M:M,NONE),TeamIdentity!A:A,TeamIdentity!C:C,NONE)</f>
        <v>00100011</v>
      </c>
      <c r="F306" t="str" cm="1">
        <f t="array" ref="F306">_xlfn.XLOOKUP(_xlfn.XLOOKUP(G306,New!A:A,New!F:F,NONE),TeamIdentity!A:A,TeamIdentity!C:C,NONE)</f>
        <v>00001011</v>
      </c>
      <c r="G306" t="str">
        <f t="shared" si="14"/>
        <v>16-5</v>
      </c>
      <c r="H306" t="s">
        <v>54</v>
      </c>
      <c r="I306" t="s">
        <v>54</v>
      </c>
      <c r="J306" t="s">
        <v>54</v>
      </c>
      <c r="K306" t="s">
        <v>522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516</v>
      </c>
      <c r="S306">
        <v>-1</v>
      </c>
      <c r="T306">
        <v>0</v>
      </c>
      <c r="U306">
        <v>-1</v>
      </c>
      <c r="V306">
        <v>0</v>
      </c>
      <c r="W306" t="s">
        <v>70</v>
      </c>
      <c r="X306">
        <v>0</v>
      </c>
      <c r="Y306">
        <v>0</v>
      </c>
      <c r="Z306">
        <v>780</v>
      </c>
      <c r="AA306" t="s">
        <v>57</v>
      </c>
      <c r="AB306">
        <v>0</v>
      </c>
      <c r="AC306">
        <v>0</v>
      </c>
      <c r="AD306">
        <v>0</v>
      </c>
      <c r="AE306">
        <v>0</v>
      </c>
      <c r="AF306" t="s">
        <v>67</v>
      </c>
      <c r="AG306">
        <v>0</v>
      </c>
      <c r="AH306">
        <v>0</v>
      </c>
      <c r="AI306">
        <v>0</v>
      </c>
      <c r="AJ306">
        <v>0</v>
      </c>
      <c r="AK306" t="s">
        <v>60</v>
      </c>
      <c r="AL306">
        <v>0</v>
      </c>
      <c r="AM306">
        <v>0</v>
      </c>
      <c r="AN306">
        <v>0</v>
      </c>
      <c r="AO306">
        <v>0</v>
      </c>
      <c r="AP306" t="b">
        <v>0</v>
      </c>
      <c r="AQ306" t="s">
        <v>58</v>
      </c>
      <c r="AR306" t="s">
        <v>58</v>
      </c>
      <c r="AS306" t="s">
        <v>71</v>
      </c>
      <c r="AT306">
        <v>14</v>
      </c>
      <c r="AU306">
        <v>16</v>
      </c>
      <c r="AV306">
        <v>5</v>
      </c>
      <c r="AW306">
        <v>11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s">
        <v>61</v>
      </c>
      <c r="BF306" t="s">
        <v>57</v>
      </c>
      <c r="BG306" t="s">
        <v>55</v>
      </c>
      <c r="BH306" t="s">
        <v>58</v>
      </c>
      <c r="BI306" t="s">
        <v>58</v>
      </c>
    </row>
    <row r="307" spans="1:61" x14ac:dyDescent="0.25">
      <c r="A307" t="str" cm="1">
        <f t="array" ref="A307">_xlfn.IFS(AS307="RegularSeason",C307,AS307&lt;&gt;"RegularSeason",R307)</f>
        <v>00101101010010100000000000000110</v>
      </c>
      <c r="B307" t="str" cm="1">
        <f t="array" ref="B307">_xlfn.IFS(AS307="RegularSeason",D307,AS307&lt;&gt;"RegularSeason",K307)</f>
        <v>00101101010010100000000000011010</v>
      </c>
      <c r="C307" t="str">
        <f t="shared" si="12"/>
        <v>00101101010010100000000000000110</v>
      </c>
      <c r="D307" t="str">
        <f t="shared" si="13"/>
        <v>00101101010010100000000000011010</v>
      </c>
      <c r="E307" t="str" cm="1">
        <f t="array" ref="E307">_xlfn.XLOOKUP(_xlfn.XLOOKUP(G307,New!A:A,New!M:M,NONE),TeamIdentity!A:A,TeamIdentity!C:C,NONE)</f>
        <v>00000110</v>
      </c>
      <c r="F307" t="str" cm="1">
        <f t="array" ref="F307">_xlfn.XLOOKUP(_xlfn.XLOOKUP(G307,New!A:A,New!F:F,NONE),TeamIdentity!A:A,TeamIdentity!C:C,NONE)</f>
        <v>00011010</v>
      </c>
      <c r="G307" t="str">
        <f t="shared" si="14"/>
        <v>17-3</v>
      </c>
      <c r="H307" t="s">
        <v>54</v>
      </c>
      <c r="I307" t="s">
        <v>54</v>
      </c>
      <c r="J307" t="s">
        <v>54</v>
      </c>
      <c r="K307" t="s">
        <v>524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514</v>
      </c>
      <c r="S307">
        <v>-1</v>
      </c>
      <c r="T307">
        <v>0</v>
      </c>
      <c r="U307">
        <v>-1</v>
      </c>
      <c r="V307">
        <v>0</v>
      </c>
      <c r="W307" t="s">
        <v>70</v>
      </c>
      <c r="X307">
        <v>0</v>
      </c>
      <c r="Y307">
        <v>0</v>
      </c>
      <c r="Z307">
        <v>780</v>
      </c>
      <c r="AA307" t="s">
        <v>57</v>
      </c>
      <c r="AB307">
        <v>0</v>
      </c>
      <c r="AC307">
        <v>0</v>
      </c>
      <c r="AD307">
        <v>0</v>
      </c>
      <c r="AE307">
        <v>0</v>
      </c>
      <c r="AF307" t="s">
        <v>67</v>
      </c>
      <c r="AG307">
        <v>0</v>
      </c>
      <c r="AH307">
        <v>0</v>
      </c>
      <c r="AI307">
        <v>0</v>
      </c>
      <c r="AJ307">
        <v>0</v>
      </c>
      <c r="AK307" t="s">
        <v>60</v>
      </c>
      <c r="AL307">
        <v>0</v>
      </c>
      <c r="AM307">
        <v>0</v>
      </c>
      <c r="AN307">
        <v>0</v>
      </c>
      <c r="AO307">
        <v>0</v>
      </c>
      <c r="AP307" t="b">
        <v>0</v>
      </c>
      <c r="AQ307" t="s">
        <v>58</v>
      </c>
      <c r="AR307" t="s">
        <v>58</v>
      </c>
      <c r="AS307" t="s">
        <v>71</v>
      </c>
      <c r="AT307">
        <v>14</v>
      </c>
      <c r="AU307">
        <v>17</v>
      </c>
      <c r="AV307">
        <v>3</v>
      </c>
      <c r="AW307">
        <v>11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s">
        <v>61</v>
      </c>
      <c r="BF307" t="s">
        <v>57</v>
      </c>
      <c r="BG307" t="s">
        <v>55</v>
      </c>
      <c r="BH307" t="s">
        <v>58</v>
      </c>
      <c r="BI307" t="s">
        <v>58</v>
      </c>
    </row>
    <row r="308" spans="1:61" x14ac:dyDescent="0.25">
      <c r="A308" t="str" cm="1">
        <f t="array" ref="A308">_xlfn.IFS(AS308="RegularSeason",C308,AS308&lt;&gt;"RegularSeason",R308)</f>
        <v>00101101010010100000000000010101</v>
      </c>
      <c r="B308" t="str" cm="1">
        <f t="array" ref="B308">_xlfn.IFS(AS308="RegularSeason",D308,AS308&lt;&gt;"RegularSeason",K308)</f>
        <v>00101101010010100000000000100010</v>
      </c>
      <c r="C308" t="str">
        <f t="shared" si="12"/>
        <v>00101101010010100000000000010101</v>
      </c>
      <c r="D308" t="str">
        <f t="shared" si="13"/>
        <v>00101101010010100000000000100010</v>
      </c>
      <c r="E308" t="str" cm="1">
        <f t="array" ref="E308">_xlfn.XLOOKUP(_xlfn.XLOOKUP(G308,New!A:A,New!M:M,NONE),TeamIdentity!A:A,TeamIdentity!C:C,NONE)</f>
        <v>00010101</v>
      </c>
      <c r="F308" t="str" cm="1">
        <f t="array" ref="F308">_xlfn.XLOOKUP(_xlfn.XLOOKUP(G308,New!A:A,New!F:F,NONE),TeamIdentity!A:A,TeamIdentity!C:C,NONE)</f>
        <v>00100010</v>
      </c>
      <c r="G308" t="str">
        <f t="shared" si="14"/>
        <v>17-4</v>
      </c>
      <c r="H308" t="s">
        <v>54</v>
      </c>
      <c r="I308" t="s">
        <v>54</v>
      </c>
      <c r="J308" t="s">
        <v>54</v>
      </c>
      <c r="K308" t="s">
        <v>522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541</v>
      </c>
      <c r="S308">
        <v>-1</v>
      </c>
      <c r="T308">
        <v>0</v>
      </c>
      <c r="U308">
        <v>-1</v>
      </c>
      <c r="V308">
        <v>0</v>
      </c>
      <c r="W308" t="s">
        <v>70</v>
      </c>
      <c r="X308">
        <v>0</v>
      </c>
      <c r="Y308">
        <v>0</v>
      </c>
      <c r="Z308">
        <v>780</v>
      </c>
      <c r="AA308" t="s">
        <v>57</v>
      </c>
      <c r="AB308">
        <v>0</v>
      </c>
      <c r="AC308">
        <v>0</v>
      </c>
      <c r="AD308">
        <v>0</v>
      </c>
      <c r="AE308">
        <v>0</v>
      </c>
      <c r="AF308" t="s">
        <v>67</v>
      </c>
      <c r="AG308">
        <v>0</v>
      </c>
      <c r="AH308">
        <v>0</v>
      </c>
      <c r="AI308">
        <v>0</v>
      </c>
      <c r="AJ308">
        <v>0</v>
      </c>
      <c r="AK308" t="s">
        <v>60</v>
      </c>
      <c r="AL308">
        <v>0</v>
      </c>
      <c r="AM308">
        <v>0</v>
      </c>
      <c r="AN308">
        <v>0</v>
      </c>
      <c r="AO308">
        <v>0</v>
      </c>
      <c r="AP308" t="b">
        <v>0</v>
      </c>
      <c r="AQ308" t="s">
        <v>58</v>
      </c>
      <c r="AR308" t="s">
        <v>58</v>
      </c>
      <c r="AS308" t="s">
        <v>71</v>
      </c>
      <c r="AT308">
        <v>14</v>
      </c>
      <c r="AU308">
        <v>17</v>
      </c>
      <c r="AV308">
        <v>4</v>
      </c>
      <c r="AW308">
        <v>11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s">
        <v>61</v>
      </c>
      <c r="BF308" t="s">
        <v>57</v>
      </c>
      <c r="BG308" t="s">
        <v>55</v>
      </c>
      <c r="BH308" t="s">
        <v>58</v>
      </c>
      <c r="BI308" t="s">
        <v>58</v>
      </c>
    </row>
    <row r="309" spans="1:61" x14ac:dyDescent="0.25">
      <c r="A309" t="str" cm="1">
        <f t="array" ref="A309">_xlfn.IFS(AS309="RegularSeason",C309,AS309&lt;&gt;"RegularSeason",R309)</f>
        <v>00101101010010100000000000000111</v>
      </c>
      <c r="B309" t="str" cm="1">
        <f t="array" ref="B309">_xlfn.IFS(AS309="RegularSeason",D309,AS309&lt;&gt;"RegularSeason",K309)</f>
        <v>00101101010010100000000000010111</v>
      </c>
      <c r="C309" t="str">
        <f t="shared" si="12"/>
        <v>00101101010010100000000000000111</v>
      </c>
      <c r="D309" t="str">
        <f t="shared" si="13"/>
        <v>00101101010010100000000000010111</v>
      </c>
      <c r="E309" t="str" cm="1">
        <f t="array" ref="E309">_xlfn.XLOOKUP(_xlfn.XLOOKUP(G309,New!A:A,New!M:M,NONE),TeamIdentity!A:A,TeamIdentity!C:C,NONE)</f>
        <v>00000111</v>
      </c>
      <c r="F309" t="str" cm="1">
        <f t="array" ref="F309">_xlfn.XLOOKUP(_xlfn.XLOOKUP(G309,New!A:A,New!F:F,NONE),TeamIdentity!A:A,TeamIdentity!C:C,NONE)</f>
        <v>00010111</v>
      </c>
      <c r="G309" t="str">
        <f t="shared" si="14"/>
        <v>16-6</v>
      </c>
      <c r="H309" t="s">
        <v>54</v>
      </c>
      <c r="I309" t="s">
        <v>54</v>
      </c>
      <c r="J309" t="s">
        <v>54</v>
      </c>
      <c r="K309" t="s">
        <v>517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511</v>
      </c>
      <c r="S309">
        <v>-1</v>
      </c>
      <c r="T309">
        <v>0</v>
      </c>
      <c r="U309">
        <v>-1</v>
      </c>
      <c r="V309">
        <v>0</v>
      </c>
      <c r="W309" t="s">
        <v>70</v>
      </c>
      <c r="X309">
        <v>0</v>
      </c>
      <c r="Y309">
        <v>0</v>
      </c>
      <c r="Z309">
        <v>780</v>
      </c>
      <c r="AA309" t="s">
        <v>57</v>
      </c>
      <c r="AB309">
        <v>0</v>
      </c>
      <c r="AC309">
        <v>0</v>
      </c>
      <c r="AD309">
        <v>0</v>
      </c>
      <c r="AE309">
        <v>0</v>
      </c>
      <c r="AF309" t="s">
        <v>67</v>
      </c>
      <c r="AG309">
        <v>0</v>
      </c>
      <c r="AH309">
        <v>0</v>
      </c>
      <c r="AI309">
        <v>0</v>
      </c>
      <c r="AJ309">
        <v>0</v>
      </c>
      <c r="AK309" t="s">
        <v>60</v>
      </c>
      <c r="AL309">
        <v>0</v>
      </c>
      <c r="AM309">
        <v>0</v>
      </c>
      <c r="AN309">
        <v>0</v>
      </c>
      <c r="AO309">
        <v>0</v>
      </c>
      <c r="AP309" t="b">
        <v>0</v>
      </c>
      <c r="AQ309" t="s">
        <v>58</v>
      </c>
      <c r="AR309" t="s">
        <v>58</v>
      </c>
      <c r="AS309" t="s">
        <v>71</v>
      </c>
      <c r="AT309">
        <v>14</v>
      </c>
      <c r="AU309">
        <v>16</v>
      </c>
      <c r="AV309">
        <v>6</v>
      </c>
      <c r="AW309">
        <v>11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s">
        <v>61</v>
      </c>
      <c r="BF309" t="s">
        <v>57</v>
      </c>
      <c r="BG309" t="s">
        <v>55</v>
      </c>
      <c r="BH309" t="s">
        <v>58</v>
      </c>
      <c r="BI309" t="s">
        <v>58</v>
      </c>
    </row>
    <row r="310" spans="1:61" x14ac:dyDescent="0.25">
      <c r="A310" t="str" cm="1">
        <f t="array" ref="A310">_xlfn.IFS(AS310="RegularSeason",C310,AS310&lt;&gt;"RegularSeason",R310)</f>
        <v>00101101010010100000000000001101</v>
      </c>
      <c r="B310" t="str" cm="1">
        <f t="array" ref="B310">_xlfn.IFS(AS310="RegularSeason",D310,AS310&lt;&gt;"RegularSeason",K310)</f>
        <v>00101101010010100000000000001110</v>
      </c>
      <c r="C310" t="str">
        <f t="shared" si="12"/>
        <v>00101101010010100000000000001101</v>
      </c>
      <c r="D310" t="str">
        <f t="shared" si="13"/>
        <v>00101101010010100000000000001110</v>
      </c>
      <c r="E310" t="str" cm="1">
        <f t="array" ref="E310">_xlfn.XLOOKUP(_xlfn.XLOOKUP(G310,New!A:A,New!M:M,NONE),TeamIdentity!A:A,TeamIdentity!C:C,NONE)</f>
        <v>00001101</v>
      </c>
      <c r="F310" t="str" cm="1">
        <f t="array" ref="F310">_xlfn.XLOOKUP(_xlfn.XLOOKUP(G310,New!A:A,New!F:F,NONE),TeamIdentity!A:A,TeamIdentity!C:C,NONE)</f>
        <v>00001110</v>
      </c>
      <c r="G310" t="str">
        <f t="shared" si="14"/>
        <v>17-5</v>
      </c>
      <c r="H310" t="s">
        <v>54</v>
      </c>
      <c r="I310" t="s">
        <v>54</v>
      </c>
      <c r="J310" t="s">
        <v>54</v>
      </c>
      <c r="K310" t="s">
        <v>518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517</v>
      </c>
      <c r="S310">
        <v>-1</v>
      </c>
      <c r="T310">
        <v>0</v>
      </c>
      <c r="U310">
        <v>-1</v>
      </c>
      <c r="V310">
        <v>0</v>
      </c>
      <c r="W310" t="s">
        <v>70</v>
      </c>
      <c r="X310">
        <v>0</v>
      </c>
      <c r="Y310">
        <v>0</v>
      </c>
      <c r="Z310">
        <v>780</v>
      </c>
      <c r="AA310" t="s">
        <v>57</v>
      </c>
      <c r="AB310">
        <v>0</v>
      </c>
      <c r="AC310">
        <v>0</v>
      </c>
      <c r="AD310">
        <v>0</v>
      </c>
      <c r="AE310">
        <v>0</v>
      </c>
      <c r="AF310" t="s">
        <v>67</v>
      </c>
      <c r="AG310">
        <v>0</v>
      </c>
      <c r="AH310">
        <v>0</v>
      </c>
      <c r="AI310">
        <v>0</v>
      </c>
      <c r="AJ310">
        <v>0</v>
      </c>
      <c r="AK310" t="s">
        <v>60</v>
      </c>
      <c r="AL310">
        <v>0</v>
      </c>
      <c r="AM310">
        <v>0</v>
      </c>
      <c r="AN310">
        <v>0</v>
      </c>
      <c r="AO310">
        <v>0</v>
      </c>
      <c r="AP310" t="b">
        <v>0</v>
      </c>
      <c r="AQ310" t="s">
        <v>58</v>
      </c>
      <c r="AR310" t="s">
        <v>58</v>
      </c>
      <c r="AS310" t="s">
        <v>71</v>
      </c>
      <c r="AT310">
        <v>14</v>
      </c>
      <c r="AU310">
        <v>17</v>
      </c>
      <c r="AV310">
        <v>5</v>
      </c>
      <c r="AW310">
        <v>11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s">
        <v>61</v>
      </c>
      <c r="BF310" t="s">
        <v>57</v>
      </c>
      <c r="BG310" t="s">
        <v>55</v>
      </c>
      <c r="BH310" t="s">
        <v>58</v>
      </c>
      <c r="BI310" t="s">
        <v>58</v>
      </c>
    </row>
    <row r="311" spans="1:61" x14ac:dyDescent="0.25">
      <c r="A311" t="str" cm="1">
        <f t="array" ref="A311">_xlfn.IFS(AS311="RegularSeason",C311,AS311&lt;&gt;"RegularSeason",R311)</f>
        <v>00101101010010100000000000001110</v>
      </c>
      <c r="B311" t="str" cm="1">
        <f t="array" ref="B311">_xlfn.IFS(AS311="RegularSeason",D311,AS311&lt;&gt;"RegularSeason",K311)</f>
        <v>00101101010010100000000000010000</v>
      </c>
      <c r="C311" t="str">
        <f t="shared" si="12"/>
        <v>00101101010010100000000000001110</v>
      </c>
      <c r="D311" t="str">
        <f t="shared" si="13"/>
        <v>00101101010010100000000000010000</v>
      </c>
      <c r="E311" t="str" cm="1">
        <f t="array" ref="E311">_xlfn.XLOOKUP(_xlfn.XLOOKUP(G311,New!A:A,New!M:M,NONE),TeamIdentity!A:A,TeamIdentity!C:C,NONE)</f>
        <v>00001110</v>
      </c>
      <c r="F311" t="str" cm="1">
        <f t="array" ref="F311">_xlfn.XLOOKUP(_xlfn.XLOOKUP(G311,New!A:A,New!F:F,NONE),TeamIdentity!A:A,TeamIdentity!C:C,NONE)</f>
        <v>00010000</v>
      </c>
      <c r="G311" t="str">
        <f t="shared" si="14"/>
        <v>16-11</v>
      </c>
      <c r="H311" t="s">
        <v>54</v>
      </c>
      <c r="I311" t="s">
        <v>54</v>
      </c>
      <c r="J311" t="s">
        <v>54</v>
      </c>
      <c r="K311" t="s">
        <v>535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539</v>
      </c>
      <c r="S311">
        <v>-1</v>
      </c>
      <c r="T311">
        <v>0</v>
      </c>
      <c r="U311">
        <v>-1</v>
      </c>
      <c r="V311">
        <v>0</v>
      </c>
      <c r="W311" t="s">
        <v>70</v>
      </c>
      <c r="X311">
        <v>0</v>
      </c>
      <c r="Y311">
        <v>0</v>
      </c>
      <c r="Z311">
        <v>965</v>
      </c>
      <c r="AA311" t="s">
        <v>57</v>
      </c>
      <c r="AB311">
        <v>0</v>
      </c>
      <c r="AC311">
        <v>0</v>
      </c>
      <c r="AD311">
        <v>0</v>
      </c>
      <c r="AE311">
        <v>0</v>
      </c>
      <c r="AF311" t="s">
        <v>67</v>
      </c>
      <c r="AG311">
        <v>0</v>
      </c>
      <c r="AH311">
        <v>0</v>
      </c>
      <c r="AI311">
        <v>0</v>
      </c>
      <c r="AJ311">
        <v>0</v>
      </c>
      <c r="AK311" t="s">
        <v>60</v>
      </c>
      <c r="AL311">
        <v>0</v>
      </c>
      <c r="AM311">
        <v>0</v>
      </c>
      <c r="AN311">
        <v>0</v>
      </c>
      <c r="AO311">
        <v>0</v>
      </c>
      <c r="AP311" t="b">
        <v>0</v>
      </c>
      <c r="AQ311" t="s">
        <v>58</v>
      </c>
      <c r="AR311" t="s">
        <v>58</v>
      </c>
      <c r="AS311" t="s">
        <v>71</v>
      </c>
      <c r="AT311">
        <v>14</v>
      </c>
      <c r="AU311">
        <v>16</v>
      </c>
      <c r="AV311">
        <v>11</v>
      </c>
      <c r="AW311">
        <v>11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s">
        <v>61</v>
      </c>
      <c r="BF311" t="s">
        <v>57</v>
      </c>
      <c r="BG311" t="s">
        <v>55</v>
      </c>
      <c r="BH311" t="s">
        <v>58</v>
      </c>
      <c r="BI311" t="s">
        <v>58</v>
      </c>
    </row>
    <row r="312" spans="1:61" x14ac:dyDescent="0.25">
      <c r="A312" t="str" cm="1">
        <f t="array" ref="A312">_xlfn.IFS(AS312="RegularSeason",C312,AS312&lt;&gt;"RegularSeason",R312)</f>
        <v>00101101010010100000000000000100</v>
      </c>
      <c r="B312" t="str" cm="1">
        <f t="array" ref="B312">_xlfn.IFS(AS312="RegularSeason",D312,AS312&lt;&gt;"RegularSeason",K312)</f>
        <v>00101101010010100000000000100100</v>
      </c>
      <c r="C312" t="str">
        <f t="shared" si="12"/>
        <v>00101101010010100000000000000100</v>
      </c>
      <c r="D312" t="str">
        <f t="shared" si="13"/>
        <v>00101101010010100000000000100100</v>
      </c>
      <c r="E312" t="str" cm="1">
        <f t="array" ref="E312">_xlfn.XLOOKUP(_xlfn.XLOOKUP(G312,New!A:A,New!M:M,NONE),TeamIdentity!A:A,TeamIdentity!C:C,NONE)</f>
        <v>00000100</v>
      </c>
      <c r="F312" t="str" cm="1">
        <f t="array" ref="F312">_xlfn.XLOOKUP(_xlfn.XLOOKUP(G312,New!A:A,New!F:F,NONE),TeamIdentity!A:A,TeamIdentity!C:C,NONE)</f>
        <v>00100100</v>
      </c>
      <c r="G312" t="str">
        <f t="shared" si="14"/>
        <v>16-7</v>
      </c>
      <c r="H312" t="s">
        <v>54</v>
      </c>
      <c r="I312" t="s">
        <v>54</v>
      </c>
      <c r="J312" t="s">
        <v>54</v>
      </c>
      <c r="K312" t="s">
        <v>532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518</v>
      </c>
      <c r="S312">
        <v>-1</v>
      </c>
      <c r="T312">
        <v>0</v>
      </c>
      <c r="U312">
        <v>-1</v>
      </c>
      <c r="V312">
        <v>0</v>
      </c>
      <c r="W312" t="s">
        <v>70</v>
      </c>
      <c r="X312">
        <v>0</v>
      </c>
      <c r="Y312">
        <v>0</v>
      </c>
      <c r="Z312">
        <v>780</v>
      </c>
      <c r="AA312" t="s">
        <v>57</v>
      </c>
      <c r="AB312">
        <v>0</v>
      </c>
      <c r="AC312">
        <v>0</v>
      </c>
      <c r="AD312">
        <v>0</v>
      </c>
      <c r="AE312">
        <v>0</v>
      </c>
      <c r="AF312" t="s">
        <v>67</v>
      </c>
      <c r="AG312">
        <v>0</v>
      </c>
      <c r="AH312">
        <v>0</v>
      </c>
      <c r="AI312">
        <v>0</v>
      </c>
      <c r="AJ312">
        <v>0</v>
      </c>
      <c r="AK312" t="s">
        <v>60</v>
      </c>
      <c r="AL312">
        <v>0</v>
      </c>
      <c r="AM312">
        <v>0</v>
      </c>
      <c r="AN312">
        <v>0</v>
      </c>
      <c r="AO312">
        <v>0</v>
      </c>
      <c r="AP312" t="b">
        <v>0</v>
      </c>
      <c r="AQ312" t="s">
        <v>58</v>
      </c>
      <c r="AR312" t="s">
        <v>58</v>
      </c>
      <c r="AS312" t="s">
        <v>71</v>
      </c>
      <c r="AT312">
        <v>14</v>
      </c>
      <c r="AU312">
        <v>16</v>
      </c>
      <c r="AV312">
        <v>7</v>
      </c>
      <c r="AW312">
        <v>11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s">
        <v>61</v>
      </c>
      <c r="BF312" t="s">
        <v>57</v>
      </c>
      <c r="BG312" t="s">
        <v>55</v>
      </c>
      <c r="BH312" t="s">
        <v>58</v>
      </c>
      <c r="BI312" t="s">
        <v>58</v>
      </c>
    </row>
    <row r="313" spans="1:61" x14ac:dyDescent="0.25">
      <c r="A313" t="str" cm="1">
        <f t="array" ref="A313">_xlfn.IFS(AS313="RegularSeason",C313,AS313&lt;&gt;"RegularSeason",R313)</f>
        <v>00000000000000000000000000000000</v>
      </c>
      <c r="B313" t="str" cm="1">
        <f t="array" ref="B313">_xlfn.IFS(AS313="RegularSeason",D313,AS313&lt;&gt;"RegularSeason",K313)</f>
        <v>00000000000000000000000000000000</v>
      </c>
      <c r="C313" t="e">
        <f t="shared" si="12"/>
        <v>#NAME?</v>
      </c>
      <c r="D313" t="e">
        <f t="shared" si="13"/>
        <v>#NAME?</v>
      </c>
      <c r="E313" t="e" cm="1">
        <f t="array" ref="E313">_xlfn.XLOOKUP(_xlfn.XLOOKUP(G313,New!A:A,New!M:M,NONE),TeamIdentity!A:A,TeamIdentity!C:C,NONE)</f>
        <v>#NAME?</v>
      </c>
      <c r="F313" t="e" cm="1">
        <f t="array" ref="F313">_xlfn.XLOOKUP(_xlfn.XLOOKUP(G313,New!A:A,New!F:F,NONE),TeamIdentity!A:A,TeamIdentity!C:C,NONE)</f>
        <v>#NAME?</v>
      </c>
      <c r="G313" t="str">
        <f t="shared" si="14"/>
        <v>22-0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>
        <v>-1</v>
      </c>
      <c r="T313">
        <v>0</v>
      </c>
      <c r="U313">
        <v>-1</v>
      </c>
      <c r="V313">
        <v>0</v>
      </c>
      <c r="W313" t="s">
        <v>70</v>
      </c>
      <c r="X313">
        <v>0</v>
      </c>
      <c r="Y313">
        <v>0</v>
      </c>
      <c r="Z313">
        <v>1110</v>
      </c>
      <c r="AA313" t="s">
        <v>57</v>
      </c>
      <c r="AB313">
        <v>0</v>
      </c>
      <c r="AC313">
        <v>0</v>
      </c>
      <c r="AD313">
        <v>0</v>
      </c>
      <c r="AE313">
        <v>0</v>
      </c>
      <c r="AF313" t="s">
        <v>67</v>
      </c>
      <c r="AG313">
        <v>0</v>
      </c>
      <c r="AH313">
        <v>0</v>
      </c>
      <c r="AI313">
        <v>0</v>
      </c>
      <c r="AJ313">
        <v>0</v>
      </c>
      <c r="AK313" t="s">
        <v>60</v>
      </c>
      <c r="AL313">
        <v>0</v>
      </c>
      <c r="AM313">
        <v>0</v>
      </c>
      <c r="AN313">
        <v>0</v>
      </c>
      <c r="AO313">
        <v>0</v>
      </c>
      <c r="AP313" t="b">
        <v>0</v>
      </c>
      <c r="AQ313" t="s">
        <v>58</v>
      </c>
      <c r="AR313" t="s">
        <v>58</v>
      </c>
      <c r="AS313" t="s">
        <v>72</v>
      </c>
      <c r="AT313">
        <v>14</v>
      </c>
      <c r="AU313">
        <v>22</v>
      </c>
      <c r="AV313">
        <v>0</v>
      </c>
      <c r="AW313">
        <v>11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s">
        <v>61</v>
      </c>
      <c r="BF313" t="s">
        <v>57</v>
      </c>
      <c r="BG313" t="s">
        <v>55</v>
      </c>
      <c r="BH313" t="s">
        <v>58</v>
      </c>
      <c r="BI313" t="s">
        <v>58</v>
      </c>
    </row>
    <row r="314" spans="1:61" x14ac:dyDescent="0.25">
      <c r="A314" t="str" cm="1">
        <f t="array" ref="A314">_xlfn.IFS(AS314="RegularSeason",C314,AS314&lt;&gt;"RegularSeason",R314)</f>
        <v>00101101010010100000000000000101</v>
      </c>
      <c r="B314" t="str" cm="1">
        <f t="array" ref="B314">_xlfn.IFS(AS314="RegularSeason",D314,AS314&lt;&gt;"RegularSeason",K314)</f>
        <v>00101101010010100000000000011110</v>
      </c>
      <c r="C314" t="str">
        <f t="shared" si="12"/>
        <v>00101101010010100000000000000101</v>
      </c>
      <c r="D314" t="str">
        <f t="shared" si="13"/>
        <v>00101101010010100000000000011110</v>
      </c>
      <c r="E314" t="str" cm="1">
        <f t="array" ref="E314">_xlfn.XLOOKUP(_xlfn.XLOOKUP(G314,New!A:A,New!M:M,NONE),TeamIdentity!A:A,TeamIdentity!C:C,NONE)</f>
        <v>00000101</v>
      </c>
      <c r="F314" t="str" cm="1">
        <f t="array" ref="F314">_xlfn.XLOOKUP(_xlfn.XLOOKUP(G314,New!A:A,New!F:F,NONE),TeamIdentity!A:A,TeamIdentity!C:C,NONE)</f>
        <v>00011110</v>
      </c>
      <c r="G314" t="str">
        <f t="shared" si="14"/>
        <v>17-15</v>
      </c>
      <c r="H314" t="s">
        <v>54</v>
      </c>
      <c r="I314" t="s">
        <v>54</v>
      </c>
      <c r="J314" t="s">
        <v>54</v>
      </c>
      <c r="K314" t="s">
        <v>523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539</v>
      </c>
      <c r="S314">
        <v>-1</v>
      </c>
      <c r="T314">
        <v>0</v>
      </c>
      <c r="U314">
        <v>-1</v>
      </c>
      <c r="V314">
        <v>0</v>
      </c>
      <c r="W314" t="s">
        <v>70</v>
      </c>
      <c r="X314">
        <v>0</v>
      </c>
      <c r="Y314">
        <v>0</v>
      </c>
      <c r="Z314">
        <v>1220</v>
      </c>
      <c r="AA314" t="s">
        <v>57</v>
      </c>
      <c r="AB314">
        <v>0</v>
      </c>
      <c r="AC314">
        <v>0</v>
      </c>
      <c r="AD314">
        <v>0</v>
      </c>
      <c r="AE314">
        <v>0</v>
      </c>
      <c r="AF314" t="s">
        <v>60</v>
      </c>
      <c r="AG314">
        <v>0</v>
      </c>
      <c r="AH314">
        <v>0</v>
      </c>
      <c r="AI314">
        <v>0</v>
      </c>
      <c r="AJ314">
        <v>0</v>
      </c>
      <c r="AK314" t="s">
        <v>60</v>
      </c>
      <c r="AL314">
        <v>0</v>
      </c>
      <c r="AM314">
        <v>0</v>
      </c>
      <c r="AN314">
        <v>0</v>
      </c>
      <c r="AO314">
        <v>0</v>
      </c>
      <c r="AP314" t="b">
        <v>0</v>
      </c>
      <c r="AQ314" t="s">
        <v>58</v>
      </c>
      <c r="AR314" t="s">
        <v>58</v>
      </c>
      <c r="AS314" t="s">
        <v>71</v>
      </c>
      <c r="AT314">
        <v>14</v>
      </c>
      <c r="AU314">
        <v>17</v>
      </c>
      <c r="AV314">
        <v>15</v>
      </c>
      <c r="AW314">
        <v>11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s">
        <v>61</v>
      </c>
      <c r="BF314" t="s">
        <v>57</v>
      </c>
      <c r="BG314" t="s">
        <v>55</v>
      </c>
      <c r="BH314" t="s">
        <v>58</v>
      </c>
      <c r="BI314" t="s">
        <v>58</v>
      </c>
    </row>
    <row r="315" spans="1:61" x14ac:dyDescent="0.25">
      <c r="A315" t="str" cm="1">
        <f t="array" ref="A315">_xlfn.IFS(AS315="RegularSeason",C315,AS315&lt;&gt;"RegularSeason",R315)</f>
        <v>00101101010010100000000000000010</v>
      </c>
      <c r="B315" t="str" cm="1">
        <f t="array" ref="B315">_xlfn.IFS(AS315="RegularSeason",D315,AS315&lt;&gt;"RegularSeason",K315)</f>
        <v>00101101010010100000000000100001</v>
      </c>
      <c r="C315" t="str">
        <f t="shared" si="12"/>
        <v>00101101010010100000000000000010</v>
      </c>
      <c r="D315" t="str">
        <f t="shared" si="13"/>
        <v>00101101010010100000000000100001</v>
      </c>
      <c r="E315" t="str" cm="1">
        <f t="array" ref="E315">_xlfn.XLOOKUP(_xlfn.XLOOKUP(G315,New!A:A,New!M:M,NONE),TeamIdentity!A:A,TeamIdentity!C:C,NONE)</f>
        <v>00000010</v>
      </c>
      <c r="F315" t="str" cm="1">
        <f t="array" ref="F315">_xlfn.XLOOKUP(_xlfn.XLOOKUP(G315,New!A:A,New!F:F,NONE),TeamIdentity!A:A,TeamIdentity!C:C,NONE)</f>
        <v>00100001</v>
      </c>
      <c r="G315" t="str">
        <f t="shared" si="14"/>
        <v>17-6</v>
      </c>
      <c r="H315" t="s">
        <v>54</v>
      </c>
      <c r="I315" t="s">
        <v>54</v>
      </c>
      <c r="J315" t="s">
        <v>54</v>
      </c>
      <c r="K315" t="s">
        <v>520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530</v>
      </c>
      <c r="S315">
        <v>-1</v>
      </c>
      <c r="T315">
        <v>0</v>
      </c>
      <c r="U315">
        <v>-1</v>
      </c>
      <c r="V315">
        <v>0</v>
      </c>
      <c r="W315" t="s">
        <v>70</v>
      </c>
      <c r="X315">
        <v>0</v>
      </c>
      <c r="Y315">
        <v>0</v>
      </c>
      <c r="Z315">
        <v>780</v>
      </c>
      <c r="AA315" t="s">
        <v>57</v>
      </c>
      <c r="AB315">
        <v>0</v>
      </c>
      <c r="AC315">
        <v>0</v>
      </c>
      <c r="AD315">
        <v>0</v>
      </c>
      <c r="AE315">
        <v>0</v>
      </c>
      <c r="AF315" t="s">
        <v>67</v>
      </c>
      <c r="AG315">
        <v>0</v>
      </c>
      <c r="AH315">
        <v>0</v>
      </c>
      <c r="AI315">
        <v>0</v>
      </c>
      <c r="AJ315">
        <v>0</v>
      </c>
      <c r="AK315" t="s">
        <v>60</v>
      </c>
      <c r="AL315">
        <v>0</v>
      </c>
      <c r="AM315">
        <v>0</v>
      </c>
      <c r="AN315">
        <v>0</v>
      </c>
      <c r="AO315">
        <v>0</v>
      </c>
      <c r="AP315" t="b">
        <v>0</v>
      </c>
      <c r="AQ315" t="s">
        <v>58</v>
      </c>
      <c r="AR315" t="s">
        <v>58</v>
      </c>
      <c r="AS315" t="s">
        <v>71</v>
      </c>
      <c r="AT315">
        <v>14</v>
      </c>
      <c r="AU315">
        <v>17</v>
      </c>
      <c r="AV315">
        <v>6</v>
      </c>
      <c r="AW315">
        <v>11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s">
        <v>61</v>
      </c>
      <c r="BF315" t="s">
        <v>57</v>
      </c>
      <c r="BG315" t="s">
        <v>55</v>
      </c>
      <c r="BH315" t="s">
        <v>58</v>
      </c>
      <c r="BI315" t="s">
        <v>58</v>
      </c>
    </row>
    <row r="316" spans="1:61" x14ac:dyDescent="0.25">
      <c r="A316" t="str" cm="1">
        <f t="array" ref="A316">_xlfn.IFS(AS316="RegularSeason",C316,AS316&lt;&gt;"RegularSeason",R316)</f>
        <v>00101101010010100000000000010001</v>
      </c>
      <c r="B316" t="str" cm="1">
        <f t="array" ref="B316">_xlfn.IFS(AS316="RegularSeason",D316,AS316&lt;&gt;"RegularSeason",K316)</f>
        <v>00101101010010100000000000011111</v>
      </c>
      <c r="C316" t="str">
        <f t="shared" si="12"/>
        <v>00101101010010100000000000010001</v>
      </c>
      <c r="D316" t="str">
        <f t="shared" si="13"/>
        <v>00101101010010100000000000011111</v>
      </c>
      <c r="E316" t="str" cm="1">
        <f t="array" ref="E316">_xlfn.XLOOKUP(_xlfn.XLOOKUP(G316,New!A:A,New!M:M,NONE),TeamIdentity!A:A,TeamIdentity!C:C,NONE)</f>
        <v>00010001</v>
      </c>
      <c r="F316" t="str" cm="1">
        <f t="array" ref="F316">_xlfn.XLOOKUP(_xlfn.XLOOKUP(G316,New!A:A,New!F:F,NONE),TeamIdentity!A:A,TeamIdentity!C:C,NONE)</f>
        <v>00011111</v>
      </c>
      <c r="G316" t="str">
        <f t="shared" si="14"/>
        <v>17-9</v>
      </c>
      <c r="H316" t="s">
        <v>54</v>
      </c>
      <c r="I316" t="s">
        <v>54</v>
      </c>
      <c r="J316" t="s">
        <v>54</v>
      </c>
      <c r="K316" t="s">
        <v>511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540</v>
      </c>
      <c r="S316">
        <v>-1</v>
      </c>
      <c r="T316">
        <v>0</v>
      </c>
      <c r="U316">
        <v>-1</v>
      </c>
      <c r="V316">
        <v>0</v>
      </c>
      <c r="W316" t="s">
        <v>70</v>
      </c>
      <c r="X316">
        <v>0</v>
      </c>
      <c r="Y316">
        <v>0</v>
      </c>
      <c r="Z316">
        <v>965</v>
      </c>
      <c r="AA316" t="s">
        <v>57</v>
      </c>
      <c r="AB316">
        <v>0</v>
      </c>
      <c r="AC316">
        <v>0</v>
      </c>
      <c r="AD316">
        <v>0</v>
      </c>
      <c r="AE316">
        <v>0</v>
      </c>
      <c r="AF316" t="s">
        <v>67</v>
      </c>
      <c r="AG316">
        <v>0</v>
      </c>
      <c r="AH316">
        <v>0</v>
      </c>
      <c r="AI316">
        <v>0</v>
      </c>
      <c r="AJ316">
        <v>0</v>
      </c>
      <c r="AK316" t="s">
        <v>60</v>
      </c>
      <c r="AL316">
        <v>0</v>
      </c>
      <c r="AM316">
        <v>0</v>
      </c>
      <c r="AN316">
        <v>0</v>
      </c>
      <c r="AO316">
        <v>0</v>
      </c>
      <c r="AP316" t="b">
        <v>0</v>
      </c>
      <c r="AQ316" t="s">
        <v>58</v>
      </c>
      <c r="AR316" t="s">
        <v>58</v>
      </c>
      <c r="AS316" t="s">
        <v>71</v>
      </c>
      <c r="AT316">
        <v>14</v>
      </c>
      <c r="AU316">
        <v>17</v>
      </c>
      <c r="AV316">
        <v>9</v>
      </c>
      <c r="AW316">
        <v>11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s">
        <v>61</v>
      </c>
      <c r="BF316" t="s">
        <v>57</v>
      </c>
      <c r="BG316" t="s">
        <v>55</v>
      </c>
      <c r="BH316" t="s">
        <v>58</v>
      </c>
      <c r="BI316" t="s">
        <v>58</v>
      </c>
    </row>
    <row r="317" spans="1:61" x14ac:dyDescent="0.25">
      <c r="A317" t="str" cm="1">
        <f t="array" ref="A317">_xlfn.IFS(AS317="RegularSeason",C317,AS317&lt;&gt;"RegularSeason",R317)</f>
        <v>00101101010010100000000000100100</v>
      </c>
      <c r="B317" t="str" cm="1">
        <f t="array" ref="B317">_xlfn.IFS(AS317="RegularSeason",D317,AS317&lt;&gt;"RegularSeason",K317)</f>
        <v>00101101010010100000000000011111</v>
      </c>
      <c r="C317" t="str">
        <f t="shared" si="12"/>
        <v>00101101010010100000000000100100</v>
      </c>
      <c r="D317" t="str">
        <f t="shared" si="13"/>
        <v>00101101010010100000000000011111</v>
      </c>
      <c r="E317" t="str" cm="1">
        <f t="array" ref="E317">_xlfn.XLOOKUP(_xlfn.XLOOKUP(G317,New!A:A,New!M:M,NONE),TeamIdentity!A:A,TeamIdentity!C:C,NONE)</f>
        <v>00100100</v>
      </c>
      <c r="F317" t="str" cm="1">
        <f t="array" ref="F317">_xlfn.XLOOKUP(_xlfn.XLOOKUP(G317,New!A:A,New!F:F,NONE),TeamIdentity!A:A,TeamIdentity!C:C,NONE)</f>
        <v>00011111</v>
      </c>
      <c r="G317" t="str">
        <f t="shared" si="14"/>
        <v>15-9</v>
      </c>
      <c r="H317" t="s">
        <v>54</v>
      </c>
      <c r="I317" t="s">
        <v>54</v>
      </c>
      <c r="J317" t="s">
        <v>54</v>
      </c>
      <c r="K317" t="s">
        <v>541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516</v>
      </c>
      <c r="S317">
        <v>-1</v>
      </c>
      <c r="T317">
        <v>0</v>
      </c>
      <c r="U317">
        <v>-1</v>
      </c>
      <c r="V317">
        <v>0</v>
      </c>
      <c r="W317" t="s">
        <v>70</v>
      </c>
      <c r="X317">
        <v>0</v>
      </c>
      <c r="Y317">
        <v>0</v>
      </c>
      <c r="Z317">
        <v>965</v>
      </c>
      <c r="AA317" t="s">
        <v>57</v>
      </c>
      <c r="AB317">
        <v>0</v>
      </c>
      <c r="AC317">
        <v>0</v>
      </c>
      <c r="AD317">
        <v>0</v>
      </c>
      <c r="AE317">
        <v>0</v>
      </c>
      <c r="AF317" t="s">
        <v>67</v>
      </c>
      <c r="AG317">
        <v>0</v>
      </c>
      <c r="AH317">
        <v>0</v>
      </c>
      <c r="AI317">
        <v>0</v>
      </c>
      <c r="AJ317">
        <v>0</v>
      </c>
      <c r="AK317" t="s">
        <v>60</v>
      </c>
      <c r="AL317">
        <v>0</v>
      </c>
      <c r="AM317">
        <v>0</v>
      </c>
      <c r="AN317">
        <v>0</v>
      </c>
      <c r="AO317">
        <v>0</v>
      </c>
      <c r="AP317" t="b">
        <v>0</v>
      </c>
      <c r="AQ317" t="s">
        <v>58</v>
      </c>
      <c r="AR317" t="s">
        <v>58</v>
      </c>
      <c r="AS317" t="s">
        <v>71</v>
      </c>
      <c r="AT317">
        <v>14</v>
      </c>
      <c r="AU317">
        <v>15</v>
      </c>
      <c r="AV317">
        <v>9</v>
      </c>
      <c r="AW317">
        <v>11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s">
        <v>61</v>
      </c>
      <c r="BF317" t="s">
        <v>57</v>
      </c>
      <c r="BG317" t="s">
        <v>55</v>
      </c>
      <c r="BH317" t="s">
        <v>58</v>
      </c>
      <c r="BI317" t="s">
        <v>58</v>
      </c>
    </row>
    <row r="318" spans="1:61" x14ac:dyDescent="0.25">
      <c r="A318" t="str" cm="1">
        <f t="array" ref="A318">_xlfn.IFS(AS318="RegularSeason",C318,AS318&lt;&gt;"RegularSeason",R318)</f>
        <v>00101101010010100000000000001011</v>
      </c>
      <c r="B318" t="str" cm="1">
        <f t="array" ref="B318">_xlfn.IFS(AS318="RegularSeason",D318,AS318&lt;&gt;"RegularSeason",K318)</f>
        <v>00101101010010100000000000000100</v>
      </c>
      <c r="C318" t="str">
        <f t="shared" si="12"/>
        <v>00101101010010100000000000001011</v>
      </c>
      <c r="D318" t="str">
        <f t="shared" si="13"/>
        <v>00101101010010100000000000000100</v>
      </c>
      <c r="E318" t="str" cm="1">
        <f t="array" ref="E318">_xlfn.XLOOKUP(_xlfn.XLOOKUP(G318,New!A:A,New!M:M,NONE),TeamIdentity!A:A,TeamIdentity!C:C,NONE)</f>
        <v>00001011</v>
      </c>
      <c r="F318" t="str" cm="1">
        <f t="array" ref="F318">_xlfn.XLOOKUP(_xlfn.XLOOKUP(G318,New!A:A,New!F:F,NONE),TeamIdentity!A:A,TeamIdentity!C:C,NONE)</f>
        <v>00000100</v>
      </c>
      <c r="G318" t="str">
        <f t="shared" si="14"/>
        <v>17-7</v>
      </c>
      <c r="H318" t="s">
        <v>54</v>
      </c>
      <c r="I318" t="s">
        <v>54</v>
      </c>
      <c r="J318" t="s">
        <v>54</v>
      </c>
      <c r="K318" t="s">
        <v>515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529</v>
      </c>
      <c r="S318">
        <v>-1</v>
      </c>
      <c r="T318">
        <v>0</v>
      </c>
      <c r="U318">
        <v>-1</v>
      </c>
      <c r="V318">
        <v>0</v>
      </c>
      <c r="W318" t="s">
        <v>70</v>
      </c>
      <c r="X318">
        <v>0</v>
      </c>
      <c r="Y318">
        <v>0</v>
      </c>
      <c r="Z318">
        <v>780</v>
      </c>
      <c r="AA318" t="s">
        <v>57</v>
      </c>
      <c r="AB318">
        <v>0</v>
      </c>
      <c r="AC318">
        <v>0</v>
      </c>
      <c r="AD318">
        <v>0</v>
      </c>
      <c r="AE318">
        <v>0</v>
      </c>
      <c r="AF318" t="s">
        <v>67</v>
      </c>
      <c r="AG318">
        <v>0</v>
      </c>
      <c r="AH318">
        <v>0</v>
      </c>
      <c r="AI318">
        <v>0</v>
      </c>
      <c r="AJ318">
        <v>0</v>
      </c>
      <c r="AK318" t="s">
        <v>60</v>
      </c>
      <c r="AL318">
        <v>0</v>
      </c>
      <c r="AM318">
        <v>0</v>
      </c>
      <c r="AN318">
        <v>0</v>
      </c>
      <c r="AO318">
        <v>0</v>
      </c>
      <c r="AP318" t="b">
        <v>0</v>
      </c>
      <c r="AQ318" t="s">
        <v>58</v>
      </c>
      <c r="AR318" t="s">
        <v>58</v>
      </c>
      <c r="AS318" t="s">
        <v>71</v>
      </c>
      <c r="AT318">
        <v>14</v>
      </c>
      <c r="AU318">
        <v>17</v>
      </c>
      <c r="AV318">
        <v>7</v>
      </c>
      <c r="AW318">
        <v>11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s">
        <v>61</v>
      </c>
      <c r="BF318" t="s">
        <v>57</v>
      </c>
      <c r="BG318" t="s">
        <v>55</v>
      </c>
      <c r="BH318" t="s">
        <v>58</v>
      </c>
      <c r="BI318" t="s">
        <v>58</v>
      </c>
    </row>
    <row r="319" spans="1:61" x14ac:dyDescent="0.25">
      <c r="A319" t="str" cm="1">
        <f t="array" ref="A319">_xlfn.IFS(AS319="RegularSeason",C319,AS319&lt;&gt;"RegularSeason",R319)</f>
        <v>00101101010010100000000000000001</v>
      </c>
      <c r="B319" t="str" cm="1">
        <f t="array" ref="B319">_xlfn.IFS(AS319="RegularSeason",D319,AS319&lt;&gt;"RegularSeason",K319)</f>
        <v>00101101010010100000000000011001</v>
      </c>
      <c r="C319" t="str">
        <f t="shared" si="12"/>
        <v>00101101010010100000000000000001</v>
      </c>
      <c r="D319" t="str">
        <f t="shared" si="13"/>
        <v>00101101010010100000000000011001</v>
      </c>
      <c r="E319" t="str" cm="1">
        <f t="array" ref="E319">_xlfn.XLOOKUP(_xlfn.XLOOKUP(G319,New!A:A,New!M:M,NONE),TeamIdentity!A:A,TeamIdentity!C:C,NONE)</f>
        <v>00000001</v>
      </c>
      <c r="F319" t="str" cm="1">
        <f t="array" ref="F319">_xlfn.XLOOKUP(_xlfn.XLOOKUP(G319,New!A:A,New!F:F,NONE),TeamIdentity!A:A,TeamIdentity!C:C,NONE)</f>
        <v>00011001</v>
      </c>
      <c r="G319" t="str">
        <f t="shared" si="14"/>
        <v>17-12</v>
      </c>
      <c r="H319" t="s">
        <v>54</v>
      </c>
      <c r="I319" t="s">
        <v>54</v>
      </c>
      <c r="J319" t="s">
        <v>54</v>
      </c>
      <c r="K319" t="s">
        <v>513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525</v>
      </c>
      <c r="S319">
        <v>-1</v>
      </c>
      <c r="T319">
        <v>0</v>
      </c>
      <c r="U319">
        <v>-1</v>
      </c>
      <c r="V319">
        <v>0</v>
      </c>
      <c r="W319" t="s">
        <v>70</v>
      </c>
      <c r="X319">
        <v>0</v>
      </c>
      <c r="Y319">
        <v>0</v>
      </c>
      <c r="Z319">
        <v>975</v>
      </c>
      <c r="AA319" t="s">
        <v>57</v>
      </c>
      <c r="AB319">
        <v>0</v>
      </c>
      <c r="AC319">
        <v>0</v>
      </c>
      <c r="AD319">
        <v>0</v>
      </c>
      <c r="AE319">
        <v>0</v>
      </c>
      <c r="AF319" t="s">
        <v>67</v>
      </c>
      <c r="AG319">
        <v>0</v>
      </c>
      <c r="AH319">
        <v>0</v>
      </c>
      <c r="AI319">
        <v>0</v>
      </c>
      <c r="AJ319">
        <v>0</v>
      </c>
      <c r="AK319" t="s">
        <v>60</v>
      </c>
      <c r="AL319">
        <v>0</v>
      </c>
      <c r="AM319">
        <v>0</v>
      </c>
      <c r="AN319">
        <v>0</v>
      </c>
      <c r="AO319">
        <v>0</v>
      </c>
      <c r="AP319" t="b">
        <v>0</v>
      </c>
      <c r="AQ319" t="s">
        <v>58</v>
      </c>
      <c r="AR319" t="s">
        <v>58</v>
      </c>
      <c r="AS319" t="s">
        <v>71</v>
      </c>
      <c r="AT319">
        <v>14</v>
      </c>
      <c r="AU319">
        <v>17</v>
      </c>
      <c r="AV319">
        <v>12</v>
      </c>
      <c r="AW319">
        <v>11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s">
        <v>61</v>
      </c>
      <c r="BF319" t="s">
        <v>57</v>
      </c>
      <c r="BG319" t="s">
        <v>55</v>
      </c>
      <c r="BH319" t="s">
        <v>58</v>
      </c>
      <c r="BI319" t="s">
        <v>58</v>
      </c>
    </row>
    <row r="320" spans="1:61" x14ac:dyDescent="0.25">
      <c r="A320" t="str" cm="1">
        <f t="array" ref="A320">_xlfn.IFS(AS320="RegularSeason",C320,AS320&lt;&gt;"RegularSeason",R320)</f>
        <v>00101101010010100000000000001100</v>
      </c>
      <c r="B320" t="str" cm="1">
        <f t="array" ref="B320">_xlfn.IFS(AS320="RegularSeason",D320,AS320&lt;&gt;"RegularSeason",K320)</f>
        <v>00101101010010100000000000100011</v>
      </c>
      <c r="C320" t="str">
        <f t="shared" si="12"/>
        <v>00101101010010100000000000001100</v>
      </c>
      <c r="D320" t="str">
        <f t="shared" si="13"/>
        <v>00101101010010100000000000100011</v>
      </c>
      <c r="E320" t="str" cm="1">
        <f t="array" ref="E320">_xlfn.XLOOKUP(_xlfn.XLOOKUP(G320,New!A:A,New!M:M,NONE),TeamIdentity!A:A,TeamIdentity!C:C,NONE)</f>
        <v>00001100</v>
      </c>
      <c r="F320" t="str" cm="1">
        <f t="array" ref="F320">_xlfn.XLOOKUP(_xlfn.XLOOKUP(G320,New!A:A,New!F:F,NONE),TeamIdentity!A:A,TeamIdentity!C:C,NONE)</f>
        <v>00100011</v>
      </c>
      <c r="G320" t="str">
        <f t="shared" si="14"/>
        <v>17-13</v>
      </c>
      <c r="H320" t="s">
        <v>54</v>
      </c>
      <c r="I320" t="s">
        <v>54</v>
      </c>
      <c r="J320" t="s">
        <v>54</v>
      </c>
      <c r="K320" t="s">
        <v>534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536</v>
      </c>
      <c r="S320">
        <v>-1</v>
      </c>
      <c r="T320">
        <v>0</v>
      </c>
      <c r="U320">
        <v>-1</v>
      </c>
      <c r="V320">
        <v>0</v>
      </c>
      <c r="W320" t="s">
        <v>70</v>
      </c>
      <c r="X320">
        <v>0</v>
      </c>
      <c r="Y320">
        <v>0</v>
      </c>
      <c r="Z320">
        <v>975</v>
      </c>
      <c r="AA320" t="s">
        <v>57</v>
      </c>
      <c r="AB320">
        <v>0</v>
      </c>
      <c r="AC320">
        <v>0</v>
      </c>
      <c r="AD320">
        <v>0</v>
      </c>
      <c r="AE320">
        <v>0</v>
      </c>
      <c r="AF320" t="s">
        <v>67</v>
      </c>
      <c r="AG320">
        <v>0</v>
      </c>
      <c r="AH320">
        <v>0</v>
      </c>
      <c r="AI320">
        <v>0</v>
      </c>
      <c r="AJ320">
        <v>0</v>
      </c>
      <c r="AK320" t="s">
        <v>60</v>
      </c>
      <c r="AL320">
        <v>0</v>
      </c>
      <c r="AM320">
        <v>0</v>
      </c>
      <c r="AN320">
        <v>0</v>
      </c>
      <c r="AO320">
        <v>0</v>
      </c>
      <c r="AP320" t="b">
        <v>0</v>
      </c>
      <c r="AQ320" t="s">
        <v>58</v>
      </c>
      <c r="AR320" t="s">
        <v>58</v>
      </c>
      <c r="AS320" t="s">
        <v>71</v>
      </c>
      <c r="AT320">
        <v>14</v>
      </c>
      <c r="AU320">
        <v>17</v>
      </c>
      <c r="AV320">
        <v>13</v>
      </c>
      <c r="AW320">
        <v>11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s">
        <v>61</v>
      </c>
      <c r="BF320" t="s">
        <v>57</v>
      </c>
      <c r="BG320" t="s">
        <v>55</v>
      </c>
      <c r="BH320" t="s">
        <v>58</v>
      </c>
      <c r="BI320" t="s">
        <v>58</v>
      </c>
    </row>
    <row r="321" spans="1:61" x14ac:dyDescent="0.25">
      <c r="A321" t="str" cm="1">
        <f t="array" ref="A321">_xlfn.IFS(AS321="RegularSeason",C321,AS321&lt;&gt;"RegularSeason",R321)</f>
        <v>00000000000000000000000000000000</v>
      </c>
      <c r="B321" t="str" cm="1">
        <f t="array" ref="B321">_xlfn.IFS(AS321="RegularSeason",D321,AS321&lt;&gt;"RegularSeason",K321)</f>
        <v>00000000000000000000000000000000</v>
      </c>
      <c r="C321" t="e">
        <f t="shared" si="12"/>
        <v>#NAME?</v>
      </c>
      <c r="D321" t="e">
        <f t="shared" si="13"/>
        <v>#NAME?</v>
      </c>
      <c r="E321" t="e" cm="1">
        <f t="array" ref="E321">_xlfn.XLOOKUP(_xlfn.XLOOKUP(G321,New!A:A,New!M:M,NONE),TeamIdentity!A:A,TeamIdentity!C:C,NONE)</f>
        <v>#NAME?</v>
      </c>
      <c r="F321" t="e" cm="1">
        <f t="array" ref="F321">_xlfn.XLOOKUP(_xlfn.XLOOKUP(G321,New!A:A,New!F:F,NONE),TeamIdentity!A:A,TeamIdentity!C:C,NONE)</f>
        <v>#NAME?</v>
      </c>
      <c r="G321" t="str">
        <f t="shared" si="14"/>
        <v>20-1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>
        <v>-1</v>
      </c>
      <c r="T321">
        <v>0</v>
      </c>
      <c r="U321">
        <v>-1</v>
      </c>
      <c r="V321">
        <v>0</v>
      </c>
      <c r="W321" t="s">
        <v>70</v>
      </c>
      <c r="X321">
        <v>0</v>
      </c>
      <c r="Y321">
        <v>0</v>
      </c>
      <c r="Z321">
        <v>1120</v>
      </c>
      <c r="AA321" t="s">
        <v>57</v>
      </c>
      <c r="AB321">
        <v>0</v>
      </c>
      <c r="AC321">
        <v>0</v>
      </c>
      <c r="AD321">
        <v>0</v>
      </c>
      <c r="AE321">
        <v>0</v>
      </c>
      <c r="AF321" t="s">
        <v>67</v>
      </c>
      <c r="AG321">
        <v>0</v>
      </c>
      <c r="AH321">
        <v>0</v>
      </c>
      <c r="AI321">
        <v>0</v>
      </c>
      <c r="AJ321">
        <v>0</v>
      </c>
      <c r="AK321" t="s">
        <v>60</v>
      </c>
      <c r="AL321">
        <v>0</v>
      </c>
      <c r="AM321">
        <v>0</v>
      </c>
      <c r="AN321">
        <v>0</v>
      </c>
      <c r="AO321">
        <v>0</v>
      </c>
      <c r="AP321" t="b">
        <v>0</v>
      </c>
      <c r="AQ321" t="s">
        <v>58</v>
      </c>
      <c r="AR321" t="s">
        <v>58</v>
      </c>
      <c r="AS321" t="s">
        <v>56</v>
      </c>
      <c r="AT321">
        <v>14</v>
      </c>
      <c r="AU321">
        <v>20</v>
      </c>
      <c r="AV321">
        <v>1</v>
      </c>
      <c r="AW321">
        <v>11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s">
        <v>61</v>
      </c>
      <c r="BF321" t="s">
        <v>57</v>
      </c>
      <c r="BG321" t="s">
        <v>55</v>
      </c>
      <c r="BH321" t="s">
        <v>58</v>
      </c>
      <c r="BI321" t="s">
        <v>58</v>
      </c>
    </row>
    <row r="322" spans="1:61" x14ac:dyDescent="0.25">
      <c r="A322" t="str" cm="1">
        <f t="array" ref="A322">_xlfn.IFS(AS322="RegularSeason",C322,AS322&lt;&gt;"RegularSeason",R322)</f>
        <v>00000000000000000000000000000000</v>
      </c>
      <c r="B322" t="str" cm="1">
        <f t="array" ref="B322">_xlfn.IFS(AS322="RegularSeason",D322,AS322&lt;&gt;"RegularSeason",K322)</f>
        <v>00000000000000000000000000000000</v>
      </c>
      <c r="C322" t="e">
        <f t="shared" si="12"/>
        <v>#NAME?</v>
      </c>
      <c r="D322" t="e">
        <f t="shared" si="13"/>
        <v>#NAME?</v>
      </c>
      <c r="E322" t="e" cm="1">
        <f t="array" ref="E322">_xlfn.XLOOKUP(_xlfn.XLOOKUP(G322,New!A:A,New!M:M,NONE),TeamIdentity!A:A,TeamIdentity!C:C,NONE)</f>
        <v>#NAME?</v>
      </c>
      <c r="F322" t="e" cm="1">
        <f t="array" ref="F322">_xlfn.XLOOKUP(_xlfn.XLOOKUP(G322,New!A:A,New!F:F,NONE),TeamIdentity!A:A,TeamIdentity!C:C,NONE)</f>
        <v>#NAME?</v>
      </c>
      <c r="G322" t="str">
        <f t="shared" si="14"/>
        <v>20-0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54</v>
      </c>
      <c r="N322" t="s">
        <v>54</v>
      </c>
      <c r="O322" t="s">
        <v>54</v>
      </c>
      <c r="P322" t="s">
        <v>54</v>
      </c>
      <c r="Q322" t="s">
        <v>54</v>
      </c>
      <c r="R322" t="s">
        <v>54</v>
      </c>
      <c r="S322">
        <v>-1</v>
      </c>
      <c r="T322">
        <v>0</v>
      </c>
      <c r="U322">
        <v>-1</v>
      </c>
      <c r="V322">
        <v>0</v>
      </c>
      <c r="W322" t="s">
        <v>70</v>
      </c>
      <c r="X322">
        <v>0</v>
      </c>
      <c r="Y322">
        <v>0</v>
      </c>
      <c r="Z322">
        <v>905</v>
      </c>
      <c r="AA322" t="s">
        <v>57</v>
      </c>
      <c r="AB322">
        <v>0</v>
      </c>
      <c r="AC322">
        <v>0</v>
      </c>
      <c r="AD322">
        <v>0</v>
      </c>
      <c r="AE322">
        <v>0</v>
      </c>
      <c r="AF322" t="s">
        <v>67</v>
      </c>
      <c r="AG322">
        <v>0</v>
      </c>
      <c r="AH322">
        <v>0</v>
      </c>
      <c r="AI322">
        <v>0</v>
      </c>
      <c r="AJ322">
        <v>0</v>
      </c>
      <c r="AK322" t="s">
        <v>60</v>
      </c>
      <c r="AL322">
        <v>0</v>
      </c>
      <c r="AM322">
        <v>0</v>
      </c>
      <c r="AN322">
        <v>0</v>
      </c>
      <c r="AO322">
        <v>0</v>
      </c>
      <c r="AP322" t="b">
        <v>0</v>
      </c>
      <c r="AQ322" t="s">
        <v>58</v>
      </c>
      <c r="AR322" t="s">
        <v>58</v>
      </c>
      <c r="AS322" t="s">
        <v>56</v>
      </c>
      <c r="AT322">
        <v>14</v>
      </c>
      <c r="AU322">
        <v>20</v>
      </c>
      <c r="AV322">
        <v>0</v>
      </c>
      <c r="AW322">
        <v>11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s">
        <v>61</v>
      </c>
      <c r="BF322" t="s">
        <v>57</v>
      </c>
      <c r="BG322" t="s">
        <v>55</v>
      </c>
      <c r="BH322" t="s">
        <v>58</v>
      </c>
      <c r="BI322" t="s">
        <v>58</v>
      </c>
    </row>
    <row r="323" spans="1:61" x14ac:dyDescent="0.25">
      <c r="A323" t="str" cm="1">
        <f t="array" ref="A323">_xlfn.IFS(AS323="RegularSeason",C323,AS323&lt;&gt;"RegularSeason",R323)</f>
        <v>00000000000000000000000000000000</v>
      </c>
      <c r="B323" t="str" cm="1">
        <f t="array" ref="B323">_xlfn.IFS(AS323="RegularSeason",D323,AS323&lt;&gt;"RegularSeason",K323)</f>
        <v>00000000000000000000000000000000</v>
      </c>
      <c r="C323" t="e">
        <f t="shared" ref="C323:C386" si="15">_xlfn.CONCAT(LEFT(R323,24),E323)</f>
        <v>#NAME?</v>
      </c>
      <c r="D323" t="e">
        <f t="shared" ref="D323:D386" si="16">_xlfn.CONCAT(LEFT(K323,24),F323)</f>
        <v>#NAME?</v>
      </c>
      <c r="E323" t="e" cm="1">
        <f t="array" ref="E323">_xlfn.XLOOKUP(_xlfn.XLOOKUP(G323,New!A:A,New!M:M,NONE),TeamIdentity!A:A,TeamIdentity!C:C,NONE)</f>
        <v>#NAME?</v>
      </c>
      <c r="F323" t="e" cm="1">
        <f t="array" ref="F323">_xlfn.XLOOKUP(_xlfn.XLOOKUP(G323,New!A:A,New!F:F,NONE),TeamIdentity!A:A,TeamIdentity!C:C,NONE)</f>
        <v>#NAME?</v>
      </c>
      <c r="G323" t="str">
        <f t="shared" ref="G323:G386" si="17">_xlfn.CONCAT(AU323,"-",AV323)</f>
        <v>19-1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>
        <v>-1</v>
      </c>
      <c r="T323">
        <v>0</v>
      </c>
      <c r="U323">
        <v>-1</v>
      </c>
      <c r="V323">
        <v>0</v>
      </c>
      <c r="W323" t="s">
        <v>70</v>
      </c>
      <c r="X323">
        <v>0</v>
      </c>
      <c r="Y323">
        <v>0</v>
      </c>
      <c r="Z323">
        <v>1120</v>
      </c>
      <c r="AA323" t="s">
        <v>57</v>
      </c>
      <c r="AB323">
        <v>0</v>
      </c>
      <c r="AC323">
        <v>0</v>
      </c>
      <c r="AD323">
        <v>0</v>
      </c>
      <c r="AE323">
        <v>0</v>
      </c>
      <c r="AF323" t="s">
        <v>67</v>
      </c>
      <c r="AG323">
        <v>0</v>
      </c>
      <c r="AH323">
        <v>0</v>
      </c>
      <c r="AI323">
        <v>0</v>
      </c>
      <c r="AJ323">
        <v>0</v>
      </c>
      <c r="AK323" t="s">
        <v>60</v>
      </c>
      <c r="AL323">
        <v>0</v>
      </c>
      <c r="AM323">
        <v>0</v>
      </c>
      <c r="AN323">
        <v>0</v>
      </c>
      <c r="AO323">
        <v>0</v>
      </c>
      <c r="AP323" t="b">
        <v>0</v>
      </c>
      <c r="AQ323" t="s">
        <v>58</v>
      </c>
      <c r="AR323" t="s">
        <v>58</v>
      </c>
      <c r="AS323" t="s">
        <v>62</v>
      </c>
      <c r="AT323">
        <v>14</v>
      </c>
      <c r="AU323">
        <v>19</v>
      </c>
      <c r="AV323">
        <v>1</v>
      </c>
      <c r="AW323">
        <v>11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s">
        <v>61</v>
      </c>
      <c r="BF323" t="s">
        <v>57</v>
      </c>
      <c r="BG323" t="s">
        <v>55</v>
      </c>
      <c r="BH323" t="s">
        <v>58</v>
      </c>
      <c r="BI323" t="s">
        <v>58</v>
      </c>
    </row>
    <row r="324" spans="1:61" x14ac:dyDescent="0.25">
      <c r="A324" t="str" cm="1">
        <f t="array" ref="A324">_xlfn.IFS(AS324="RegularSeason",C324,AS324&lt;&gt;"RegularSeason",R324)</f>
        <v>00000000000000000000000000000000</v>
      </c>
      <c r="B324" t="str" cm="1">
        <f t="array" ref="B324">_xlfn.IFS(AS324="RegularSeason",D324,AS324&lt;&gt;"RegularSeason",K324)</f>
        <v>00000000000000000000000000000000</v>
      </c>
      <c r="C324" t="e">
        <f t="shared" si="15"/>
        <v>#NAME?</v>
      </c>
      <c r="D324" t="e">
        <f t="shared" si="16"/>
        <v>#NAME?</v>
      </c>
      <c r="E324" t="e" cm="1">
        <f t="array" ref="E324">_xlfn.XLOOKUP(_xlfn.XLOOKUP(G324,New!A:A,New!M:M,NONE),TeamIdentity!A:A,TeamIdentity!C:C,NONE)</f>
        <v>#NAME?</v>
      </c>
      <c r="F324" t="e" cm="1">
        <f t="array" ref="F324">_xlfn.XLOOKUP(_xlfn.XLOOKUP(G324,New!A:A,New!F:F,NONE),TeamIdentity!A:A,TeamIdentity!C:C,NONE)</f>
        <v>#NAME?</v>
      </c>
      <c r="G324" t="str">
        <f t="shared" si="17"/>
        <v>18-2</v>
      </c>
      <c r="H324" t="s">
        <v>54</v>
      </c>
      <c r="I324" t="s">
        <v>54</v>
      </c>
      <c r="J324" t="s">
        <v>54</v>
      </c>
      <c r="K324" t="s">
        <v>54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>
        <v>-1</v>
      </c>
      <c r="T324">
        <v>0</v>
      </c>
      <c r="U324">
        <v>-1</v>
      </c>
      <c r="V324">
        <v>0</v>
      </c>
      <c r="W324" t="s">
        <v>70</v>
      </c>
      <c r="X324">
        <v>0</v>
      </c>
      <c r="Y324">
        <v>0</v>
      </c>
      <c r="Z324">
        <v>1215</v>
      </c>
      <c r="AA324" t="s">
        <v>57</v>
      </c>
      <c r="AB324">
        <v>0</v>
      </c>
      <c r="AC324">
        <v>0</v>
      </c>
      <c r="AD324">
        <v>0</v>
      </c>
      <c r="AE324">
        <v>0</v>
      </c>
      <c r="AF324" t="s">
        <v>67</v>
      </c>
      <c r="AG324">
        <v>0</v>
      </c>
      <c r="AH324">
        <v>0</v>
      </c>
      <c r="AI324">
        <v>0</v>
      </c>
      <c r="AJ324">
        <v>0</v>
      </c>
      <c r="AK324" t="s">
        <v>60</v>
      </c>
      <c r="AL324">
        <v>0</v>
      </c>
      <c r="AM324">
        <v>0</v>
      </c>
      <c r="AN324">
        <v>0</v>
      </c>
      <c r="AO324">
        <v>0</v>
      </c>
      <c r="AP324" t="b">
        <v>0</v>
      </c>
      <c r="AQ324" t="s">
        <v>58</v>
      </c>
      <c r="AR324" t="s">
        <v>58</v>
      </c>
      <c r="AS324" t="s">
        <v>64</v>
      </c>
      <c r="AT324">
        <v>14</v>
      </c>
      <c r="AU324">
        <v>18</v>
      </c>
      <c r="AV324">
        <v>2</v>
      </c>
      <c r="AW324">
        <v>11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s">
        <v>61</v>
      </c>
      <c r="BF324" t="s">
        <v>57</v>
      </c>
      <c r="BG324" t="s">
        <v>55</v>
      </c>
      <c r="BH324" t="s">
        <v>58</v>
      </c>
      <c r="BI324" t="s">
        <v>58</v>
      </c>
    </row>
    <row r="325" spans="1:61" x14ac:dyDescent="0.25">
      <c r="A325" t="str" cm="1">
        <f t="array" ref="A325">_xlfn.IFS(AS325="RegularSeason",C325,AS325&lt;&gt;"RegularSeason",R325)</f>
        <v>00101101010010100000000000000000</v>
      </c>
      <c r="B325" t="str" cm="1">
        <f t="array" ref="B325">_xlfn.IFS(AS325="RegularSeason",D325,AS325&lt;&gt;"RegularSeason",K325)</f>
        <v>00101101010010100000000000011101</v>
      </c>
      <c r="C325" t="str">
        <f t="shared" si="15"/>
        <v>00101101010010100000000000000000</v>
      </c>
      <c r="D325" t="str">
        <f t="shared" si="16"/>
        <v>00101101010010100000000000011101</v>
      </c>
      <c r="E325" t="str" cm="1">
        <f t="array" ref="E325">_xlfn.XLOOKUP(_xlfn.XLOOKUP(G325,New!A:A,New!M:M,NONE),TeamIdentity!A:A,TeamIdentity!C:C,NONE)</f>
        <v>00000000</v>
      </c>
      <c r="F325" t="str" cm="1">
        <f t="array" ref="F325">_xlfn.XLOOKUP(_xlfn.XLOOKUP(G325,New!A:A,New!F:F,NONE),TeamIdentity!A:A,TeamIdentity!C:C,NONE)</f>
        <v>00011101</v>
      </c>
      <c r="G325" t="str">
        <f t="shared" si="17"/>
        <v>17-14</v>
      </c>
      <c r="H325" t="s">
        <v>54</v>
      </c>
      <c r="I325" t="s">
        <v>54</v>
      </c>
      <c r="J325" t="s">
        <v>54</v>
      </c>
      <c r="K325" t="s">
        <v>538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519</v>
      </c>
      <c r="S325">
        <v>-1</v>
      </c>
      <c r="T325">
        <v>0</v>
      </c>
      <c r="U325">
        <v>-1</v>
      </c>
      <c r="V325">
        <v>0</v>
      </c>
      <c r="W325" t="s">
        <v>70</v>
      </c>
      <c r="X325">
        <v>0</v>
      </c>
      <c r="Y325">
        <v>0</v>
      </c>
      <c r="Z325">
        <v>975</v>
      </c>
      <c r="AA325" t="s">
        <v>57</v>
      </c>
      <c r="AB325">
        <v>0</v>
      </c>
      <c r="AC325">
        <v>0</v>
      </c>
      <c r="AD325">
        <v>0</v>
      </c>
      <c r="AE325">
        <v>0</v>
      </c>
      <c r="AF325" t="s">
        <v>67</v>
      </c>
      <c r="AG325">
        <v>0</v>
      </c>
      <c r="AH325">
        <v>0</v>
      </c>
      <c r="AI325">
        <v>0</v>
      </c>
      <c r="AJ325">
        <v>0</v>
      </c>
      <c r="AK325" t="s">
        <v>60</v>
      </c>
      <c r="AL325">
        <v>0</v>
      </c>
      <c r="AM325">
        <v>0</v>
      </c>
      <c r="AN325">
        <v>0</v>
      </c>
      <c r="AO325">
        <v>0</v>
      </c>
      <c r="AP325" t="b">
        <v>0</v>
      </c>
      <c r="AQ325" t="s">
        <v>58</v>
      </c>
      <c r="AR325" t="s">
        <v>58</v>
      </c>
      <c r="AS325" t="s">
        <v>71</v>
      </c>
      <c r="AT325">
        <v>14</v>
      </c>
      <c r="AU325">
        <v>17</v>
      </c>
      <c r="AV325">
        <v>14</v>
      </c>
      <c r="AW325">
        <v>11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s">
        <v>61</v>
      </c>
      <c r="BF325" t="s">
        <v>57</v>
      </c>
      <c r="BG325" t="s">
        <v>55</v>
      </c>
      <c r="BH325" t="s">
        <v>58</v>
      </c>
      <c r="BI325" t="s">
        <v>58</v>
      </c>
    </row>
    <row r="326" spans="1:61" x14ac:dyDescent="0.25">
      <c r="A326" t="str" cm="1">
        <f t="array" ref="A326">_xlfn.IFS(AS326="RegularSeason",C326,AS326&lt;&gt;"RegularSeason",R326)</f>
        <v>00000000000000000000000000000000</v>
      </c>
      <c r="B326" t="str" cm="1">
        <f t="array" ref="B326">_xlfn.IFS(AS326="RegularSeason",D326,AS326&lt;&gt;"RegularSeason",K326)</f>
        <v>00000000000000000000000000000000</v>
      </c>
      <c r="C326" t="e">
        <f t="shared" si="15"/>
        <v>#NAME?</v>
      </c>
      <c r="D326" t="e">
        <f t="shared" si="16"/>
        <v>#NAME?</v>
      </c>
      <c r="E326" t="e" cm="1">
        <f t="array" ref="E326">_xlfn.XLOOKUP(_xlfn.XLOOKUP(G326,New!A:A,New!M:M,NONE),TeamIdentity!A:A,TeamIdentity!C:C,NONE)</f>
        <v>#NAME?</v>
      </c>
      <c r="F326" t="e" cm="1">
        <f t="array" ref="F326">_xlfn.XLOOKUP(_xlfn.XLOOKUP(G326,New!A:A,New!F:F,NONE),TeamIdentity!A:A,TeamIdentity!C:C,NONE)</f>
        <v>#NAME?</v>
      </c>
      <c r="G326" t="str">
        <f t="shared" si="17"/>
        <v>18-1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54</v>
      </c>
      <c r="N326" t="s">
        <v>54</v>
      </c>
      <c r="O326" t="s">
        <v>54</v>
      </c>
      <c r="P326" t="s">
        <v>54</v>
      </c>
      <c r="Q326" t="s">
        <v>54</v>
      </c>
      <c r="R326" t="s">
        <v>54</v>
      </c>
      <c r="S326">
        <v>-1</v>
      </c>
      <c r="T326">
        <v>0</v>
      </c>
      <c r="U326">
        <v>-1</v>
      </c>
      <c r="V326">
        <v>0</v>
      </c>
      <c r="W326" t="s">
        <v>70</v>
      </c>
      <c r="X326">
        <v>0</v>
      </c>
      <c r="Y326">
        <v>0</v>
      </c>
      <c r="Z326">
        <v>1000</v>
      </c>
      <c r="AA326" t="s">
        <v>57</v>
      </c>
      <c r="AB326">
        <v>0</v>
      </c>
      <c r="AC326">
        <v>0</v>
      </c>
      <c r="AD326">
        <v>0</v>
      </c>
      <c r="AE326">
        <v>0</v>
      </c>
      <c r="AF326" t="s">
        <v>67</v>
      </c>
      <c r="AG326">
        <v>0</v>
      </c>
      <c r="AH326">
        <v>0</v>
      </c>
      <c r="AI326">
        <v>0</v>
      </c>
      <c r="AJ326">
        <v>0</v>
      </c>
      <c r="AK326" t="s">
        <v>60</v>
      </c>
      <c r="AL326">
        <v>0</v>
      </c>
      <c r="AM326">
        <v>0</v>
      </c>
      <c r="AN326">
        <v>0</v>
      </c>
      <c r="AO326">
        <v>0</v>
      </c>
      <c r="AP326" t="b">
        <v>0</v>
      </c>
      <c r="AQ326" t="s">
        <v>58</v>
      </c>
      <c r="AR326" t="s">
        <v>58</v>
      </c>
      <c r="AS326" t="s">
        <v>64</v>
      </c>
      <c r="AT326">
        <v>14</v>
      </c>
      <c r="AU326">
        <v>18</v>
      </c>
      <c r="AV326">
        <v>1</v>
      </c>
      <c r="AW326">
        <v>11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s">
        <v>61</v>
      </c>
      <c r="BF326" t="s">
        <v>57</v>
      </c>
      <c r="BG326" t="s">
        <v>55</v>
      </c>
      <c r="BH326" t="s">
        <v>58</v>
      </c>
      <c r="BI326" t="s">
        <v>58</v>
      </c>
    </row>
    <row r="327" spans="1:61" x14ac:dyDescent="0.25">
      <c r="A327" t="str" cm="1">
        <f t="array" ref="A327">_xlfn.IFS(AS327="RegularSeason",C327,AS327&lt;&gt;"RegularSeason",R327)</f>
        <v>00000000000000000000000000000000</v>
      </c>
      <c r="B327" t="str" cm="1">
        <f t="array" ref="B327">_xlfn.IFS(AS327="RegularSeason",D327,AS327&lt;&gt;"RegularSeason",K327)</f>
        <v>00000000000000000000000000000000</v>
      </c>
      <c r="C327" t="e">
        <f t="shared" si="15"/>
        <v>#NAME?</v>
      </c>
      <c r="D327" t="e">
        <f t="shared" si="16"/>
        <v>#NAME?</v>
      </c>
      <c r="E327" t="e" cm="1">
        <f t="array" ref="E327">_xlfn.XLOOKUP(_xlfn.XLOOKUP(G327,New!A:A,New!M:M,NONE),TeamIdentity!A:A,TeamIdentity!C:C,NONE)</f>
        <v>#NAME?</v>
      </c>
      <c r="F327" t="e" cm="1">
        <f t="array" ref="F327">_xlfn.XLOOKUP(_xlfn.XLOOKUP(G327,New!A:A,New!F:F,NONE),TeamIdentity!A:A,TeamIdentity!C:C,NONE)</f>
        <v>#NAME?</v>
      </c>
      <c r="G327" t="str">
        <f t="shared" si="17"/>
        <v>19-0</v>
      </c>
      <c r="H327" t="s">
        <v>54</v>
      </c>
      <c r="I327" t="s">
        <v>54</v>
      </c>
      <c r="J327" t="s">
        <v>54</v>
      </c>
      <c r="K327" t="s">
        <v>54</v>
      </c>
      <c r="L327" t="s">
        <v>54</v>
      </c>
      <c r="M327" t="s">
        <v>54</v>
      </c>
      <c r="N327" t="s">
        <v>54</v>
      </c>
      <c r="O327" t="s">
        <v>54</v>
      </c>
      <c r="P327" t="s">
        <v>54</v>
      </c>
      <c r="Q327" t="s">
        <v>54</v>
      </c>
      <c r="R327" t="s">
        <v>54</v>
      </c>
      <c r="S327">
        <v>-1</v>
      </c>
      <c r="T327">
        <v>0</v>
      </c>
      <c r="U327">
        <v>-1</v>
      </c>
      <c r="V327">
        <v>0</v>
      </c>
      <c r="W327" t="s">
        <v>70</v>
      </c>
      <c r="X327">
        <v>0</v>
      </c>
      <c r="Y327">
        <v>0</v>
      </c>
      <c r="Z327">
        <v>905</v>
      </c>
      <c r="AA327" t="s">
        <v>57</v>
      </c>
      <c r="AB327">
        <v>0</v>
      </c>
      <c r="AC327">
        <v>0</v>
      </c>
      <c r="AD327">
        <v>0</v>
      </c>
      <c r="AE327">
        <v>0</v>
      </c>
      <c r="AF327" t="s">
        <v>67</v>
      </c>
      <c r="AG327">
        <v>0</v>
      </c>
      <c r="AH327">
        <v>0</v>
      </c>
      <c r="AI327">
        <v>0</v>
      </c>
      <c r="AJ327">
        <v>0</v>
      </c>
      <c r="AK327" t="s">
        <v>60</v>
      </c>
      <c r="AL327">
        <v>0</v>
      </c>
      <c r="AM327">
        <v>0</v>
      </c>
      <c r="AN327">
        <v>0</v>
      </c>
      <c r="AO327">
        <v>0</v>
      </c>
      <c r="AP327" t="b">
        <v>0</v>
      </c>
      <c r="AQ327" t="s">
        <v>58</v>
      </c>
      <c r="AR327" t="s">
        <v>58</v>
      </c>
      <c r="AS327" t="s">
        <v>62</v>
      </c>
      <c r="AT327">
        <v>14</v>
      </c>
      <c r="AU327">
        <v>19</v>
      </c>
      <c r="AV327">
        <v>0</v>
      </c>
      <c r="AW327">
        <v>11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s">
        <v>61</v>
      </c>
      <c r="BF327" t="s">
        <v>57</v>
      </c>
      <c r="BG327" t="s">
        <v>55</v>
      </c>
      <c r="BH327" t="s">
        <v>58</v>
      </c>
      <c r="BI327" t="s">
        <v>58</v>
      </c>
    </row>
    <row r="328" spans="1:61" x14ac:dyDescent="0.25">
      <c r="A328" t="str" cm="1">
        <f t="array" ref="A328">_xlfn.IFS(AS328="RegularSeason",C328,AS328&lt;&gt;"RegularSeason",R328)</f>
        <v>00000000000000000000000000000000</v>
      </c>
      <c r="B328" t="str" cm="1">
        <f t="array" ref="B328">_xlfn.IFS(AS328="RegularSeason",D328,AS328&lt;&gt;"RegularSeason",K328)</f>
        <v>00000000000000000000000000000000</v>
      </c>
      <c r="C328" t="e">
        <f t="shared" si="15"/>
        <v>#NAME?</v>
      </c>
      <c r="D328" t="e">
        <f t="shared" si="16"/>
        <v>#NAME?</v>
      </c>
      <c r="E328" t="e" cm="1">
        <f t="array" ref="E328">_xlfn.XLOOKUP(_xlfn.XLOOKUP(G328,New!A:A,New!M:M,NONE),TeamIdentity!A:A,TeamIdentity!C:C,NONE)</f>
        <v>#NAME?</v>
      </c>
      <c r="F328" t="e" cm="1">
        <f t="array" ref="F328">_xlfn.XLOOKUP(_xlfn.XLOOKUP(G328,New!A:A,New!F:F,NONE),TeamIdentity!A:A,TeamIdentity!C:C,NONE)</f>
        <v>#NAME?</v>
      </c>
      <c r="G328" t="str">
        <f t="shared" si="17"/>
        <v>18-0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54</v>
      </c>
      <c r="S328">
        <v>-1</v>
      </c>
      <c r="T328">
        <v>0</v>
      </c>
      <c r="U328">
        <v>-1</v>
      </c>
      <c r="V328">
        <v>0</v>
      </c>
      <c r="W328" t="s">
        <v>70</v>
      </c>
      <c r="X328">
        <v>0</v>
      </c>
      <c r="Y328">
        <v>0</v>
      </c>
      <c r="Z328">
        <v>785</v>
      </c>
      <c r="AA328" t="s">
        <v>57</v>
      </c>
      <c r="AB328">
        <v>0</v>
      </c>
      <c r="AC328">
        <v>0</v>
      </c>
      <c r="AD328">
        <v>0</v>
      </c>
      <c r="AE328">
        <v>0</v>
      </c>
      <c r="AF328" t="s">
        <v>67</v>
      </c>
      <c r="AG328">
        <v>0</v>
      </c>
      <c r="AH328">
        <v>0</v>
      </c>
      <c r="AI328">
        <v>0</v>
      </c>
      <c r="AJ328">
        <v>0</v>
      </c>
      <c r="AK328" t="s">
        <v>60</v>
      </c>
      <c r="AL328">
        <v>0</v>
      </c>
      <c r="AM328">
        <v>0</v>
      </c>
      <c r="AN328">
        <v>0</v>
      </c>
      <c r="AO328">
        <v>0</v>
      </c>
      <c r="AP328" t="b">
        <v>0</v>
      </c>
      <c r="AQ328" t="s">
        <v>58</v>
      </c>
      <c r="AR328" t="s">
        <v>58</v>
      </c>
      <c r="AS328" t="s">
        <v>64</v>
      </c>
      <c r="AT328">
        <v>14</v>
      </c>
      <c r="AU328">
        <v>18</v>
      </c>
      <c r="AV328">
        <v>0</v>
      </c>
      <c r="AW328">
        <v>11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s">
        <v>61</v>
      </c>
      <c r="BF328" t="s">
        <v>57</v>
      </c>
      <c r="BG328" t="s">
        <v>55</v>
      </c>
      <c r="BH328" t="s">
        <v>58</v>
      </c>
      <c r="BI328" t="s">
        <v>58</v>
      </c>
    </row>
    <row r="329" spans="1:61" x14ac:dyDescent="0.25">
      <c r="A329" t="str" cm="1">
        <f t="array" ref="A329">_xlfn.IFS(AS329="RegularSeason",C329,AS329&lt;&gt;"RegularSeason",R329)</f>
        <v>00000000000000000000000000000000</v>
      </c>
      <c r="B329" t="str" cm="1">
        <f t="array" ref="B329">_xlfn.IFS(AS329="RegularSeason",D329,AS329&lt;&gt;"RegularSeason",K329)</f>
        <v>00000000000000000000000000000000</v>
      </c>
      <c r="C329" t="e">
        <f t="shared" si="15"/>
        <v>#NAME?</v>
      </c>
      <c r="D329" t="e">
        <f t="shared" si="16"/>
        <v>#NAME?</v>
      </c>
      <c r="E329" t="e" cm="1">
        <f t="array" ref="E329">_xlfn.XLOOKUP(_xlfn.XLOOKUP(G329,New!A:A,New!M:M,NONE),TeamIdentity!A:A,TeamIdentity!C:C,NONE)</f>
        <v>#NAME?</v>
      </c>
      <c r="F329" t="e" cm="1">
        <f t="array" ref="F329">_xlfn.XLOOKUP(_xlfn.XLOOKUP(G329,New!A:A,New!F:F,NONE),TeamIdentity!A:A,TeamIdentity!C:C,NONE)</f>
        <v>#NAME?</v>
      </c>
      <c r="G329" t="str">
        <f t="shared" si="17"/>
        <v>18-4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>
        <v>-1</v>
      </c>
      <c r="T329">
        <v>0</v>
      </c>
      <c r="U329">
        <v>-1</v>
      </c>
      <c r="V329">
        <v>0</v>
      </c>
      <c r="W329" t="s">
        <v>70</v>
      </c>
      <c r="X329">
        <v>0</v>
      </c>
      <c r="Y329">
        <v>0</v>
      </c>
      <c r="Z329">
        <v>1000</v>
      </c>
      <c r="AA329" t="s">
        <v>57</v>
      </c>
      <c r="AB329">
        <v>0</v>
      </c>
      <c r="AC329">
        <v>0</v>
      </c>
      <c r="AD329">
        <v>0</v>
      </c>
      <c r="AE329">
        <v>0</v>
      </c>
      <c r="AF329" t="s">
        <v>67</v>
      </c>
      <c r="AG329">
        <v>0</v>
      </c>
      <c r="AH329">
        <v>0</v>
      </c>
      <c r="AI329">
        <v>0</v>
      </c>
      <c r="AJ329">
        <v>0</v>
      </c>
      <c r="AK329" t="s">
        <v>63</v>
      </c>
      <c r="AL329">
        <v>0</v>
      </c>
      <c r="AM329">
        <v>0</v>
      </c>
      <c r="AN329">
        <v>0</v>
      </c>
      <c r="AO329">
        <v>0</v>
      </c>
      <c r="AP329" t="b">
        <v>0</v>
      </c>
      <c r="AQ329" t="s">
        <v>58</v>
      </c>
      <c r="AR329" t="s">
        <v>58</v>
      </c>
      <c r="AS329" t="s">
        <v>64</v>
      </c>
      <c r="AT329">
        <v>14</v>
      </c>
      <c r="AU329">
        <v>18</v>
      </c>
      <c r="AV329">
        <v>4</v>
      </c>
      <c r="AW329">
        <v>11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s">
        <v>61</v>
      </c>
      <c r="BF329" t="s">
        <v>57</v>
      </c>
      <c r="BG329" t="s">
        <v>55</v>
      </c>
      <c r="BH329" t="s">
        <v>58</v>
      </c>
      <c r="BI329" t="s">
        <v>58</v>
      </c>
    </row>
    <row r="330" spans="1:61" x14ac:dyDescent="0.25">
      <c r="A330" t="str" cm="1">
        <f t="array" ref="A330">_xlfn.IFS(AS330="RegularSeason",C330,AS330&lt;&gt;"RegularSeason",R330)</f>
        <v>00000000000000000000000000000000</v>
      </c>
      <c r="B330" t="str" cm="1">
        <f t="array" ref="B330">_xlfn.IFS(AS330="RegularSeason",D330,AS330&lt;&gt;"RegularSeason",K330)</f>
        <v>00000000000000000000000000000000</v>
      </c>
      <c r="C330" t="e">
        <f t="shared" si="15"/>
        <v>#NAME?</v>
      </c>
      <c r="D330" t="e">
        <f t="shared" si="16"/>
        <v>#NAME?</v>
      </c>
      <c r="E330" t="e" cm="1">
        <f t="array" ref="E330">_xlfn.XLOOKUP(_xlfn.XLOOKUP(G330,New!A:A,New!M:M,NONE),TeamIdentity!A:A,TeamIdentity!C:C,NONE)</f>
        <v>#NAME?</v>
      </c>
      <c r="F330" t="e" cm="1">
        <f t="array" ref="F330">_xlfn.XLOOKUP(_xlfn.XLOOKUP(G330,New!A:A,New!F:F,NONE),TeamIdentity!A:A,TeamIdentity!C:C,NONE)</f>
        <v>#NAME?</v>
      </c>
      <c r="G330" t="str">
        <f t="shared" si="17"/>
        <v>18-5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54</v>
      </c>
      <c r="S330">
        <v>-1</v>
      </c>
      <c r="T330">
        <v>0</v>
      </c>
      <c r="U330">
        <v>-1</v>
      </c>
      <c r="V330">
        <v>0</v>
      </c>
      <c r="W330" t="s">
        <v>70</v>
      </c>
      <c r="X330">
        <v>0</v>
      </c>
      <c r="Y330">
        <v>0</v>
      </c>
      <c r="Z330">
        <v>1215</v>
      </c>
      <c r="AA330" t="s">
        <v>57</v>
      </c>
      <c r="AB330">
        <v>0</v>
      </c>
      <c r="AC330">
        <v>0</v>
      </c>
      <c r="AD330">
        <v>0</v>
      </c>
      <c r="AE330">
        <v>0</v>
      </c>
      <c r="AF330" t="s">
        <v>67</v>
      </c>
      <c r="AG330">
        <v>0</v>
      </c>
      <c r="AH330">
        <v>0</v>
      </c>
      <c r="AI330">
        <v>0</v>
      </c>
      <c r="AJ330">
        <v>0</v>
      </c>
      <c r="AK330" t="s">
        <v>63</v>
      </c>
      <c r="AL330">
        <v>0</v>
      </c>
      <c r="AM330">
        <v>0</v>
      </c>
      <c r="AN330">
        <v>0</v>
      </c>
      <c r="AO330">
        <v>0</v>
      </c>
      <c r="AP330" t="b">
        <v>0</v>
      </c>
      <c r="AQ330" t="s">
        <v>58</v>
      </c>
      <c r="AR330" t="s">
        <v>58</v>
      </c>
      <c r="AS330" t="s">
        <v>64</v>
      </c>
      <c r="AT330">
        <v>14</v>
      </c>
      <c r="AU330">
        <v>18</v>
      </c>
      <c r="AV330">
        <v>5</v>
      </c>
      <c r="AW330">
        <v>11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s">
        <v>61</v>
      </c>
      <c r="BF330" t="s">
        <v>57</v>
      </c>
      <c r="BG330" t="s">
        <v>55</v>
      </c>
      <c r="BH330" t="s">
        <v>58</v>
      </c>
      <c r="BI330" t="s">
        <v>58</v>
      </c>
    </row>
    <row r="331" spans="1:61" x14ac:dyDescent="0.25">
      <c r="A331" t="str" cm="1">
        <f t="array" ref="A331">_xlfn.IFS(AS331="RegularSeason",C331,AS331&lt;&gt;"RegularSeason",R331)</f>
        <v>00000000000000000000000000000000</v>
      </c>
      <c r="B331" t="str" cm="1">
        <f t="array" ref="B331">_xlfn.IFS(AS331="RegularSeason",D331,AS331&lt;&gt;"RegularSeason",K331)</f>
        <v>00000000000000000000000000000000</v>
      </c>
      <c r="C331" t="e">
        <f t="shared" si="15"/>
        <v>#NAME?</v>
      </c>
      <c r="D331" t="e">
        <f t="shared" si="16"/>
        <v>#NAME?</v>
      </c>
      <c r="E331" t="e" cm="1">
        <f t="array" ref="E331">_xlfn.XLOOKUP(_xlfn.XLOOKUP(G331,New!A:A,New!M:M,NONE),TeamIdentity!A:A,TeamIdentity!C:C,NONE)</f>
        <v>#NAME?</v>
      </c>
      <c r="F331" t="e" cm="1">
        <f t="array" ref="F331">_xlfn.XLOOKUP(_xlfn.XLOOKUP(G331,New!A:A,New!F:F,NONE),TeamIdentity!A:A,TeamIdentity!C:C,NONE)</f>
        <v>#NAME?</v>
      </c>
      <c r="G331" t="str">
        <f t="shared" si="17"/>
        <v>19-2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>
        <v>-1</v>
      </c>
      <c r="T331">
        <v>0</v>
      </c>
      <c r="U331">
        <v>-1</v>
      </c>
      <c r="V331">
        <v>0</v>
      </c>
      <c r="W331" t="s">
        <v>70</v>
      </c>
      <c r="X331">
        <v>0</v>
      </c>
      <c r="Y331">
        <v>0</v>
      </c>
      <c r="Z331">
        <v>995</v>
      </c>
      <c r="AA331" t="s">
        <v>57</v>
      </c>
      <c r="AB331">
        <v>0</v>
      </c>
      <c r="AC331">
        <v>0</v>
      </c>
      <c r="AD331">
        <v>0</v>
      </c>
      <c r="AE331">
        <v>0</v>
      </c>
      <c r="AF331" t="s">
        <v>67</v>
      </c>
      <c r="AG331">
        <v>0</v>
      </c>
      <c r="AH331">
        <v>0</v>
      </c>
      <c r="AI331">
        <v>0</v>
      </c>
      <c r="AJ331">
        <v>0</v>
      </c>
      <c r="AK331" t="s">
        <v>63</v>
      </c>
      <c r="AL331">
        <v>0</v>
      </c>
      <c r="AM331">
        <v>0</v>
      </c>
      <c r="AN331">
        <v>0</v>
      </c>
      <c r="AO331">
        <v>0</v>
      </c>
      <c r="AP331" t="b">
        <v>0</v>
      </c>
      <c r="AQ331" t="s">
        <v>58</v>
      </c>
      <c r="AR331" t="s">
        <v>58</v>
      </c>
      <c r="AS331" t="s">
        <v>62</v>
      </c>
      <c r="AT331">
        <v>14</v>
      </c>
      <c r="AU331">
        <v>19</v>
      </c>
      <c r="AV331">
        <v>2</v>
      </c>
      <c r="AW331">
        <v>11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s">
        <v>61</v>
      </c>
      <c r="BF331" t="s">
        <v>57</v>
      </c>
      <c r="BG331" t="s">
        <v>55</v>
      </c>
      <c r="BH331" t="s">
        <v>58</v>
      </c>
      <c r="BI331" t="s">
        <v>58</v>
      </c>
    </row>
    <row r="332" spans="1:61" x14ac:dyDescent="0.25">
      <c r="A332" t="str" cm="1">
        <f t="array" ref="A332">_xlfn.IFS(AS332="RegularSeason",C332,AS332&lt;&gt;"RegularSeason",R332)</f>
        <v>00101101010010100000000000010110</v>
      </c>
      <c r="B332" t="str" cm="1">
        <f t="array" ref="B332">_xlfn.IFS(AS332="RegularSeason",D332,AS332&lt;&gt;"RegularSeason",K332)</f>
        <v>00101101010010100000000000000011</v>
      </c>
      <c r="C332" t="str">
        <f t="shared" si="15"/>
        <v>00101101010010100000000000010110</v>
      </c>
      <c r="D332" t="str">
        <f t="shared" si="16"/>
        <v>00101101010010100000000000000011</v>
      </c>
      <c r="E332" t="str" cm="1">
        <f t="array" ref="E332">_xlfn.XLOOKUP(_xlfn.XLOOKUP(G332,New!A:A,New!M:M,NONE),TeamIdentity!A:A,TeamIdentity!C:C,NONE)</f>
        <v>00010110</v>
      </c>
      <c r="F332" t="str" cm="1">
        <f t="array" ref="F332">_xlfn.XLOOKUP(_xlfn.XLOOKUP(G332,New!A:A,New!F:F,NONE),TeamIdentity!A:A,TeamIdentity!C:C,NONE)</f>
        <v>00000011</v>
      </c>
      <c r="G332" t="str">
        <f t="shared" si="17"/>
        <v>17-10</v>
      </c>
      <c r="H332" t="s">
        <v>54</v>
      </c>
      <c r="I332" t="s">
        <v>54</v>
      </c>
      <c r="J332" t="s">
        <v>54</v>
      </c>
      <c r="K332" t="s">
        <v>532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526</v>
      </c>
      <c r="S332">
        <v>-1</v>
      </c>
      <c r="T332">
        <v>0</v>
      </c>
      <c r="U332">
        <v>-1</v>
      </c>
      <c r="V332">
        <v>0</v>
      </c>
      <c r="W332" t="s">
        <v>70</v>
      </c>
      <c r="X332">
        <v>0</v>
      </c>
      <c r="Y332">
        <v>0</v>
      </c>
      <c r="Z332">
        <v>965</v>
      </c>
      <c r="AA332" t="s">
        <v>57</v>
      </c>
      <c r="AB332">
        <v>0</v>
      </c>
      <c r="AC332">
        <v>0</v>
      </c>
      <c r="AD332">
        <v>0</v>
      </c>
      <c r="AE332">
        <v>0</v>
      </c>
      <c r="AF332" t="s">
        <v>67</v>
      </c>
      <c r="AG332">
        <v>0</v>
      </c>
      <c r="AH332">
        <v>0</v>
      </c>
      <c r="AI332">
        <v>0</v>
      </c>
      <c r="AJ332">
        <v>0</v>
      </c>
      <c r="AK332" t="s">
        <v>60</v>
      </c>
      <c r="AL332">
        <v>0</v>
      </c>
      <c r="AM332">
        <v>0</v>
      </c>
      <c r="AN332">
        <v>0</v>
      </c>
      <c r="AO332">
        <v>0</v>
      </c>
      <c r="AP332" t="b">
        <v>0</v>
      </c>
      <c r="AQ332" t="s">
        <v>58</v>
      </c>
      <c r="AR332" t="s">
        <v>58</v>
      </c>
      <c r="AS332" t="s">
        <v>71</v>
      </c>
      <c r="AT332">
        <v>14</v>
      </c>
      <c r="AU332">
        <v>17</v>
      </c>
      <c r="AV332">
        <v>10</v>
      </c>
      <c r="AW332">
        <v>11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s">
        <v>61</v>
      </c>
      <c r="BF332" t="s">
        <v>57</v>
      </c>
      <c r="BG332" t="s">
        <v>55</v>
      </c>
      <c r="BH332" t="s">
        <v>58</v>
      </c>
      <c r="BI332" t="s">
        <v>58</v>
      </c>
    </row>
    <row r="333" spans="1:61" x14ac:dyDescent="0.25">
      <c r="A333" t="str" cm="1">
        <f t="array" ref="A333">_xlfn.IFS(AS333="RegularSeason",C333,AS333&lt;&gt;"RegularSeason",R333)</f>
        <v>00101101010010100000000000001111</v>
      </c>
      <c r="B333" t="str" cm="1">
        <f t="array" ref="B333">_xlfn.IFS(AS333="RegularSeason",D333,AS333&lt;&gt;"RegularSeason",K333)</f>
        <v>00101101010010100000000000011011</v>
      </c>
      <c r="C333" t="str">
        <f t="shared" si="15"/>
        <v>00101101010010100000000000001111</v>
      </c>
      <c r="D333" t="str">
        <f t="shared" si="16"/>
        <v>00101101010010100000000000011011</v>
      </c>
      <c r="E333" t="str" cm="1">
        <f t="array" ref="E333">_xlfn.XLOOKUP(_xlfn.XLOOKUP(G333,New!A:A,New!M:M,NONE),TeamIdentity!A:A,TeamIdentity!C:C,NONE)</f>
        <v>00001111</v>
      </c>
      <c r="F333" t="str" cm="1">
        <f t="array" ref="F333">_xlfn.XLOOKUP(_xlfn.XLOOKUP(G333,New!A:A,New!F:F,NONE),TeamIdentity!A:A,TeamIdentity!C:C,NONE)</f>
        <v>00011011</v>
      </c>
      <c r="G333" t="str">
        <f t="shared" si="17"/>
        <v>17-11</v>
      </c>
      <c r="H333" t="s">
        <v>54</v>
      </c>
      <c r="I333" t="s">
        <v>54</v>
      </c>
      <c r="J333" t="s">
        <v>54</v>
      </c>
      <c r="K333" t="s">
        <v>537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531</v>
      </c>
      <c r="S333">
        <v>-1</v>
      </c>
      <c r="T333">
        <v>0</v>
      </c>
      <c r="U333">
        <v>-1</v>
      </c>
      <c r="V333">
        <v>0</v>
      </c>
      <c r="W333" t="s">
        <v>70</v>
      </c>
      <c r="X333">
        <v>0</v>
      </c>
      <c r="Y333">
        <v>0</v>
      </c>
      <c r="Z333">
        <v>965</v>
      </c>
      <c r="AA333" t="s">
        <v>57</v>
      </c>
      <c r="AB333">
        <v>0</v>
      </c>
      <c r="AC333">
        <v>0</v>
      </c>
      <c r="AD333">
        <v>0</v>
      </c>
      <c r="AE333">
        <v>0</v>
      </c>
      <c r="AF333" t="s">
        <v>67</v>
      </c>
      <c r="AG333">
        <v>0</v>
      </c>
      <c r="AH333">
        <v>0</v>
      </c>
      <c r="AI333">
        <v>0</v>
      </c>
      <c r="AJ333">
        <v>0</v>
      </c>
      <c r="AK333" t="s">
        <v>60</v>
      </c>
      <c r="AL333">
        <v>0</v>
      </c>
      <c r="AM333">
        <v>0</v>
      </c>
      <c r="AN333">
        <v>0</v>
      </c>
      <c r="AO333">
        <v>0</v>
      </c>
      <c r="AP333" t="b">
        <v>0</v>
      </c>
      <c r="AQ333" t="s">
        <v>58</v>
      </c>
      <c r="AR333" t="s">
        <v>58</v>
      </c>
      <c r="AS333" t="s">
        <v>71</v>
      </c>
      <c r="AT333">
        <v>14</v>
      </c>
      <c r="AU333">
        <v>17</v>
      </c>
      <c r="AV333">
        <v>11</v>
      </c>
      <c r="AW333">
        <v>11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s">
        <v>61</v>
      </c>
      <c r="BF333" t="s">
        <v>57</v>
      </c>
      <c r="BG333" t="s">
        <v>55</v>
      </c>
      <c r="BH333" t="s">
        <v>58</v>
      </c>
      <c r="BI333" t="s">
        <v>58</v>
      </c>
    </row>
    <row r="334" spans="1:61" x14ac:dyDescent="0.25">
      <c r="A334" t="str" cm="1">
        <f t="array" ref="A334">_xlfn.IFS(AS334="RegularSeason",C334,AS334&lt;&gt;"RegularSeason",R334)</f>
        <v>00000000000000000000000000000000</v>
      </c>
      <c r="B334" t="str" cm="1">
        <f t="array" ref="B334">_xlfn.IFS(AS334="RegularSeason",D334,AS334&lt;&gt;"RegularSeason",K334)</f>
        <v>00000000000000000000000000000000</v>
      </c>
      <c r="C334" t="e">
        <f t="shared" si="15"/>
        <v>#NAME?</v>
      </c>
      <c r="D334" t="e">
        <f t="shared" si="16"/>
        <v>#NAME?</v>
      </c>
      <c r="E334" t="e" cm="1">
        <f t="array" ref="E334">_xlfn.XLOOKUP(_xlfn.XLOOKUP(G334,New!A:A,New!M:M,NONE),TeamIdentity!A:A,TeamIdentity!C:C,NONE)</f>
        <v>#NAME?</v>
      </c>
      <c r="F334" t="e" cm="1">
        <f t="array" ref="F334">_xlfn.XLOOKUP(_xlfn.XLOOKUP(G334,New!A:A,New!F:F,NONE),TeamIdentity!A:A,TeamIdentity!C:C,NONE)</f>
        <v>#NAME?</v>
      </c>
      <c r="G334" t="str">
        <f t="shared" si="17"/>
        <v>18-3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>
        <v>-1</v>
      </c>
      <c r="T334">
        <v>0</v>
      </c>
      <c r="U334">
        <v>-1</v>
      </c>
      <c r="V334">
        <v>0</v>
      </c>
      <c r="W334" t="s">
        <v>70</v>
      </c>
      <c r="X334">
        <v>0</v>
      </c>
      <c r="Y334">
        <v>0</v>
      </c>
      <c r="Z334">
        <v>785</v>
      </c>
      <c r="AA334" t="s">
        <v>57</v>
      </c>
      <c r="AB334">
        <v>0</v>
      </c>
      <c r="AC334">
        <v>0</v>
      </c>
      <c r="AD334">
        <v>0</v>
      </c>
      <c r="AE334">
        <v>0</v>
      </c>
      <c r="AF334" t="s">
        <v>67</v>
      </c>
      <c r="AG334">
        <v>0</v>
      </c>
      <c r="AH334">
        <v>0</v>
      </c>
      <c r="AI334">
        <v>0</v>
      </c>
      <c r="AJ334">
        <v>0</v>
      </c>
      <c r="AK334" t="s">
        <v>63</v>
      </c>
      <c r="AL334">
        <v>0</v>
      </c>
      <c r="AM334">
        <v>0</v>
      </c>
      <c r="AN334">
        <v>0</v>
      </c>
      <c r="AO334">
        <v>0</v>
      </c>
      <c r="AP334" t="b">
        <v>0</v>
      </c>
      <c r="AQ334" t="s">
        <v>58</v>
      </c>
      <c r="AR334" t="s">
        <v>58</v>
      </c>
      <c r="AS334" t="s">
        <v>64</v>
      </c>
      <c r="AT334">
        <v>14</v>
      </c>
      <c r="AU334">
        <v>18</v>
      </c>
      <c r="AV334">
        <v>3</v>
      </c>
      <c r="AW334">
        <v>11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s">
        <v>61</v>
      </c>
      <c r="BF334" t="s">
        <v>57</v>
      </c>
      <c r="BG334" t="s">
        <v>55</v>
      </c>
      <c r="BH334" t="s">
        <v>58</v>
      </c>
      <c r="BI334" t="s">
        <v>58</v>
      </c>
    </row>
    <row r="335" spans="1:61" x14ac:dyDescent="0.25">
      <c r="A335" t="str" cm="1">
        <f t="array" ref="A335">_xlfn.IFS(AS335="RegularSeason",C335,AS335&lt;&gt;"RegularSeason",R335)</f>
        <v>00000000000000000000000000000000</v>
      </c>
      <c r="B335" t="str" cm="1">
        <f t="array" ref="B335">_xlfn.IFS(AS335="RegularSeason",D335,AS335&lt;&gt;"RegularSeason",K335)</f>
        <v>00000000000000000000000000000000</v>
      </c>
      <c r="C335" t="e">
        <f t="shared" si="15"/>
        <v>#NAME?</v>
      </c>
      <c r="D335" t="e">
        <f t="shared" si="16"/>
        <v>#NAME?</v>
      </c>
      <c r="E335" t="e" cm="1">
        <f t="array" ref="E335">_xlfn.XLOOKUP(_xlfn.XLOOKUP(G335,New!A:A,New!M:M,NONE),TeamIdentity!A:A,TeamIdentity!C:C,NONE)</f>
        <v>#NAME?</v>
      </c>
      <c r="F335" t="e" cm="1">
        <f t="array" ref="F335">_xlfn.XLOOKUP(_xlfn.XLOOKUP(G335,New!A:A,New!F:F,NONE),TeamIdentity!A:A,TeamIdentity!C:C,NONE)</f>
        <v>#NAME?</v>
      </c>
      <c r="G335" t="str">
        <f t="shared" si="17"/>
        <v>19-3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>
        <v>-1</v>
      </c>
      <c r="T335">
        <v>0</v>
      </c>
      <c r="U335">
        <v>-1</v>
      </c>
      <c r="V335">
        <v>0</v>
      </c>
      <c r="W335" t="s">
        <v>70</v>
      </c>
      <c r="X335">
        <v>0</v>
      </c>
      <c r="Y335">
        <v>0</v>
      </c>
      <c r="Z335">
        <v>1215</v>
      </c>
      <c r="AA335" t="s">
        <v>57</v>
      </c>
      <c r="AB335">
        <v>0</v>
      </c>
      <c r="AC335">
        <v>0</v>
      </c>
      <c r="AD335">
        <v>0</v>
      </c>
      <c r="AE335">
        <v>0</v>
      </c>
      <c r="AF335" t="s">
        <v>67</v>
      </c>
      <c r="AG335">
        <v>0</v>
      </c>
      <c r="AH335">
        <v>0</v>
      </c>
      <c r="AI335">
        <v>0</v>
      </c>
      <c r="AJ335">
        <v>0</v>
      </c>
      <c r="AK335" t="s">
        <v>63</v>
      </c>
      <c r="AL335">
        <v>0</v>
      </c>
      <c r="AM335">
        <v>0</v>
      </c>
      <c r="AN335">
        <v>0</v>
      </c>
      <c r="AO335">
        <v>0</v>
      </c>
      <c r="AP335" t="b">
        <v>0</v>
      </c>
      <c r="AQ335" t="s">
        <v>58</v>
      </c>
      <c r="AR335" t="s">
        <v>58</v>
      </c>
      <c r="AS335" t="s">
        <v>62</v>
      </c>
      <c r="AT335">
        <v>14</v>
      </c>
      <c r="AU335">
        <v>19</v>
      </c>
      <c r="AV335">
        <v>3</v>
      </c>
      <c r="AW335">
        <v>11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s">
        <v>61</v>
      </c>
      <c r="BF335" t="s">
        <v>57</v>
      </c>
      <c r="BG335" t="s">
        <v>55</v>
      </c>
      <c r="BH335" t="s">
        <v>58</v>
      </c>
      <c r="BI335" t="s">
        <v>58</v>
      </c>
    </row>
    <row r="336" spans="1:61" x14ac:dyDescent="0.25">
      <c r="A336" t="str" cm="1">
        <f t="array" ref="A336">_xlfn.IFS(AS336="RegularSeason",C336,AS336&lt;&gt;"RegularSeason",R336)</f>
        <v>00101101010010100000000000011101</v>
      </c>
      <c r="B336" t="str" cm="1">
        <f t="array" ref="B336">_xlfn.IFS(AS336="RegularSeason",D336,AS336&lt;&gt;"RegularSeason",K336)</f>
        <v>00100110100010100000000000000000</v>
      </c>
      <c r="C336" t="str">
        <f t="shared" si="15"/>
        <v>00101101010010100000000000011001</v>
      </c>
      <c r="D336" t="str">
        <f t="shared" si="16"/>
        <v>00100110100010100000000000100100</v>
      </c>
      <c r="E336" t="str" cm="1">
        <f t="array" ref="E336">_xlfn.XLOOKUP(_xlfn.XLOOKUP(G336,New!A:A,New!M:M,NONE),TeamIdentity!A:A,TeamIdentity!C:C,NONE)</f>
        <v>00011001</v>
      </c>
      <c r="F336" t="str" cm="1">
        <f t="array" ref="F336">_xlfn.XLOOKUP(_xlfn.XLOOKUP(G336,New!A:A,New!F:F,NONE),TeamIdentity!A:A,TeamIdentity!C:C,NONE)</f>
        <v>00100100</v>
      </c>
      <c r="G336" t="str">
        <f t="shared" si="17"/>
        <v>0-0</v>
      </c>
      <c r="H336" t="s">
        <v>54</v>
      </c>
      <c r="I336" t="s">
        <v>54</v>
      </c>
      <c r="J336" t="s">
        <v>54</v>
      </c>
      <c r="K336" t="s">
        <v>543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542</v>
      </c>
      <c r="S336">
        <v>-1</v>
      </c>
      <c r="T336">
        <v>0</v>
      </c>
      <c r="U336">
        <v>90289</v>
      </c>
      <c r="V336">
        <v>0</v>
      </c>
      <c r="W336" t="s">
        <v>70</v>
      </c>
      <c r="X336">
        <v>0</v>
      </c>
      <c r="Y336">
        <v>0</v>
      </c>
      <c r="Z336">
        <v>975</v>
      </c>
      <c r="AA336" t="s">
        <v>57</v>
      </c>
      <c r="AB336">
        <v>0</v>
      </c>
      <c r="AC336">
        <v>0</v>
      </c>
      <c r="AD336">
        <v>0</v>
      </c>
      <c r="AE336">
        <v>0</v>
      </c>
      <c r="AF336" t="s">
        <v>67</v>
      </c>
      <c r="AG336">
        <v>0</v>
      </c>
      <c r="AH336">
        <v>0</v>
      </c>
      <c r="AI336">
        <v>0</v>
      </c>
      <c r="AJ336">
        <v>0</v>
      </c>
      <c r="AK336" t="s">
        <v>60</v>
      </c>
      <c r="AL336">
        <v>0</v>
      </c>
      <c r="AM336">
        <v>0</v>
      </c>
      <c r="AN336">
        <v>0</v>
      </c>
      <c r="AO336">
        <v>0</v>
      </c>
      <c r="AP336" t="b">
        <v>0</v>
      </c>
      <c r="AQ336" t="s">
        <v>58</v>
      </c>
      <c r="AR336" t="s">
        <v>58</v>
      </c>
      <c r="AS336" t="s">
        <v>66</v>
      </c>
      <c r="AT336">
        <v>14</v>
      </c>
      <c r="AU336">
        <v>0</v>
      </c>
      <c r="AV336">
        <v>0</v>
      </c>
      <c r="AW336">
        <v>11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1</v>
      </c>
      <c r="BD336" t="b">
        <v>0</v>
      </c>
      <c r="BE336" t="s">
        <v>61</v>
      </c>
      <c r="BF336" t="s">
        <v>57</v>
      </c>
      <c r="BG336" t="s">
        <v>55</v>
      </c>
      <c r="BH336" t="s">
        <v>58</v>
      </c>
      <c r="BI336" t="s">
        <v>58</v>
      </c>
    </row>
    <row r="337" spans="1:61" x14ac:dyDescent="0.25">
      <c r="A337" t="str" cm="1">
        <f t="array" ref="A337">_xlfn.IFS(AS337="RegularSeason",C337,AS337&lt;&gt;"RegularSeason",R337)</f>
        <v>00101101010010100000000000000110</v>
      </c>
      <c r="B337" t="str" cm="1">
        <f t="array" ref="B337">_xlfn.IFS(AS337="RegularSeason",D337,AS337&lt;&gt;"RegularSeason",K337)</f>
        <v>00100110100010100000000000000000</v>
      </c>
      <c r="C337" t="str">
        <f t="shared" si="15"/>
        <v>00101101010010100000000000011001</v>
      </c>
      <c r="D337" t="str">
        <f t="shared" si="16"/>
        <v>00100110100010100000000000100100</v>
      </c>
      <c r="E337" t="str" cm="1">
        <f t="array" ref="E337">_xlfn.XLOOKUP(_xlfn.XLOOKUP(G337,New!A:A,New!M:M,NONE),TeamIdentity!A:A,TeamIdentity!C:C,NONE)</f>
        <v>00011001</v>
      </c>
      <c r="F337" t="str" cm="1">
        <f t="array" ref="F337">_xlfn.XLOOKUP(_xlfn.XLOOKUP(G337,New!A:A,New!F:F,NONE),TeamIdentity!A:A,TeamIdentity!C:C,NONE)</f>
        <v>00100100</v>
      </c>
      <c r="G337" t="str">
        <f t="shared" si="17"/>
        <v>0-0</v>
      </c>
      <c r="H337" t="s">
        <v>54</v>
      </c>
      <c r="I337" t="s">
        <v>54</v>
      </c>
      <c r="J337" t="s">
        <v>54</v>
      </c>
      <c r="K337" t="s">
        <v>543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531</v>
      </c>
      <c r="S337">
        <v>-1</v>
      </c>
      <c r="T337">
        <v>0</v>
      </c>
      <c r="U337">
        <v>90271</v>
      </c>
      <c r="V337">
        <v>0</v>
      </c>
      <c r="W337" t="s">
        <v>70</v>
      </c>
      <c r="X337">
        <v>0</v>
      </c>
      <c r="Y337">
        <v>0</v>
      </c>
      <c r="Z337">
        <v>975</v>
      </c>
      <c r="AA337" t="s">
        <v>57</v>
      </c>
      <c r="AB337">
        <v>0</v>
      </c>
      <c r="AC337">
        <v>0</v>
      </c>
      <c r="AD337">
        <v>0</v>
      </c>
      <c r="AE337">
        <v>0</v>
      </c>
      <c r="AF337" t="s">
        <v>67</v>
      </c>
      <c r="AG337">
        <v>0</v>
      </c>
      <c r="AH337">
        <v>0</v>
      </c>
      <c r="AI337">
        <v>0</v>
      </c>
      <c r="AJ337">
        <v>0</v>
      </c>
      <c r="AK337" t="s">
        <v>60</v>
      </c>
      <c r="AL337">
        <v>0</v>
      </c>
      <c r="AM337">
        <v>0</v>
      </c>
      <c r="AN337">
        <v>0</v>
      </c>
      <c r="AO337">
        <v>0</v>
      </c>
      <c r="AP337" t="b">
        <v>0</v>
      </c>
      <c r="AQ337" t="s">
        <v>58</v>
      </c>
      <c r="AR337" t="s">
        <v>58</v>
      </c>
      <c r="AS337" t="s">
        <v>66</v>
      </c>
      <c r="AT337">
        <v>14</v>
      </c>
      <c r="AU337">
        <v>0</v>
      </c>
      <c r="AV337">
        <v>0</v>
      </c>
      <c r="AW337">
        <v>11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1</v>
      </c>
      <c r="BD337" t="b">
        <v>0</v>
      </c>
      <c r="BE337" t="s">
        <v>61</v>
      </c>
      <c r="BF337" t="s">
        <v>57</v>
      </c>
      <c r="BG337" t="s">
        <v>55</v>
      </c>
      <c r="BH337" t="s">
        <v>58</v>
      </c>
      <c r="BI337" t="s">
        <v>58</v>
      </c>
    </row>
    <row r="338" spans="1:61" x14ac:dyDescent="0.25">
      <c r="A338" t="str" cm="1">
        <f t="array" ref="A338">_xlfn.IFS(AS338="RegularSeason",C338,AS338&lt;&gt;"RegularSeason",R338)</f>
        <v>00101101010010100000000000000001</v>
      </c>
      <c r="B338" t="str" cm="1">
        <f t="array" ref="B338">_xlfn.IFS(AS338="RegularSeason",D338,AS338&lt;&gt;"RegularSeason",K338)</f>
        <v>00100110100010100000000000000000</v>
      </c>
      <c r="C338" t="str">
        <f t="shared" si="15"/>
        <v>00101101010010100000000000011001</v>
      </c>
      <c r="D338" t="str">
        <f t="shared" si="16"/>
        <v>00100110100010100000000000100100</v>
      </c>
      <c r="E338" t="str" cm="1">
        <f t="array" ref="E338">_xlfn.XLOOKUP(_xlfn.XLOOKUP(G338,New!A:A,New!M:M,NONE),TeamIdentity!A:A,TeamIdentity!C:C,NONE)</f>
        <v>00011001</v>
      </c>
      <c r="F338" t="str" cm="1">
        <f t="array" ref="F338">_xlfn.XLOOKUP(_xlfn.XLOOKUP(G338,New!A:A,New!F:F,NONE),TeamIdentity!A:A,TeamIdentity!C:C,NONE)</f>
        <v>00100100</v>
      </c>
      <c r="G338" t="str">
        <f t="shared" si="17"/>
        <v>0-0</v>
      </c>
      <c r="H338" t="s">
        <v>54</v>
      </c>
      <c r="I338" t="s">
        <v>54</v>
      </c>
      <c r="J338" t="s">
        <v>54</v>
      </c>
      <c r="K338" t="s">
        <v>543</v>
      </c>
      <c r="L338" t="s">
        <v>54</v>
      </c>
      <c r="M338" t="s">
        <v>54</v>
      </c>
      <c r="N338" t="s">
        <v>54</v>
      </c>
      <c r="O338" t="s">
        <v>54</v>
      </c>
      <c r="P338" t="s">
        <v>54</v>
      </c>
      <c r="Q338" t="s">
        <v>54</v>
      </c>
      <c r="R338" t="s">
        <v>523</v>
      </c>
      <c r="S338">
        <v>-1</v>
      </c>
      <c r="T338">
        <v>0</v>
      </c>
      <c r="U338">
        <v>90266</v>
      </c>
      <c r="V338">
        <v>0</v>
      </c>
      <c r="W338" t="s">
        <v>70</v>
      </c>
      <c r="X338">
        <v>0</v>
      </c>
      <c r="Y338">
        <v>0</v>
      </c>
      <c r="Z338">
        <v>975</v>
      </c>
      <c r="AA338" t="s">
        <v>57</v>
      </c>
      <c r="AB338">
        <v>0</v>
      </c>
      <c r="AC338">
        <v>0</v>
      </c>
      <c r="AD338">
        <v>0</v>
      </c>
      <c r="AE338">
        <v>0</v>
      </c>
      <c r="AF338" t="s">
        <v>67</v>
      </c>
      <c r="AG338">
        <v>0</v>
      </c>
      <c r="AH338">
        <v>0</v>
      </c>
      <c r="AI338">
        <v>0</v>
      </c>
      <c r="AJ338">
        <v>0</v>
      </c>
      <c r="AK338" t="s">
        <v>60</v>
      </c>
      <c r="AL338">
        <v>0</v>
      </c>
      <c r="AM338">
        <v>0</v>
      </c>
      <c r="AN338">
        <v>0</v>
      </c>
      <c r="AO338">
        <v>0</v>
      </c>
      <c r="AP338" t="b">
        <v>0</v>
      </c>
      <c r="AQ338" t="s">
        <v>58</v>
      </c>
      <c r="AR338" t="s">
        <v>58</v>
      </c>
      <c r="AS338" t="s">
        <v>66</v>
      </c>
      <c r="AT338">
        <v>14</v>
      </c>
      <c r="AU338">
        <v>0</v>
      </c>
      <c r="AV338">
        <v>0</v>
      </c>
      <c r="AW338">
        <v>11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1</v>
      </c>
      <c r="BD338" t="b">
        <v>0</v>
      </c>
      <c r="BE338" t="s">
        <v>61</v>
      </c>
      <c r="BF338" t="s">
        <v>57</v>
      </c>
      <c r="BG338" t="s">
        <v>55</v>
      </c>
      <c r="BH338" t="s">
        <v>58</v>
      </c>
      <c r="BI338" t="s">
        <v>58</v>
      </c>
    </row>
    <row r="339" spans="1:61" x14ac:dyDescent="0.25">
      <c r="A339" t="str" cm="1">
        <f t="array" ref="A339">_xlfn.IFS(AS339="RegularSeason",C339,AS339&lt;&gt;"RegularSeason",R339)</f>
        <v>00101101010010100000000000001011</v>
      </c>
      <c r="B339" t="str" cm="1">
        <f t="array" ref="B339">_xlfn.IFS(AS339="RegularSeason",D339,AS339&lt;&gt;"RegularSeason",K339)</f>
        <v>00100110100010100000000000000000</v>
      </c>
      <c r="C339" t="str">
        <f t="shared" si="15"/>
        <v>00101101010010100000000000011001</v>
      </c>
      <c r="D339" t="str">
        <f t="shared" si="16"/>
        <v>00100110100010100000000000100100</v>
      </c>
      <c r="E339" t="str" cm="1">
        <f t="array" ref="E339">_xlfn.XLOOKUP(_xlfn.XLOOKUP(G339,New!A:A,New!M:M,NONE),TeamIdentity!A:A,TeamIdentity!C:C,NONE)</f>
        <v>00011001</v>
      </c>
      <c r="F339" t="str" cm="1">
        <f t="array" ref="F339">_xlfn.XLOOKUP(_xlfn.XLOOKUP(G339,New!A:A,New!F:F,NONE),TeamIdentity!A:A,TeamIdentity!C:C,NONE)</f>
        <v>00100100</v>
      </c>
      <c r="G339" t="str">
        <f t="shared" si="17"/>
        <v>0-0</v>
      </c>
      <c r="H339" t="s">
        <v>54</v>
      </c>
      <c r="I339" t="s">
        <v>54</v>
      </c>
      <c r="J339" t="s">
        <v>54</v>
      </c>
      <c r="K339" t="s">
        <v>543</v>
      </c>
      <c r="L339" t="s">
        <v>54</v>
      </c>
      <c r="M339" t="s">
        <v>54</v>
      </c>
      <c r="N339" t="s">
        <v>54</v>
      </c>
      <c r="O339" t="s">
        <v>54</v>
      </c>
      <c r="P339" t="s">
        <v>54</v>
      </c>
      <c r="Q339" t="s">
        <v>54</v>
      </c>
      <c r="R339" t="s">
        <v>535</v>
      </c>
      <c r="S339">
        <v>-1</v>
      </c>
      <c r="T339">
        <v>0</v>
      </c>
      <c r="U339">
        <v>90274</v>
      </c>
      <c r="V339">
        <v>0</v>
      </c>
      <c r="W339" t="s">
        <v>70</v>
      </c>
      <c r="X339">
        <v>0</v>
      </c>
      <c r="Y339">
        <v>0</v>
      </c>
      <c r="Z339">
        <v>975</v>
      </c>
      <c r="AA339" t="s">
        <v>57</v>
      </c>
      <c r="AB339">
        <v>0</v>
      </c>
      <c r="AC339">
        <v>0</v>
      </c>
      <c r="AD339">
        <v>0</v>
      </c>
      <c r="AE339">
        <v>0</v>
      </c>
      <c r="AF339" t="s">
        <v>67</v>
      </c>
      <c r="AG339">
        <v>0</v>
      </c>
      <c r="AH339">
        <v>0</v>
      </c>
      <c r="AI339">
        <v>0</v>
      </c>
      <c r="AJ339">
        <v>0</v>
      </c>
      <c r="AK339" t="s">
        <v>60</v>
      </c>
      <c r="AL339">
        <v>0</v>
      </c>
      <c r="AM339">
        <v>0</v>
      </c>
      <c r="AN339">
        <v>0</v>
      </c>
      <c r="AO339">
        <v>0</v>
      </c>
      <c r="AP339" t="b">
        <v>0</v>
      </c>
      <c r="AQ339" t="s">
        <v>58</v>
      </c>
      <c r="AR339" t="s">
        <v>58</v>
      </c>
      <c r="AS339" t="s">
        <v>66</v>
      </c>
      <c r="AT339">
        <v>14</v>
      </c>
      <c r="AU339">
        <v>0</v>
      </c>
      <c r="AV339">
        <v>0</v>
      </c>
      <c r="AW339">
        <v>11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1</v>
      </c>
      <c r="BD339" t="b">
        <v>0</v>
      </c>
      <c r="BE339" t="s">
        <v>61</v>
      </c>
      <c r="BF339" t="s">
        <v>57</v>
      </c>
      <c r="BG339" t="s">
        <v>55</v>
      </c>
      <c r="BH339" t="s">
        <v>58</v>
      </c>
      <c r="BI339" t="s">
        <v>58</v>
      </c>
    </row>
    <row r="340" spans="1:61" x14ac:dyDescent="0.25">
      <c r="A340" t="str" cm="1">
        <f t="array" ref="A340">_xlfn.IFS(AS340="RegularSeason",C340,AS340&lt;&gt;"RegularSeason",R340)</f>
        <v>00101101010010100000000000010101</v>
      </c>
      <c r="B340" t="str" cm="1">
        <f t="array" ref="B340">_xlfn.IFS(AS340="RegularSeason",D340,AS340&lt;&gt;"RegularSeason",K340)</f>
        <v>00100110100010100000000000000000</v>
      </c>
      <c r="C340" t="str">
        <f t="shared" si="15"/>
        <v>00101101010010100000000000011001</v>
      </c>
      <c r="D340" t="str">
        <f t="shared" si="16"/>
        <v>00100110100010100000000000100100</v>
      </c>
      <c r="E340" t="str" cm="1">
        <f t="array" ref="E340">_xlfn.XLOOKUP(_xlfn.XLOOKUP(G340,New!A:A,New!M:M,NONE),TeamIdentity!A:A,TeamIdentity!C:C,NONE)</f>
        <v>00011001</v>
      </c>
      <c r="F340" t="str" cm="1">
        <f t="array" ref="F340">_xlfn.XLOOKUP(_xlfn.XLOOKUP(G340,New!A:A,New!F:F,NONE),TeamIdentity!A:A,TeamIdentity!C:C,NONE)</f>
        <v>00100100</v>
      </c>
      <c r="G340" t="str">
        <f t="shared" si="17"/>
        <v>0-0</v>
      </c>
      <c r="H340" t="s">
        <v>54</v>
      </c>
      <c r="I340" t="s">
        <v>54</v>
      </c>
      <c r="J340" t="s">
        <v>54</v>
      </c>
      <c r="K340" t="s">
        <v>543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536</v>
      </c>
      <c r="S340">
        <v>-1</v>
      </c>
      <c r="T340">
        <v>0</v>
      </c>
      <c r="U340">
        <v>90282</v>
      </c>
      <c r="V340">
        <v>0</v>
      </c>
      <c r="W340" t="s">
        <v>70</v>
      </c>
      <c r="X340">
        <v>0</v>
      </c>
      <c r="Y340">
        <v>0</v>
      </c>
      <c r="Z340">
        <v>975</v>
      </c>
      <c r="AA340" t="s">
        <v>57</v>
      </c>
      <c r="AB340">
        <v>0</v>
      </c>
      <c r="AC340">
        <v>0</v>
      </c>
      <c r="AD340">
        <v>0</v>
      </c>
      <c r="AE340">
        <v>0</v>
      </c>
      <c r="AF340" t="s">
        <v>67</v>
      </c>
      <c r="AG340">
        <v>0</v>
      </c>
      <c r="AH340">
        <v>0</v>
      </c>
      <c r="AI340">
        <v>0</v>
      </c>
      <c r="AJ340">
        <v>0</v>
      </c>
      <c r="AK340" t="s">
        <v>60</v>
      </c>
      <c r="AL340">
        <v>0</v>
      </c>
      <c r="AM340">
        <v>0</v>
      </c>
      <c r="AN340">
        <v>0</v>
      </c>
      <c r="AO340">
        <v>0</v>
      </c>
      <c r="AP340" t="b">
        <v>0</v>
      </c>
      <c r="AQ340" t="s">
        <v>58</v>
      </c>
      <c r="AR340" t="s">
        <v>58</v>
      </c>
      <c r="AS340" t="s">
        <v>66</v>
      </c>
      <c r="AT340">
        <v>14</v>
      </c>
      <c r="AU340">
        <v>0</v>
      </c>
      <c r="AV340">
        <v>0</v>
      </c>
      <c r="AW340">
        <v>11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1</v>
      </c>
      <c r="BD340" t="b">
        <v>0</v>
      </c>
      <c r="BE340" t="s">
        <v>61</v>
      </c>
      <c r="BF340" t="s">
        <v>57</v>
      </c>
      <c r="BG340" t="s">
        <v>55</v>
      </c>
      <c r="BH340" t="s">
        <v>58</v>
      </c>
      <c r="BI340" t="s">
        <v>58</v>
      </c>
    </row>
    <row r="341" spans="1:61" x14ac:dyDescent="0.25">
      <c r="A341" t="str" cm="1">
        <f t="array" ref="A341">_xlfn.IFS(AS341="RegularSeason",C341,AS341&lt;&gt;"RegularSeason",R341)</f>
        <v>00101101010010100000000000000011</v>
      </c>
      <c r="B341" t="str" cm="1">
        <f t="array" ref="B341">_xlfn.IFS(AS341="RegularSeason",D341,AS341&lt;&gt;"RegularSeason",K341)</f>
        <v>00100110100010100000000000000000</v>
      </c>
      <c r="C341" t="str">
        <f t="shared" si="15"/>
        <v>00101101010010100000000000011001</v>
      </c>
      <c r="D341" t="str">
        <f t="shared" si="16"/>
        <v>00100110100010100000000000100100</v>
      </c>
      <c r="E341" t="str" cm="1">
        <f t="array" ref="E341">_xlfn.XLOOKUP(_xlfn.XLOOKUP(G341,New!A:A,New!M:M,NONE),TeamIdentity!A:A,TeamIdentity!C:C,NONE)</f>
        <v>00011001</v>
      </c>
      <c r="F341" t="str" cm="1">
        <f t="array" ref="F341">_xlfn.XLOOKUP(_xlfn.XLOOKUP(G341,New!A:A,New!F:F,NONE),TeamIdentity!A:A,TeamIdentity!C:C,NONE)</f>
        <v>00100100</v>
      </c>
      <c r="G341" t="str">
        <f t="shared" si="17"/>
        <v>0-0</v>
      </c>
      <c r="H341" t="s">
        <v>54</v>
      </c>
      <c r="I341" t="s">
        <v>54</v>
      </c>
      <c r="J341" t="s">
        <v>54</v>
      </c>
      <c r="K341" t="s">
        <v>543</v>
      </c>
      <c r="L341" t="s">
        <v>54</v>
      </c>
      <c r="M341" t="s">
        <v>54</v>
      </c>
      <c r="N341" t="s">
        <v>54</v>
      </c>
      <c r="O341" t="s">
        <v>54</v>
      </c>
      <c r="P341" t="s">
        <v>54</v>
      </c>
      <c r="Q341" t="s">
        <v>54</v>
      </c>
      <c r="R341" t="s">
        <v>524</v>
      </c>
      <c r="S341">
        <v>-1</v>
      </c>
      <c r="T341">
        <v>0</v>
      </c>
      <c r="U341">
        <v>90268</v>
      </c>
      <c r="V341">
        <v>0</v>
      </c>
      <c r="W341" t="s">
        <v>70</v>
      </c>
      <c r="X341">
        <v>0</v>
      </c>
      <c r="Y341">
        <v>0</v>
      </c>
      <c r="Z341">
        <v>975</v>
      </c>
      <c r="AA341" t="s">
        <v>57</v>
      </c>
      <c r="AB341">
        <v>0</v>
      </c>
      <c r="AC341">
        <v>0</v>
      </c>
      <c r="AD341">
        <v>0</v>
      </c>
      <c r="AE341">
        <v>0</v>
      </c>
      <c r="AF341" t="s">
        <v>67</v>
      </c>
      <c r="AG341">
        <v>0</v>
      </c>
      <c r="AH341">
        <v>0</v>
      </c>
      <c r="AI341">
        <v>0</v>
      </c>
      <c r="AJ341">
        <v>0</v>
      </c>
      <c r="AK341" t="s">
        <v>60</v>
      </c>
      <c r="AL341">
        <v>0</v>
      </c>
      <c r="AM341">
        <v>0</v>
      </c>
      <c r="AN341">
        <v>0</v>
      </c>
      <c r="AO341">
        <v>0</v>
      </c>
      <c r="AP341" t="b">
        <v>0</v>
      </c>
      <c r="AQ341" t="s">
        <v>58</v>
      </c>
      <c r="AR341" t="s">
        <v>58</v>
      </c>
      <c r="AS341" t="s">
        <v>66</v>
      </c>
      <c r="AT341">
        <v>14</v>
      </c>
      <c r="AU341">
        <v>0</v>
      </c>
      <c r="AV341">
        <v>0</v>
      </c>
      <c r="AW341">
        <v>11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1</v>
      </c>
      <c r="BD341" t="b">
        <v>0</v>
      </c>
      <c r="BE341" t="s">
        <v>61</v>
      </c>
      <c r="BF341" t="s">
        <v>57</v>
      </c>
      <c r="BG341" t="s">
        <v>55</v>
      </c>
      <c r="BH341" t="s">
        <v>58</v>
      </c>
      <c r="BI341" t="s">
        <v>58</v>
      </c>
    </row>
    <row r="342" spans="1:61" x14ac:dyDescent="0.25">
      <c r="A342" t="str" cm="1">
        <f t="array" ref="A342">_xlfn.IFS(AS342="RegularSeason",C342,AS342&lt;&gt;"RegularSeason",R342)</f>
        <v>00101101010010100000000000010110</v>
      </c>
      <c r="B342" t="str" cm="1">
        <f t="array" ref="B342">_xlfn.IFS(AS342="RegularSeason",D342,AS342&lt;&gt;"RegularSeason",K342)</f>
        <v>00100110100010100000000000000000</v>
      </c>
      <c r="C342" t="str">
        <f t="shared" si="15"/>
        <v>00101101010010100000000000011001</v>
      </c>
      <c r="D342" t="str">
        <f t="shared" si="16"/>
        <v>00100110100010100000000000100100</v>
      </c>
      <c r="E342" t="str" cm="1">
        <f t="array" ref="E342">_xlfn.XLOOKUP(_xlfn.XLOOKUP(G342,New!A:A,New!M:M,NONE),TeamIdentity!A:A,TeamIdentity!C:C,NONE)</f>
        <v>00011001</v>
      </c>
      <c r="F342" t="str" cm="1">
        <f t="array" ref="F342">_xlfn.XLOOKUP(_xlfn.XLOOKUP(G342,New!A:A,New!F:F,NONE),TeamIdentity!A:A,TeamIdentity!C:C,NONE)</f>
        <v>00100100</v>
      </c>
      <c r="G342" t="str">
        <f t="shared" si="17"/>
        <v>0-0</v>
      </c>
      <c r="H342" t="s">
        <v>54</v>
      </c>
      <c r="I342" t="s">
        <v>54</v>
      </c>
      <c r="J342" t="s">
        <v>54</v>
      </c>
      <c r="K342" t="s">
        <v>543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522</v>
      </c>
      <c r="S342">
        <v>-1</v>
      </c>
      <c r="T342">
        <v>0</v>
      </c>
      <c r="U342">
        <v>90283</v>
      </c>
      <c r="V342">
        <v>0</v>
      </c>
      <c r="W342" t="s">
        <v>70</v>
      </c>
      <c r="X342">
        <v>0</v>
      </c>
      <c r="Y342">
        <v>0</v>
      </c>
      <c r="Z342">
        <v>975</v>
      </c>
      <c r="AA342" t="s">
        <v>57</v>
      </c>
      <c r="AB342">
        <v>0</v>
      </c>
      <c r="AC342">
        <v>0</v>
      </c>
      <c r="AD342">
        <v>0</v>
      </c>
      <c r="AE342">
        <v>0</v>
      </c>
      <c r="AF342" t="s">
        <v>67</v>
      </c>
      <c r="AG342">
        <v>0</v>
      </c>
      <c r="AH342">
        <v>0</v>
      </c>
      <c r="AI342">
        <v>0</v>
      </c>
      <c r="AJ342">
        <v>0</v>
      </c>
      <c r="AK342" t="s">
        <v>60</v>
      </c>
      <c r="AL342">
        <v>0</v>
      </c>
      <c r="AM342">
        <v>0</v>
      </c>
      <c r="AN342">
        <v>0</v>
      </c>
      <c r="AO342">
        <v>0</v>
      </c>
      <c r="AP342" t="b">
        <v>0</v>
      </c>
      <c r="AQ342" t="s">
        <v>58</v>
      </c>
      <c r="AR342" t="s">
        <v>58</v>
      </c>
      <c r="AS342" t="s">
        <v>66</v>
      </c>
      <c r="AT342">
        <v>14</v>
      </c>
      <c r="AU342">
        <v>0</v>
      </c>
      <c r="AV342">
        <v>0</v>
      </c>
      <c r="AW342">
        <v>11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1</v>
      </c>
      <c r="BD342" t="b">
        <v>0</v>
      </c>
      <c r="BE342" t="s">
        <v>61</v>
      </c>
      <c r="BF342" t="s">
        <v>57</v>
      </c>
      <c r="BG342" t="s">
        <v>55</v>
      </c>
      <c r="BH342" t="s">
        <v>58</v>
      </c>
      <c r="BI342" t="s">
        <v>58</v>
      </c>
    </row>
    <row r="343" spans="1:61" x14ac:dyDescent="0.25">
      <c r="A343" t="str" cm="1">
        <f t="array" ref="A343">_xlfn.IFS(AS343="RegularSeason",C343,AS343&lt;&gt;"RegularSeason",R343)</f>
        <v>00101101010010100000000000000101</v>
      </c>
      <c r="B343" t="str" cm="1">
        <f t="array" ref="B343">_xlfn.IFS(AS343="RegularSeason",D343,AS343&lt;&gt;"RegularSeason",K343)</f>
        <v>00100110100010100000000000000000</v>
      </c>
      <c r="C343" t="str">
        <f t="shared" si="15"/>
        <v>00101101010010100000000000011001</v>
      </c>
      <c r="D343" t="str">
        <f t="shared" si="16"/>
        <v>00100110100010100000000000100100</v>
      </c>
      <c r="E343" t="str" cm="1">
        <f t="array" ref="E343">_xlfn.XLOOKUP(_xlfn.XLOOKUP(G343,New!A:A,New!M:M,NONE),TeamIdentity!A:A,TeamIdentity!C:C,NONE)</f>
        <v>00011001</v>
      </c>
      <c r="F343" t="str" cm="1">
        <f t="array" ref="F343">_xlfn.XLOOKUP(_xlfn.XLOOKUP(G343,New!A:A,New!F:F,NONE),TeamIdentity!A:A,TeamIdentity!C:C,NONE)</f>
        <v>00100100</v>
      </c>
      <c r="G343" t="str">
        <f t="shared" si="17"/>
        <v>0-0</v>
      </c>
      <c r="H343" t="s">
        <v>54</v>
      </c>
      <c r="I343" t="s">
        <v>54</v>
      </c>
      <c r="J343" t="s">
        <v>54</v>
      </c>
      <c r="K343" t="s">
        <v>543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530</v>
      </c>
      <c r="S343">
        <v>-1</v>
      </c>
      <c r="T343">
        <v>0</v>
      </c>
      <c r="U343">
        <v>90270</v>
      </c>
      <c r="V343">
        <v>0</v>
      </c>
      <c r="W343" t="s">
        <v>70</v>
      </c>
      <c r="X343">
        <v>0</v>
      </c>
      <c r="Y343">
        <v>0</v>
      </c>
      <c r="Z343">
        <v>975</v>
      </c>
      <c r="AA343" t="s">
        <v>57</v>
      </c>
      <c r="AB343">
        <v>0</v>
      </c>
      <c r="AC343">
        <v>0</v>
      </c>
      <c r="AD343">
        <v>0</v>
      </c>
      <c r="AE343">
        <v>0</v>
      </c>
      <c r="AF343" t="s">
        <v>67</v>
      </c>
      <c r="AG343">
        <v>0</v>
      </c>
      <c r="AH343">
        <v>0</v>
      </c>
      <c r="AI343">
        <v>0</v>
      </c>
      <c r="AJ343">
        <v>0</v>
      </c>
      <c r="AK343" t="s">
        <v>60</v>
      </c>
      <c r="AL343">
        <v>0</v>
      </c>
      <c r="AM343">
        <v>0</v>
      </c>
      <c r="AN343">
        <v>0</v>
      </c>
      <c r="AO343">
        <v>0</v>
      </c>
      <c r="AP343" t="b">
        <v>0</v>
      </c>
      <c r="AQ343" t="s">
        <v>58</v>
      </c>
      <c r="AR343" t="s">
        <v>58</v>
      </c>
      <c r="AS343" t="s">
        <v>66</v>
      </c>
      <c r="AT343">
        <v>14</v>
      </c>
      <c r="AU343">
        <v>0</v>
      </c>
      <c r="AV343">
        <v>0</v>
      </c>
      <c r="AW343">
        <v>11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s">
        <v>61</v>
      </c>
      <c r="BF343" t="s">
        <v>57</v>
      </c>
      <c r="BG343" t="s">
        <v>55</v>
      </c>
      <c r="BH343" t="s">
        <v>58</v>
      </c>
      <c r="BI343" t="s">
        <v>58</v>
      </c>
    </row>
    <row r="344" spans="1:61" x14ac:dyDescent="0.25">
      <c r="A344" t="str" cm="1">
        <f t="array" ref="A344">_xlfn.IFS(AS344="RegularSeason",C344,AS344&lt;&gt;"RegularSeason",R344)</f>
        <v>00101101010010100000000000001111</v>
      </c>
      <c r="B344" t="str" cm="1">
        <f t="array" ref="B344">_xlfn.IFS(AS344="RegularSeason",D344,AS344&lt;&gt;"RegularSeason",K344)</f>
        <v>00100110100010100000000000000000</v>
      </c>
      <c r="C344" t="str">
        <f t="shared" si="15"/>
        <v>00101101010010100000000000011001</v>
      </c>
      <c r="D344" t="str">
        <f t="shared" si="16"/>
        <v>00100110100010100000000000100100</v>
      </c>
      <c r="E344" t="str" cm="1">
        <f t="array" ref="E344">_xlfn.XLOOKUP(_xlfn.XLOOKUP(G344,New!A:A,New!M:M,NONE),TeamIdentity!A:A,TeamIdentity!C:C,NONE)</f>
        <v>00011001</v>
      </c>
      <c r="F344" t="str" cm="1">
        <f t="array" ref="F344">_xlfn.XLOOKUP(_xlfn.XLOOKUP(G344,New!A:A,New!F:F,NONE),TeamIdentity!A:A,TeamIdentity!C:C,NONE)</f>
        <v>00100100</v>
      </c>
      <c r="G344" t="str">
        <f t="shared" si="17"/>
        <v>0-0</v>
      </c>
      <c r="H344" t="s">
        <v>54</v>
      </c>
      <c r="I344" t="s">
        <v>54</v>
      </c>
      <c r="J344" t="s">
        <v>54</v>
      </c>
      <c r="K344" t="s">
        <v>543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516</v>
      </c>
      <c r="S344">
        <v>-1</v>
      </c>
      <c r="T344">
        <v>0</v>
      </c>
      <c r="U344">
        <v>90277</v>
      </c>
      <c r="V344">
        <v>0</v>
      </c>
      <c r="W344" t="s">
        <v>70</v>
      </c>
      <c r="X344">
        <v>0</v>
      </c>
      <c r="Y344">
        <v>0</v>
      </c>
      <c r="Z344">
        <v>975</v>
      </c>
      <c r="AA344" t="s">
        <v>57</v>
      </c>
      <c r="AB344">
        <v>0</v>
      </c>
      <c r="AC344">
        <v>0</v>
      </c>
      <c r="AD344">
        <v>0</v>
      </c>
      <c r="AE344">
        <v>0</v>
      </c>
      <c r="AF344" t="s">
        <v>67</v>
      </c>
      <c r="AG344">
        <v>0</v>
      </c>
      <c r="AH344">
        <v>0</v>
      </c>
      <c r="AI344">
        <v>0</v>
      </c>
      <c r="AJ344">
        <v>0</v>
      </c>
      <c r="AK344" t="s">
        <v>60</v>
      </c>
      <c r="AL344">
        <v>0</v>
      </c>
      <c r="AM344">
        <v>0</v>
      </c>
      <c r="AN344">
        <v>0</v>
      </c>
      <c r="AO344">
        <v>0</v>
      </c>
      <c r="AP344" t="b">
        <v>0</v>
      </c>
      <c r="AQ344" t="s">
        <v>58</v>
      </c>
      <c r="AR344" t="s">
        <v>58</v>
      </c>
      <c r="AS344" t="s">
        <v>66</v>
      </c>
      <c r="AT344">
        <v>14</v>
      </c>
      <c r="AU344">
        <v>0</v>
      </c>
      <c r="AV344">
        <v>0</v>
      </c>
      <c r="AW344">
        <v>11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1</v>
      </c>
      <c r="BD344" t="b">
        <v>0</v>
      </c>
      <c r="BE344" t="s">
        <v>61</v>
      </c>
      <c r="BF344" t="s">
        <v>57</v>
      </c>
      <c r="BG344" t="s">
        <v>55</v>
      </c>
      <c r="BH344" t="s">
        <v>58</v>
      </c>
      <c r="BI344" t="s">
        <v>58</v>
      </c>
    </row>
    <row r="345" spans="1:61" x14ac:dyDescent="0.25">
      <c r="A345" t="str" cm="1">
        <f t="array" ref="A345">_xlfn.IFS(AS345="RegularSeason",C345,AS345&lt;&gt;"RegularSeason",R345)</f>
        <v>00101101010010100000000000001110</v>
      </c>
      <c r="B345" t="str" cm="1">
        <f t="array" ref="B345">_xlfn.IFS(AS345="RegularSeason",D345,AS345&lt;&gt;"RegularSeason",K345)</f>
        <v>00100110100010100000000000000000</v>
      </c>
      <c r="C345" t="str">
        <f t="shared" si="15"/>
        <v>00101101010010100000000000011001</v>
      </c>
      <c r="D345" t="str">
        <f t="shared" si="16"/>
        <v>00100110100010100000000000100100</v>
      </c>
      <c r="E345" t="str" cm="1">
        <f t="array" ref="E345">_xlfn.XLOOKUP(_xlfn.XLOOKUP(G345,New!A:A,New!M:M,NONE),TeamIdentity!A:A,TeamIdentity!C:C,NONE)</f>
        <v>00011001</v>
      </c>
      <c r="F345" t="str" cm="1">
        <f t="array" ref="F345">_xlfn.XLOOKUP(_xlfn.XLOOKUP(G345,New!A:A,New!F:F,NONE),TeamIdentity!A:A,TeamIdentity!C:C,NONE)</f>
        <v>00100100</v>
      </c>
      <c r="G345" t="str">
        <f t="shared" si="17"/>
        <v>0-0</v>
      </c>
      <c r="H345" t="s">
        <v>54</v>
      </c>
      <c r="I345" t="s">
        <v>54</v>
      </c>
      <c r="J345" t="s">
        <v>54</v>
      </c>
      <c r="K345" t="s">
        <v>543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541</v>
      </c>
      <c r="S345">
        <v>-1</v>
      </c>
      <c r="T345">
        <v>0</v>
      </c>
      <c r="U345">
        <v>90276</v>
      </c>
      <c r="V345">
        <v>0</v>
      </c>
      <c r="W345" t="s">
        <v>70</v>
      </c>
      <c r="X345">
        <v>0</v>
      </c>
      <c r="Y345">
        <v>0</v>
      </c>
      <c r="Z345">
        <v>975</v>
      </c>
      <c r="AA345" t="s">
        <v>57</v>
      </c>
      <c r="AB345">
        <v>0</v>
      </c>
      <c r="AC345">
        <v>0</v>
      </c>
      <c r="AD345">
        <v>0</v>
      </c>
      <c r="AE345">
        <v>0</v>
      </c>
      <c r="AF345" t="s">
        <v>67</v>
      </c>
      <c r="AG345">
        <v>0</v>
      </c>
      <c r="AH345">
        <v>0</v>
      </c>
      <c r="AI345">
        <v>0</v>
      </c>
      <c r="AJ345">
        <v>0</v>
      </c>
      <c r="AK345" t="s">
        <v>60</v>
      </c>
      <c r="AL345">
        <v>0</v>
      </c>
      <c r="AM345">
        <v>0</v>
      </c>
      <c r="AN345">
        <v>0</v>
      </c>
      <c r="AO345">
        <v>0</v>
      </c>
      <c r="AP345" t="b">
        <v>0</v>
      </c>
      <c r="AQ345" t="s">
        <v>58</v>
      </c>
      <c r="AR345" t="s">
        <v>58</v>
      </c>
      <c r="AS345" t="s">
        <v>66</v>
      </c>
      <c r="AT345">
        <v>14</v>
      </c>
      <c r="AU345">
        <v>0</v>
      </c>
      <c r="AV345">
        <v>0</v>
      </c>
      <c r="AW345">
        <v>11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1</v>
      </c>
      <c r="BD345" t="b">
        <v>0</v>
      </c>
      <c r="BE345" t="s">
        <v>61</v>
      </c>
      <c r="BF345" t="s">
        <v>57</v>
      </c>
      <c r="BG345" t="s">
        <v>55</v>
      </c>
      <c r="BH345" t="s">
        <v>58</v>
      </c>
      <c r="BI345" t="s">
        <v>58</v>
      </c>
    </row>
    <row r="346" spans="1:61" x14ac:dyDescent="0.25">
      <c r="A346" t="str" cm="1">
        <f t="array" ref="A346">_xlfn.IFS(AS346="RegularSeason",C346,AS346&lt;&gt;"RegularSeason",R346)</f>
        <v>00101101010010100000000000010011</v>
      </c>
      <c r="B346" t="str" cm="1">
        <f t="array" ref="B346">_xlfn.IFS(AS346="RegularSeason",D346,AS346&lt;&gt;"RegularSeason",K346)</f>
        <v>00100110100010100000000000000000</v>
      </c>
      <c r="C346" t="str">
        <f t="shared" si="15"/>
        <v>00101101010010100000000000011001</v>
      </c>
      <c r="D346" t="str">
        <f t="shared" si="16"/>
        <v>00100110100010100000000000100100</v>
      </c>
      <c r="E346" t="str" cm="1">
        <f t="array" ref="E346">_xlfn.XLOOKUP(_xlfn.XLOOKUP(G346,New!A:A,New!M:M,NONE),TeamIdentity!A:A,TeamIdentity!C:C,NONE)</f>
        <v>00011001</v>
      </c>
      <c r="F346" t="str" cm="1">
        <f t="array" ref="F346">_xlfn.XLOOKUP(_xlfn.XLOOKUP(G346,New!A:A,New!F:F,NONE),TeamIdentity!A:A,TeamIdentity!C:C,NONE)</f>
        <v>00100100</v>
      </c>
      <c r="G346" t="str">
        <f t="shared" si="17"/>
        <v>0-0</v>
      </c>
      <c r="H346" t="s">
        <v>54</v>
      </c>
      <c r="I346" t="s">
        <v>54</v>
      </c>
      <c r="J346" t="s">
        <v>54</v>
      </c>
      <c r="K346" t="s">
        <v>543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514</v>
      </c>
      <c r="S346">
        <v>-1</v>
      </c>
      <c r="T346">
        <v>0</v>
      </c>
      <c r="U346">
        <v>90281</v>
      </c>
      <c r="V346">
        <v>0</v>
      </c>
      <c r="W346" t="s">
        <v>70</v>
      </c>
      <c r="X346">
        <v>0</v>
      </c>
      <c r="Y346">
        <v>0</v>
      </c>
      <c r="Z346">
        <v>975</v>
      </c>
      <c r="AA346" t="s">
        <v>57</v>
      </c>
      <c r="AB346">
        <v>0</v>
      </c>
      <c r="AC346">
        <v>0</v>
      </c>
      <c r="AD346">
        <v>0</v>
      </c>
      <c r="AE346">
        <v>0</v>
      </c>
      <c r="AF346" t="s">
        <v>67</v>
      </c>
      <c r="AG346">
        <v>0</v>
      </c>
      <c r="AH346">
        <v>0</v>
      </c>
      <c r="AI346">
        <v>0</v>
      </c>
      <c r="AJ346">
        <v>0</v>
      </c>
      <c r="AK346" t="s">
        <v>60</v>
      </c>
      <c r="AL346">
        <v>0</v>
      </c>
      <c r="AM346">
        <v>0</v>
      </c>
      <c r="AN346">
        <v>0</v>
      </c>
      <c r="AO346">
        <v>0</v>
      </c>
      <c r="AP346" t="b">
        <v>0</v>
      </c>
      <c r="AQ346" t="s">
        <v>58</v>
      </c>
      <c r="AR346" t="s">
        <v>58</v>
      </c>
      <c r="AS346" t="s">
        <v>66</v>
      </c>
      <c r="AT346">
        <v>14</v>
      </c>
      <c r="AU346">
        <v>0</v>
      </c>
      <c r="AV346">
        <v>0</v>
      </c>
      <c r="AW346">
        <v>11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1</v>
      </c>
      <c r="BD346" t="b">
        <v>0</v>
      </c>
      <c r="BE346" t="s">
        <v>61</v>
      </c>
      <c r="BF346" t="s">
        <v>57</v>
      </c>
      <c r="BG346" t="s">
        <v>55</v>
      </c>
      <c r="BH346" t="s">
        <v>58</v>
      </c>
      <c r="BI346" t="s">
        <v>58</v>
      </c>
    </row>
    <row r="347" spans="1:61" x14ac:dyDescent="0.25">
      <c r="A347" t="str" cm="1">
        <f t="array" ref="A347">_xlfn.IFS(AS347="RegularSeason",C347,AS347&lt;&gt;"RegularSeason",R347)</f>
        <v>00101101010010100000000000001010</v>
      </c>
      <c r="B347" t="str" cm="1">
        <f t="array" ref="B347">_xlfn.IFS(AS347="RegularSeason",D347,AS347&lt;&gt;"RegularSeason",K347)</f>
        <v>00100110100010100000000000000000</v>
      </c>
      <c r="C347" t="str">
        <f t="shared" si="15"/>
        <v>00101101010010100000000000011001</v>
      </c>
      <c r="D347" t="str">
        <f t="shared" si="16"/>
        <v>00100110100010100000000000100100</v>
      </c>
      <c r="E347" t="str" cm="1">
        <f t="array" ref="E347">_xlfn.XLOOKUP(_xlfn.XLOOKUP(G347,New!A:A,New!M:M,NONE),TeamIdentity!A:A,TeamIdentity!C:C,NONE)</f>
        <v>00011001</v>
      </c>
      <c r="F347" t="str" cm="1">
        <f t="array" ref="F347">_xlfn.XLOOKUP(_xlfn.XLOOKUP(G347,New!A:A,New!F:F,NONE),TeamIdentity!A:A,TeamIdentity!C:C,NONE)</f>
        <v>00100100</v>
      </c>
      <c r="G347" t="str">
        <f t="shared" si="17"/>
        <v>0-0</v>
      </c>
      <c r="H347" t="s">
        <v>54</v>
      </c>
      <c r="I347" t="s">
        <v>54</v>
      </c>
      <c r="J347" t="s">
        <v>54</v>
      </c>
      <c r="K347" t="s">
        <v>543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528</v>
      </c>
      <c r="S347">
        <v>-1</v>
      </c>
      <c r="T347">
        <v>0</v>
      </c>
      <c r="U347">
        <v>90273</v>
      </c>
      <c r="V347">
        <v>0</v>
      </c>
      <c r="W347" t="s">
        <v>70</v>
      </c>
      <c r="X347">
        <v>0</v>
      </c>
      <c r="Y347">
        <v>0</v>
      </c>
      <c r="Z347">
        <v>975</v>
      </c>
      <c r="AA347" t="s">
        <v>57</v>
      </c>
      <c r="AB347">
        <v>0</v>
      </c>
      <c r="AC347">
        <v>0</v>
      </c>
      <c r="AD347">
        <v>0</v>
      </c>
      <c r="AE347">
        <v>0</v>
      </c>
      <c r="AF347" t="s">
        <v>67</v>
      </c>
      <c r="AG347">
        <v>0</v>
      </c>
      <c r="AH347">
        <v>0</v>
      </c>
      <c r="AI347">
        <v>0</v>
      </c>
      <c r="AJ347">
        <v>0</v>
      </c>
      <c r="AK347" t="s">
        <v>60</v>
      </c>
      <c r="AL347">
        <v>0</v>
      </c>
      <c r="AM347">
        <v>0</v>
      </c>
      <c r="AN347">
        <v>0</v>
      </c>
      <c r="AO347">
        <v>0</v>
      </c>
      <c r="AP347" t="b">
        <v>0</v>
      </c>
      <c r="AQ347" t="s">
        <v>58</v>
      </c>
      <c r="AR347" t="s">
        <v>58</v>
      </c>
      <c r="AS347" t="s">
        <v>66</v>
      </c>
      <c r="AT347">
        <v>14</v>
      </c>
      <c r="AU347">
        <v>0</v>
      </c>
      <c r="AV347">
        <v>0</v>
      </c>
      <c r="AW347">
        <v>11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1</v>
      </c>
      <c r="BD347" t="b">
        <v>0</v>
      </c>
      <c r="BE347" t="s">
        <v>61</v>
      </c>
      <c r="BF347" t="s">
        <v>57</v>
      </c>
      <c r="BG347" t="s">
        <v>55</v>
      </c>
      <c r="BH347" t="s">
        <v>58</v>
      </c>
      <c r="BI347" t="s">
        <v>58</v>
      </c>
    </row>
    <row r="348" spans="1:61" x14ac:dyDescent="0.25">
      <c r="A348" t="str" cm="1">
        <f t="array" ref="A348">_xlfn.IFS(AS348="RegularSeason",C348,AS348&lt;&gt;"RegularSeason",R348)</f>
        <v>00101101010010100000000000001100</v>
      </c>
      <c r="B348" t="str" cm="1">
        <f t="array" ref="B348">_xlfn.IFS(AS348="RegularSeason",D348,AS348&lt;&gt;"RegularSeason",K348)</f>
        <v>00100110100010100000000000000000</v>
      </c>
      <c r="C348" t="str">
        <f t="shared" si="15"/>
        <v>00101101010010100000000000011001</v>
      </c>
      <c r="D348" t="str">
        <f t="shared" si="16"/>
        <v>00100110100010100000000000100100</v>
      </c>
      <c r="E348" t="str" cm="1">
        <f t="array" ref="E348">_xlfn.XLOOKUP(_xlfn.XLOOKUP(G348,New!A:A,New!M:M,NONE),TeamIdentity!A:A,TeamIdentity!C:C,NONE)</f>
        <v>00011001</v>
      </c>
      <c r="F348" t="str" cm="1">
        <f t="array" ref="F348">_xlfn.XLOOKUP(_xlfn.XLOOKUP(G348,New!A:A,New!F:F,NONE),TeamIdentity!A:A,TeamIdentity!C:C,NONE)</f>
        <v>00100100</v>
      </c>
      <c r="G348" t="str">
        <f t="shared" si="17"/>
        <v>0-0</v>
      </c>
      <c r="H348" t="s">
        <v>54</v>
      </c>
      <c r="I348" t="s">
        <v>54</v>
      </c>
      <c r="J348" t="s">
        <v>54</v>
      </c>
      <c r="K348" t="s">
        <v>543</v>
      </c>
      <c r="L348" t="s">
        <v>54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540</v>
      </c>
      <c r="S348">
        <v>-1</v>
      </c>
      <c r="T348">
        <v>0</v>
      </c>
      <c r="U348">
        <v>90275</v>
      </c>
      <c r="V348">
        <v>0</v>
      </c>
      <c r="W348" t="s">
        <v>70</v>
      </c>
      <c r="X348">
        <v>0</v>
      </c>
      <c r="Y348">
        <v>0</v>
      </c>
      <c r="Z348">
        <v>975</v>
      </c>
      <c r="AA348" t="s">
        <v>57</v>
      </c>
      <c r="AB348">
        <v>0</v>
      </c>
      <c r="AC348">
        <v>0</v>
      </c>
      <c r="AD348">
        <v>0</v>
      </c>
      <c r="AE348">
        <v>0</v>
      </c>
      <c r="AF348" t="s">
        <v>67</v>
      </c>
      <c r="AG348">
        <v>0</v>
      </c>
      <c r="AH348">
        <v>0</v>
      </c>
      <c r="AI348">
        <v>0</v>
      </c>
      <c r="AJ348">
        <v>0</v>
      </c>
      <c r="AK348" t="s">
        <v>60</v>
      </c>
      <c r="AL348">
        <v>0</v>
      </c>
      <c r="AM348">
        <v>0</v>
      </c>
      <c r="AN348">
        <v>0</v>
      </c>
      <c r="AO348">
        <v>0</v>
      </c>
      <c r="AP348" t="b">
        <v>0</v>
      </c>
      <c r="AQ348" t="s">
        <v>58</v>
      </c>
      <c r="AR348" t="s">
        <v>58</v>
      </c>
      <c r="AS348" t="s">
        <v>66</v>
      </c>
      <c r="AT348">
        <v>14</v>
      </c>
      <c r="AU348">
        <v>0</v>
      </c>
      <c r="AV348">
        <v>0</v>
      </c>
      <c r="AW348">
        <v>11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1</v>
      </c>
      <c r="BD348" t="b">
        <v>0</v>
      </c>
      <c r="BE348" t="s">
        <v>61</v>
      </c>
      <c r="BF348" t="s">
        <v>57</v>
      </c>
      <c r="BG348" t="s">
        <v>55</v>
      </c>
      <c r="BH348" t="s">
        <v>58</v>
      </c>
      <c r="BI348" t="s">
        <v>58</v>
      </c>
    </row>
    <row r="349" spans="1:61" x14ac:dyDescent="0.25">
      <c r="A349" t="str" cm="1">
        <f t="array" ref="A349">_xlfn.IFS(AS349="RegularSeason",C349,AS349&lt;&gt;"RegularSeason",R349)</f>
        <v>00101101010010100000000000000010</v>
      </c>
      <c r="B349" t="str" cm="1">
        <f t="array" ref="B349">_xlfn.IFS(AS349="RegularSeason",D349,AS349&lt;&gt;"RegularSeason",K349)</f>
        <v>00100110100010100000000000000000</v>
      </c>
      <c r="C349" t="str">
        <f t="shared" si="15"/>
        <v>00101101010010100000000000011001</v>
      </c>
      <c r="D349" t="str">
        <f t="shared" si="16"/>
        <v>00100110100010100000000000100100</v>
      </c>
      <c r="E349" t="str" cm="1">
        <f t="array" ref="E349">_xlfn.XLOOKUP(_xlfn.XLOOKUP(G349,New!A:A,New!M:M,NONE),TeamIdentity!A:A,TeamIdentity!C:C,NONE)</f>
        <v>00011001</v>
      </c>
      <c r="F349" t="str" cm="1">
        <f t="array" ref="F349">_xlfn.XLOOKUP(_xlfn.XLOOKUP(G349,New!A:A,New!F:F,NONE),TeamIdentity!A:A,TeamIdentity!C:C,NONE)</f>
        <v>00100100</v>
      </c>
      <c r="G349" t="str">
        <f t="shared" si="17"/>
        <v>0-0</v>
      </c>
      <c r="H349" t="s">
        <v>54</v>
      </c>
      <c r="I349" t="s">
        <v>54</v>
      </c>
      <c r="J349" t="s">
        <v>54</v>
      </c>
      <c r="K349" t="s">
        <v>543</v>
      </c>
      <c r="L349" t="s">
        <v>54</v>
      </c>
      <c r="M349" t="s">
        <v>54</v>
      </c>
      <c r="N349" t="s">
        <v>54</v>
      </c>
      <c r="O349" t="s">
        <v>54</v>
      </c>
      <c r="P349" t="s">
        <v>54</v>
      </c>
      <c r="Q349" t="s">
        <v>54</v>
      </c>
      <c r="R349" t="s">
        <v>532</v>
      </c>
      <c r="S349">
        <v>-1</v>
      </c>
      <c r="T349">
        <v>0</v>
      </c>
      <c r="U349">
        <v>90267</v>
      </c>
      <c r="V349">
        <v>0</v>
      </c>
      <c r="W349" t="s">
        <v>70</v>
      </c>
      <c r="X349">
        <v>0</v>
      </c>
      <c r="Y349">
        <v>0</v>
      </c>
      <c r="Z349">
        <v>975</v>
      </c>
      <c r="AA349" t="s">
        <v>57</v>
      </c>
      <c r="AB349">
        <v>0</v>
      </c>
      <c r="AC349">
        <v>0</v>
      </c>
      <c r="AD349">
        <v>0</v>
      </c>
      <c r="AE349">
        <v>0</v>
      </c>
      <c r="AF349" t="s">
        <v>67</v>
      </c>
      <c r="AG349">
        <v>0</v>
      </c>
      <c r="AH349">
        <v>0</v>
      </c>
      <c r="AI349">
        <v>0</v>
      </c>
      <c r="AJ349">
        <v>0</v>
      </c>
      <c r="AK349" t="s">
        <v>60</v>
      </c>
      <c r="AL349">
        <v>0</v>
      </c>
      <c r="AM349">
        <v>0</v>
      </c>
      <c r="AN349">
        <v>0</v>
      </c>
      <c r="AO349">
        <v>0</v>
      </c>
      <c r="AP349" t="b">
        <v>0</v>
      </c>
      <c r="AQ349" t="s">
        <v>58</v>
      </c>
      <c r="AR349" t="s">
        <v>58</v>
      </c>
      <c r="AS349" t="s">
        <v>66</v>
      </c>
      <c r="AT349">
        <v>14</v>
      </c>
      <c r="AU349">
        <v>0</v>
      </c>
      <c r="AV349">
        <v>0</v>
      </c>
      <c r="AW349">
        <v>11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s">
        <v>61</v>
      </c>
      <c r="BF349" t="s">
        <v>57</v>
      </c>
      <c r="BG349" t="s">
        <v>55</v>
      </c>
      <c r="BH349" t="s">
        <v>58</v>
      </c>
      <c r="BI349" t="s">
        <v>58</v>
      </c>
    </row>
    <row r="350" spans="1:61" x14ac:dyDescent="0.25">
      <c r="A350" t="str" cm="1">
        <f t="array" ref="A350">_xlfn.IFS(AS350="RegularSeason",C350,AS350&lt;&gt;"RegularSeason",R350)</f>
        <v>00101101010010100000000000011010</v>
      </c>
      <c r="B350" t="str" cm="1">
        <f t="array" ref="B350">_xlfn.IFS(AS350="RegularSeason",D350,AS350&lt;&gt;"RegularSeason",K350)</f>
        <v>00100110100010100000000000000000</v>
      </c>
      <c r="C350" t="str">
        <f t="shared" si="15"/>
        <v>00101101010010100000000000011001</v>
      </c>
      <c r="D350" t="str">
        <f t="shared" si="16"/>
        <v>00100110100010100000000000100100</v>
      </c>
      <c r="E350" t="str" cm="1">
        <f t="array" ref="E350">_xlfn.XLOOKUP(_xlfn.XLOOKUP(G350,New!A:A,New!M:M,NONE),TeamIdentity!A:A,TeamIdentity!C:C,NONE)</f>
        <v>00011001</v>
      </c>
      <c r="F350" t="str" cm="1">
        <f t="array" ref="F350">_xlfn.XLOOKUP(_xlfn.XLOOKUP(G350,New!A:A,New!F:F,NONE),TeamIdentity!A:A,TeamIdentity!C:C,NONE)</f>
        <v>00100100</v>
      </c>
      <c r="G350" t="str">
        <f t="shared" si="17"/>
        <v>0-0</v>
      </c>
      <c r="H350" t="s">
        <v>54</v>
      </c>
      <c r="I350" t="s">
        <v>54</v>
      </c>
      <c r="J350" t="s">
        <v>54</v>
      </c>
      <c r="K350" t="s">
        <v>543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511</v>
      </c>
      <c r="S350">
        <v>-1</v>
      </c>
      <c r="T350">
        <v>0</v>
      </c>
      <c r="U350">
        <v>90286</v>
      </c>
      <c r="V350">
        <v>0</v>
      </c>
      <c r="W350" t="s">
        <v>70</v>
      </c>
      <c r="X350">
        <v>0</v>
      </c>
      <c r="Y350">
        <v>0</v>
      </c>
      <c r="Z350">
        <v>975</v>
      </c>
      <c r="AA350" t="s">
        <v>57</v>
      </c>
      <c r="AB350">
        <v>0</v>
      </c>
      <c r="AC350">
        <v>0</v>
      </c>
      <c r="AD350">
        <v>0</v>
      </c>
      <c r="AE350">
        <v>0</v>
      </c>
      <c r="AF350" t="s">
        <v>67</v>
      </c>
      <c r="AG350">
        <v>0</v>
      </c>
      <c r="AH350">
        <v>0</v>
      </c>
      <c r="AI350">
        <v>0</v>
      </c>
      <c r="AJ350">
        <v>0</v>
      </c>
      <c r="AK350" t="s">
        <v>60</v>
      </c>
      <c r="AL350">
        <v>0</v>
      </c>
      <c r="AM350">
        <v>0</v>
      </c>
      <c r="AN350">
        <v>0</v>
      </c>
      <c r="AO350">
        <v>0</v>
      </c>
      <c r="AP350" t="b">
        <v>0</v>
      </c>
      <c r="AQ350" t="s">
        <v>58</v>
      </c>
      <c r="AR350" t="s">
        <v>58</v>
      </c>
      <c r="AS350" t="s">
        <v>66</v>
      </c>
      <c r="AT350">
        <v>14</v>
      </c>
      <c r="AU350">
        <v>0</v>
      </c>
      <c r="AV350">
        <v>0</v>
      </c>
      <c r="AW350">
        <v>11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1</v>
      </c>
      <c r="BD350" t="b">
        <v>0</v>
      </c>
      <c r="BE350" t="s">
        <v>61</v>
      </c>
      <c r="BF350" t="s">
        <v>57</v>
      </c>
      <c r="BG350" t="s">
        <v>55</v>
      </c>
      <c r="BH350" t="s">
        <v>58</v>
      </c>
      <c r="BI350" t="s">
        <v>58</v>
      </c>
    </row>
    <row r="351" spans="1:61" x14ac:dyDescent="0.25">
      <c r="A351" t="str" cm="1">
        <f t="array" ref="A351">_xlfn.IFS(AS351="RegularSeason",C351,AS351&lt;&gt;"RegularSeason",R351)</f>
        <v>00101101010010100000000000010001</v>
      </c>
      <c r="B351" t="str" cm="1">
        <f t="array" ref="B351">_xlfn.IFS(AS351="RegularSeason",D351,AS351&lt;&gt;"RegularSeason",K351)</f>
        <v>00100110100010100000000000000000</v>
      </c>
      <c r="C351" t="str">
        <f t="shared" si="15"/>
        <v>00101101010010100000000000011001</v>
      </c>
      <c r="D351" t="str">
        <f t="shared" si="16"/>
        <v>00100110100010100000000000100100</v>
      </c>
      <c r="E351" t="str" cm="1">
        <f t="array" ref="E351">_xlfn.XLOOKUP(_xlfn.XLOOKUP(G351,New!A:A,New!M:M,NONE),TeamIdentity!A:A,TeamIdentity!C:C,NONE)</f>
        <v>00011001</v>
      </c>
      <c r="F351" t="str" cm="1">
        <f t="array" ref="F351">_xlfn.XLOOKUP(_xlfn.XLOOKUP(G351,New!A:A,New!F:F,NONE),TeamIdentity!A:A,TeamIdentity!C:C,NONE)</f>
        <v>00100100</v>
      </c>
      <c r="G351" t="str">
        <f t="shared" si="17"/>
        <v>0-0</v>
      </c>
      <c r="H351" t="s">
        <v>54</v>
      </c>
      <c r="I351" t="s">
        <v>54</v>
      </c>
      <c r="J351" t="s">
        <v>54</v>
      </c>
      <c r="K351" t="s">
        <v>543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515</v>
      </c>
      <c r="S351">
        <v>-1</v>
      </c>
      <c r="T351">
        <v>0</v>
      </c>
      <c r="U351">
        <v>90279</v>
      </c>
      <c r="V351">
        <v>0</v>
      </c>
      <c r="W351" t="s">
        <v>70</v>
      </c>
      <c r="X351">
        <v>0</v>
      </c>
      <c r="Y351">
        <v>0</v>
      </c>
      <c r="Z351">
        <v>975</v>
      </c>
      <c r="AA351" t="s">
        <v>57</v>
      </c>
      <c r="AB351">
        <v>0</v>
      </c>
      <c r="AC351">
        <v>0</v>
      </c>
      <c r="AD351">
        <v>0</v>
      </c>
      <c r="AE351">
        <v>0</v>
      </c>
      <c r="AF351" t="s">
        <v>67</v>
      </c>
      <c r="AG351">
        <v>0</v>
      </c>
      <c r="AH351">
        <v>0</v>
      </c>
      <c r="AI351">
        <v>0</v>
      </c>
      <c r="AJ351">
        <v>0</v>
      </c>
      <c r="AK351" t="s">
        <v>60</v>
      </c>
      <c r="AL351">
        <v>0</v>
      </c>
      <c r="AM351">
        <v>0</v>
      </c>
      <c r="AN351">
        <v>0</v>
      </c>
      <c r="AO351">
        <v>0</v>
      </c>
      <c r="AP351" t="b">
        <v>0</v>
      </c>
      <c r="AQ351" t="s">
        <v>58</v>
      </c>
      <c r="AR351" t="s">
        <v>58</v>
      </c>
      <c r="AS351" t="s">
        <v>66</v>
      </c>
      <c r="AT351">
        <v>14</v>
      </c>
      <c r="AU351">
        <v>0</v>
      </c>
      <c r="AV351">
        <v>0</v>
      </c>
      <c r="AW351">
        <v>11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1</v>
      </c>
      <c r="BD351" t="b">
        <v>0</v>
      </c>
      <c r="BE351" t="s">
        <v>61</v>
      </c>
      <c r="BF351" t="s">
        <v>57</v>
      </c>
      <c r="BG351" t="s">
        <v>55</v>
      </c>
      <c r="BH351" t="s">
        <v>58</v>
      </c>
      <c r="BI351" t="s">
        <v>58</v>
      </c>
    </row>
    <row r="352" spans="1:61" x14ac:dyDescent="0.25">
      <c r="A352" t="str" cm="1">
        <f t="array" ref="A352">_xlfn.IFS(AS352="RegularSeason",C352,AS352&lt;&gt;"RegularSeason",R352)</f>
        <v>00101101010010100000000000100100</v>
      </c>
      <c r="B352" t="str" cm="1">
        <f t="array" ref="B352">_xlfn.IFS(AS352="RegularSeason",D352,AS352&lt;&gt;"RegularSeason",K352)</f>
        <v>00100110100010100000000000000000</v>
      </c>
      <c r="C352" t="str">
        <f t="shared" si="15"/>
        <v>00101101010010100000000000011001</v>
      </c>
      <c r="D352" t="str">
        <f t="shared" si="16"/>
        <v>00100110100010100000000000100100</v>
      </c>
      <c r="E352" t="str" cm="1">
        <f t="array" ref="E352">_xlfn.XLOOKUP(_xlfn.XLOOKUP(G352,New!A:A,New!M:M,NONE),TeamIdentity!A:A,TeamIdentity!C:C,NONE)</f>
        <v>00011001</v>
      </c>
      <c r="F352" t="str" cm="1">
        <f t="array" ref="F352">_xlfn.XLOOKUP(_xlfn.XLOOKUP(G352,New!A:A,New!F:F,NONE),TeamIdentity!A:A,TeamIdentity!C:C,NONE)</f>
        <v>00100100</v>
      </c>
      <c r="G352" t="str">
        <f t="shared" si="17"/>
        <v>0-0</v>
      </c>
      <c r="H352" t="s">
        <v>54</v>
      </c>
      <c r="I352" t="s">
        <v>54</v>
      </c>
      <c r="J352" t="s">
        <v>54</v>
      </c>
      <c r="K352" t="s">
        <v>543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526</v>
      </c>
      <c r="S352">
        <v>-1</v>
      </c>
      <c r="T352">
        <v>0</v>
      </c>
      <c r="U352">
        <v>90296</v>
      </c>
      <c r="V352">
        <v>0</v>
      </c>
      <c r="W352" t="s">
        <v>70</v>
      </c>
      <c r="X352">
        <v>0</v>
      </c>
      <c r="Y352">
        <v>0</v>
      </c>
      <c r="Z352">
        <v>975</v>
      </c>
      <c r="AA352" t="s">
        <v>57</v>
      </c>
      <c r="AB352">
        <v>0</v>
      </c>
      <c r="AC352">
        <v>0</v>
      </c>
      <c r="AD352">
        <v>0</v>
      </c>
      <c r="AE352">
        <v>0</v>
      </c>
      <c r="AF352" t="s">
        <v>67</v>
      </c>
      <c r="AG352">
        <v>0</v>
      </c>
      <c r="AH352">
        <v>0</v>
      </c>
      <c r="AI352">
        <v>0</v>
      </c>
      <c r="AJ352">
        <v>0</v>
      </c>
      <c r="AK352" t="s">
        <v>60</v>
      </c>
      <c r="AL352">
        <v>0</v>
      </c>
      <c r="AM352">
        <v>0</v>
      </c>
      <c r="AN352">
        <v>0</v>
      </c>
      <c r="AO352">
        <v>0</v>
      </c>
      <c r="AP352" t="b">
        <v>0</v>
      </c>
      <c r="AQ352" t="s">
        <v>58</v>
      </c>
      <c r="AR352" t="s">
        <v>58</v>
      </c>
      <c r="AS352" t="s">
        <v>66</v>
      </c>
      <c r="AT352">
        <v>14</v>
      </c>
      <c r="AU352">
        <v>0</v>
      </c>
      <c r="AV352">
        <v>0</v>
      </c>
      <c r="AW352">
        <v>11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1</v>
      </c>
      <c r="BD352" t="b">
        <v>0</v>
      </c>
      <c r="BE352" t="s">
        <v>61</v>
      </c>
      <c r="BF352" t="s">
        <v>57</v>
      </c>
      <c r="BG352" t="s">
        <v>55</v>
      </c>
      <c r="BH352" t="s">
        <v>58</v>
      </c>
      <c r="BI352" t="s">
        <v>58</v>
      </c>
    </row>
    <row r="353" spans="1:61" x14ac:dyDescent="0.25">
      <c r="A353" t="str" cm="1">
        <f t="array" ref="A353">_xlfn.IFS(AS353="RegularSeason",C353,AS353&lt;&gt;"RegularSeason",R353)</f>
        <v>00101101010010100000000000100001</v>
      </c>
      <c r="B353" t="str" cm="1">
        <f t="array" ref="B353">_xlfn.IFS(AS353="RegularSeason",D353,AS353&lt;&gt;"RegularSeason",K353)</f>
        <v>00100110100010100000000000000000</v>
      </c>
      <c r="C353" t="str">
        <f t="shared" si="15"/>
        <v>00101101010010100000000000011001</v>
      </c>
      <c r="D353" t="str">
        <f t="shared" si="16"/>
        <v>00100110100010100000000000100100</v>
      </c>
      <c r="E353" t="str" cm="1">
        <f t="array" ref="E353">_xlfn.XLOOKUP(_xlfn.XLOOKUP(G353,New!A:A,New!M:M,NONE),TeamIdentity!A:A,TeamIdentity!C:C,NONE)</f>
        <v>00011001</v>
      </c>
      <c r="F353" t="str" cm="1">
        <f t="array" ref="F353">_xlfn.XLOOKUP(_xlfn.XLOOKUP(G353,New!A:A,New!F:F,NONE),TeamIdentity!A:A,TeamIdentity!C:C,NONE)</f>
        <v>00100100</v>
      </c>
      <c r="G353" t="str">
        <f t="shared" si="17"/>
        <v>0-0</v>
      </c>
      <c r="H353" t="s">
        <v>54</v>
      </c>
      <c r="I353" t="s">
        <v>54</v>
      </c>
      <c r="J353" t="s">
        <v>54</v>
      </c>
      <c r="K353" t="s">
        <v>543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518</v>
      </c>
      <c r="S353">
        <v>-1</v>
      </c>
      <c r="T353">
        <v>0</v>
      </c>
      <c r="U353">
        <v>90294</v>
      </c>
      <c r="V353">
        <v>0</v>
      </c>
      <c r="W353" t="s">
        <v>70</v>
      </c>
      <c r="X353">
        <v>0</v>
      </c>
      <c r="Y353">
        <v>0</v>
      </c>
      <c r="Z353">
        <v>975</v>
      </c>
      <c r="AA353" t="s">
        <v>57</v>
      </c>
      <c r="AB353">
        <v>0</v>
      </c>
      <c r="AC353">
        <v>0</v>
      </c>
      <c r="AD353">
        <v>0</v>
      </c>
      <c r="AE353">
        <v>0</v>
      </c>
      <c r="AF353" t="s">
        <v>67</v>
      </c>
      <c r="AG353">
        <v>0</v>
      </c>
      <c r="AH353">
        <v>0</v>
      </c>
      <c r="AI353">
        <v>0</v>
      </c>
      <c r="AJ353">
        <v>0</v>
      </c>
      <c r="AK353" t="s">
        <v>60</v>
      </c>
      <c r="AL353">
        <v>0</v>
      </c>
      <c r="AM353">
        <v>0</v>
      </c>
      <c r="AN353">
        <v>0</v>
      </c>
      <c r="AO353">
        <v>0</v>
      </c>
      <c r="AP353" t="b">
        <v>0</v>
      </c>
      <c r="AQ353" t="s">
        <v>58</v>
      </c>
      <c r="AR353" t="s">
        <v>58</v>
      </c>
      <c r="AS353" t="s">
        <v>66</v>
      </c>
      <c r="AT353">
        <v>14</v>
      </c>
      <c r="AU353">
        <v>0</v>
      </c>
      <c r="AV353">
        <v>0</v>
      </c>
      <c r="AW353">
        <v>11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1</v>
      </c>
      <c r="BD353" t="b">
        <v>0</v>
      </c>
      <c r="BE353" t="s">
        <v>61</v>
      </c>
      <c r="BF353" t="s">
        <v>57</v>
      </c>
      <c r="BG353" t="s">
        <v>55</v>
      </c>
      <c r="BH353" t="s">
        <v>58</v>
      </c>
      <c r="BI353" t="s">
        <v>58</v>
      </c>
    </row>
    <row r="354" spans="1:61" x14ac:dyDescent="0.25">
      <c r="A354" t="str" cm="1">
        <f t="array" ref="A354">_xlfn.IFS(AS354="RegularSeason",C354,AS354&lt;&gt;"RegularSeason",R354)</f>
        <v>00101101010010100000000000000100</v>
      </c>
      <c r="B354" t="str" cm="1">
        <f t="array" ref="B354">_xlfn.IFS(AS354="RegularSeason",D354,AS354&lt;&gt;"RegularSeason",K354)</f>
        <v>00100110100010100000000000000000</v>
      </c>
      <c r="C354" t="str">
        <f t="shared" si="15"/>
        <v>00101101010010100000000000011001</v>
      </c>
      <c r="D354" t="str">
        <f t="shared" si="16"/>
        <v>00100110100010100000000000100100</v>
      </c>
      <c r="E354" t="str" cm="1">
        <f t="array" ref="E354">_xlfn.XLOOKUP(_xlfn.XLOOKUP(G354,New!A:A,New!M:M,NONE),TeamIdentity!A:A,TeamIdentity!C:C,NONE)</f>
        <v>00011001</v>
      </c>
      <c r="F354" t="str" cm="1">
        <f t="array" ref="F354">_xlfn.XLOOKUP(_xlfn.XLOOKUP(G354,New!A:A,New!F:F,NONE),TeamIdentity!A:A,TeamIdentity!C:C,NONE)</f>
        <v>00100100</v>
      </c>
      <c r="G354" t="str">
        <f t="shared" si="17"/>
        <v>0-0</v>
      </c>
      <c r="H354" t="s">
        <v>54</v>
      </c>
      <c r="I354" t="s">
        <v>54</v>
      </c>
      <c r="J354" t="s">
        <v>54</v>
      </c>
      <c r="K354" t="s">
        <v>543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539</v>
      </c>
      <c r="S354">
        <v>-1</v>
      </c>
      <c r="T354">
        <v>0</v>
      </c>
      <c r="U354">
        <v>90269</v>
      </c>
      <c r="V354">
        <v>0</v>
      </c>
      <c r="W354" t="s">
        <v>70</v>
      </c>
      <c r="X354">
        <v>0</v>
      </c>
      <c r="Y354">
        <v>0</v>
      </c>
      <c r="Z354">
        <v>975</v>
      </c>
      <c r="AA354" t="s">
        <v>57</v>
      </c>
      <c r="AB354">
        <v>0</v>
      </c>
      <c r="AC354">
        <v>0</v>
      </c>
      <c r="AD354">
        <v>0</v>
      </c>
      <c r="AE354">
        <v>0</v>
      </c>
      <c r="AF354" t="s">
        <v>67</v>
      </c>
      <c r="AG354">
        <v>0</v>
      </c>
      <c r="AH354">
        <v>0</v>
      </c>
      <c r="AI354">
        <v>0</v>
      </c>
      <c r="AJ354">
        <v>0</v>
      </c>
      <c r="AK354" t="s">
        <v>60</v>
      </c>
      <c r="AL354">
        <v>0</v>
      </c>
      <c r="AM354">
        <v>0</v>
      </c>
      <c r="AN354">
        <v>0</v>
      </c>
      <c r="AO354">
        <v>0</v>
      </c>
      <c r="AP354" t="b">
        <v>0</v>
      </c>
      <c r="AQ354" t="s">
        <v>58</v>
      </c>
      <c r="AR354" t="s">
        <v>58</v>
      </c>
      <c r="AS354" t="s">
        <v>66</v>
      </c>
      <c r="AT354">
        <v>14</v>
      </c>
      <c r="AU354">
        <v>0</v>
      </c>
      <c r="AV354">
        <v>0</v>
      </c>
      <c r="AW354">
        <v>11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1</v>
      </c>
      <c r="BD354" t="b">
        <v>0</v>
      </c>
      <c r="BE354" t="s">
        <v>61</v>
      </c>
      <c r="BF354" t="s">
        <v>57</v>
      </c>
      <c r="BG354" t="s">
        <v>55</v>
      </c>
      <c r="BH354" t="s">
        <v>58</v>
      </c>
      <c r="BI354" t="s">
        <v>58</v>
      </c>
    </row>
    <row r="355" spans="1:61" x14ac:dyDescent="0.25">
      <c r="A355" t="str" cm="1">
        <f t="array" ref="A355">_xlfn.IFS(AS355="RegularSeason",C355,AS355&lt;&gt;"RegularSeason",R355)</f>
        <v>00101101010010100000000000011111</v>
      </c>
      <c r="B355" t="str" cm="1">
        <f t="array" ref="B355">_xlfn.IFS(AS355="RegularSeason",D355,AS355&lt;&gt;"RegularSeason",K355)</f>
        <v>00100110100010100000000000000000</v>
      </c>
      <c r="C355" t="str">
        <f t="shared" si="15"/>
        <v>00101101010010100000000000011001</v>
      </c>
      <c r="D355" t="str">
        <f t="shared" si="16"/>
        <v>00100110100010100000000000100100</v>
      </c>
      <c r="E355" t="str" cm="1">
        <f t="array" ref="E355">_xlfn.XLOOKUP(_xlfn.XLOOKUP(G355,New!A:A,New!M:M,NONE),TeamIdentity!A:A,TeamIdentity!C:C,NONE)</f>
        <v>00011001</v>
      </c>
      <c r="F355" t="str" cm="1">
        <f t="array" ref="F355">_xlfn.XLOOKUP(_xlfn.XLOOKUP(G355,New!A:A,New!F:F,NONE),TeamIdentity!A:A,TeamIdentity!C:C,NONE)</f>
        <v>00100100</v>
      </c>
      <c r="G355" t="str">
        <f t="shared" si="17"/>
        <v>0-0</v>
      </c>
      <c r="H355" t="s">
        <v>54</v>
      </c>
      <c r="I355" t="s">
        <v>54</v>
      </c>
      <c r="J355" t="s">
        <v>54</v>
      </c>
      <c r="K355" t="s">
        <v>543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537</v>
      </c>
      <c r="S355">
        <v>-1</v>
      </c>
      <c r="T355">
        <v>0</v>
      </c>
      <c r="U355">
        <v>90292</v>
      </c>
      <c r="V355">
        <v>0</v>
      </c>
      <c r="W355" t="s">
        <v>70</v>
      </c>
      <c r="X355">
        <v>0</v>
      </c>
      <c r="Y355">
        <v>0</v>
      </c>
      <c r="Z355">
        <v>975</v>
      </c>
      <c r="AA355" t="s">
        <v>57</v>
      </c>
      <c r="AB355">
        <v>0</v>
      </c>
      <c r="AC355">
        <v>0</v>
      </c>
      <c r="AD355">
        <v>0</v>
      </c>
      <c r="AE355">
        <v>0</v>
      </c>
      <c r="AF355" t="s">
        <v>67</v>
      </c>
      <c r="AG355">
        <v>0</v>
      </c>
      <c r="AH355">
        <v>0</v>
      </c>
      <c r="AI355">
        <v>0</v>
      </c>
      <c r="AJ355">
        <v>0</v>
      </c>
      <c r="AK355" t="s">
        <v>60</v>
      </c>
      <c r="AL355">
        <v>0</v>
      </c>
      <c r="AM355">
        <v>0</v>
      </c>
      <c r="AN355">
        <v>0</v>
      </c>
      <c r="AO355">
        <v>0</v>
      </c>
      <c r="AP355" t="b">
        <v>0</v>
      </c>
      <c r="AQ355" t="s">
        <v>58</v>
      </c>
      <c r="AR355" t="s">
        <v>58</v>
      </c>
      <c r="AS355" t="s">
        <v>66</v>
      </c>
      <c r="AT355">
        <v>14</v>
      </c>
      <c r="AU355">
        <v>0</v>
      </c>
      <c r="AV355">
        <v>0</v>
      </c>
      <c r="AW355">
        <v>11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1</v>
      </c>
      <c r="BD355" t="b">
        <v>0</v>
      </c>
      <c r="BE355" t="s">
        <v>61</v>
      </c>
      <c r="BF355" t="s">
        <v>57</v>
      </c>
      <c r="BG355" t="s">
        <v>55</v>
      </c>
      <c r="BH355" t="s">
        <v>58</v>
      </c>
      <c r="BI355" t="s">
        <v>58</v>
      </c>
    </row>
    <row r="356" spans="1:61" x14ac:dyDescent="0.25">
      <c r="A356" t="str" cm="1">
        <f t="array" ref="A356">_xlfn.IFS(AS356="RegularSeason",C356,AS356&lt;&gt;"RegularSeason",R356)</f>
        <v>00101101010010100000000000011110</v>
      </c>
      <c r="B356" t="str" cm="1">
        <f t="array" ref="B356">_xlfn.IFS(AS356="RegularSeason",D356,AS356&lt;&gt;"RegularSeason",K356)</f>
        <v>00100110100010100000000000000000</v>
      </c>
      <c r="C356" t="str">
        <f t="shared" si="15"/>
        <v>00101101010010100000000000011001</v>
      </c>
      <c r="D356" t="str">
        <f t="shared" si="16"/>
        <v>00100110100010100000000000100100</v>
      </c>
      <c r="E356" t="str" cm="1">
        <f t="array" ref="E356">_xlfn.XLOOKUP(_xlfn.XLOOKUP(G356,New!A:A,New!M:M,NONE),TeamIdentity!A:A,TeamIdentity!C:C,NONE)</f>
        <v>00011001</v>
      </c>
      <c r="F356" t="str" cm="1">
        <f t="array" ref="F356">_xlfn.XLOOKUP(_xlfn.XLOOKUP(G356,New!A:A,New!F:F,NONE),TeamIdentity!A:A,TeamIdentity!C:C,NONE)</f>
        <v>00100100</v>
      </c>
      <c r="G356" t="str">
        <f t="shared" si="17"/>
        <v>0-0</v>
      </c>
      <c r="H356" t="s">
        <v>54</v>
      </c>
      <c r="I356" t="s">
        <v>54</v>
      </c>
      <c r="J356" t="s">
        <v>54</v>
      </c>
      <c r="K356" t="s">
        <v>543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520</v>
      </c>
      <c r="S356">
        <v>-1</v>
      </c>
      <c r="T356">
        <v>0</v>
      </c>
      <c r="U356">
        <v>90290</v>
      </c>
      <c r="V356">
        <v>0</v>
      </c>
      <c r="W356" t="s">
        <v>70</v>
      </c>
      <c r="X356">
        <v>0</v>
      </c>
      <c r="Y356">
        <v>0</v>
      </c>
      <c r="Z356">
        <v>975</v>
      </c>
      <c r="AA356" t="s">
        <v>57</v>
      </c>
      <c r="AB356">
        <v>0</v>
      </c>
      <c r="AC356">
        <v>0</v>
      </c>
      <c r="AD356">
        <v>0</v>
      </c>
      <c r="AE356">
        <v>0</v>
      </c>
      <c r="AF356" t="s">
        <v>67</v>
      </c>
      <c r="AG356">
        <v>0</v>
      </c>
      <c r="AH356">
        <v>0</v>
      </c>
      <c r="AI356">
        <v>0</v>
      </c>
      <c r="AJ356">
        <v>0</v>
      </c>
      <c r="AK356" t="s">
        <v>60</v>
      </c>
      <c r="AL356">
        <v>0</v>
      </c>
      <c r="AM356">
        <v>0</v>
      </c>
      <c r="AN356">
        <v>0</v>
      </c>
      <c r="AO356">
        <v>0</v>
      </c>
      <c r="AP356" t="b">
        <v>0</v>
      </c>
      <c r="AQ356" t="s">
        <v>58</v>
      </c>
      <c r="AR356" t="s">
        <v>58</v>
      </c>
      <c r="AS356" t="s">
        <v>66</v>
      </c>
      <c r="AT356">
        <v>14</v>
      </c>
      <c r="AU356">
        <v>0</v>
      </c>
      <c r="AV356">
        <v>0</v>
      </c>
      <c r="AW356">
        <v>11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1</v>
      </c>
      <c r="BD356" t="b">
        <v>0</v>
      </c>
      <c r="BE356" t="s">
        <v>61</v>
      </c>
      <c r="BF356" t="s">
        <v>57</v>
      </c>
      <c r="BG356" t="s">
        <v>55</v>
      </c>
      <c r="BH356" t="s">
        <v>58</v>
      </c>
      <c r="BI356" t="s">
        <v>58</v>
      </c>
    </row>
    <row r="357" spans="1:61" x14ac:dyDescent="0.25">
      <c r="A357" t="str" cm="1">
        <f t="array" ref="A357">_xlfn.IFS(AS357="RegularSeason",C357,AS357&lt;&gt;"RegularSeason",R357)</f>
        <v>00101101010010100000000000010111</v>
      </c>
      <c r="B357" t="str" cm="1">
        <f t="array" ref="B357">_xlfn.IFS(AS357="RegularSeason",D357,AS357&lt;&gt;"RegularSeason",K357)</f>
        <v>00100110100010100000000000000000</v>
      </c>
      <c r="C357" t="str">
        <f t="shared" si="15"/>
        <v>00101101010010100000000000011001</v>
      </c>
      <c r="D357" t="str">
        <f t="shared" si="16"/>
        <v>00100110100010100000000000100100</v>
      </c>
      <c r="E357" t="str" cm="1">
        <f t="array" ref="E357">_xlfn.XLOOKUP(_xlfn.XLOOKUP(G357,New!A:A,New!M:M,NONE),TeamIdentity!A:A,TeamIdentity!C:C,NONE)</f>
        <v>00011001</v>
      </c>
      <c r="F357" t="str" cm="1">
        <f t="array" ref="F357">_xlfn.XLOOKUP(_xlfn.XLOOKUP(G357,New!A:A,New!F:F,NONE),TeamIdentity!A:A,TeamIdentity!C:C,NONE)</f>
        <v>00100100</v>
      </c>
      <c r="G357" t="str">
        <f t="shared" si="17"/>
        <v>0-0</v>
      </c>
      <c r="H357" t="s">
        <v>54</v>
      </c>
      <c r="I357" t="s">
        <v>54</v>
      </c>
      <c r="J357" t="s">
        <v>54</v>
      </c>
      <c r="K357" t="s">
        <v>543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513</v>
      </c>
      <c r="S357">
        <v>-1</v>
      </c>
      <c r="T357">
        <v>0</v>
      </c>
      <c r="U357">
        <v>90284</v>
      </c>
      <c r="V357">
        <v>0</v>
      </c>
      <c r="W357" t="s">
        <v>70</v>
      </c>
      <c r="X357">
        <v>0</v>
      </c>
      <c r="Y357">
        <v>0</v>
      </c>
      <c r="Z357">
        <v>975</v>
      </c>
      <c r="AA357" t="s">
        <v>57</v>
      </c>
      <c r="AB357">
        <v>0</v>
      </c>
      <c r="AC357">
        <v>0</v>
      </c>
      <c r="AD357">
        <v>0</v>
      </c>
      <c r="AE357">
        <v>0</v>
      </c>
      <c r="AF357" t="s">
        <v>67</v>
      </c>
      <c r="AG357">
        <v>0</v>
      </c>
      <c r="AH357">
        <v>0</v>
      </c>
      <c r="AI357">
        <v>0</v>
      </c>
      <c r="AJ357">
        <v>0</v>
      </c>
      <c r="AK357" t="s">
        <v>60</v>
      </c>
      <c r="AL357">
        <v>0</v>
      </c>
      <c r="AM357">
        <v>0</v>
      </c>
      <c r="AN357">
        <v>0</v>
      </c>
      <c r="AO357">
        <v>0</v>
      </c>
      <c r="AP357" t="b">
        <v>0</v>
      </c>
      <c r="AQ357" t="s">
        <v>58</v>
      </c>
      <c r="AR357" t="s">
        <v>58</v>
      </c>
      <c r="AS357" t="s">
        <v>66</v>
      </c>
      <c r="AT357">
        <v>14</v>
      </c>
      <c r="AU357">
        <v>0</v>
      </c>
      <c r="AV357">
        <v>0</v>
      </c>
      <c r="AW357">
        <v>11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1</v>
      </c>
      <c r="BD357" t="b">
        <v>0</v>
      </c>
      <c r="BE357" t="s">
        <v>61</v>
      </c>
      <c r="BF357" t="s">
        <v>57</v>
      </c>
      <c r="BG357" t="s">
        <v>55</v>
      </c>
      <c r="BH357" t="s">
        <v>58</v>
      </c>
      <c r="BI357" t="s">
        <v>58</v>
      </c>
    </row>
    <row r="358" spans="1:61" x14ac:dyDescent="0.25">
      <c r="A358" t="str" cm="1">
        <f t="array" ref="A358">_xlfn.IFS(AS358="RegularSeason",C358,AS358&lt;&gt;"RegularSeason",R358)</f>
        <v>00101101010010100000000000010000</v>
      </c>
      <c r="B358" t="str" cm="1">
        <f t="array" ref="B358">_xlfn.IFS(AS358="RegularSeason",D358,AS358&lt;&gt;"RegularSeason",K358)</f>
        <v>00100110100010100000000000000000</v>
      </c>
      <c r="C358" t="str">
        <f t="shared" si="15"/>
        <v>00101101010010100000000000011001</v>
      </c>
      <c r="D358" t="str">
        <f t="shared" si="16"/>
        <v>00100110100010100000000000100100</v>
      </c>
      <c r="E358" t="str" cm="1">
        <f t="array" ref="E358">_xlfn.XLOOKUP(_xlfn.XLOOKUP(G358,New!A:A,New!M:M,NONE),TeamIdentity!A:A,TeamIdentity!C:C,NONE)</f>
        <v>00011001</v>
      </c>
      <c r="F358" t="str" cm="1">
        <f t="array" ref="F358">_xlfn.XLOOKUP(_xlfn.XLOOKUP(G358,New!A:A,New!F:F,NONE),TeamIdentity!A:A,TeamIdentity!C:C,NONE)</f>
        <v>00100100</v>
      </c>
      <c r="G358" t="str">
        <f t="shared" si="17"/>
        <v>0-0</v>
      </c>
      <c r="H358" t="s">
        <v>54</v>
      </c>
      <c r="I358" t="s">
        <v>54</v>
      </c>
      <c r="J358" t="s">
        <v>54</v>
      </c>
      <c r="K358" t="s">
        <v>543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519</v>
      </c>
      <c r="S358">
        <v>-1</v>
      </c>
      <c r="T358">
        <v>0</v>
      </c>
      <c r="U358">
        <v>90278</v>
      </c>
      <c r="V358">
        <v>0</v>
      </c>
      <c r="W358" t="s">
        <v>70</v>
      </c>
      <c r="X358">
        <v>0</v>
      </c>
      <c r="Y358">
        <v>0</v>
      </c>
      <c r="Z358">
        <v>975</v>
      </c>
      <c r="AA358" t="s">
        <v>57</v>
      </c>
      <c r="AB358">
        <v>0</v>
      </c>
      <c r="AC358">
        <v>0</v>
      </c>
      <c r="AD358">
        <v>0</v>
      </c>
      <c r="AE358">
        <v>0</v>
      </c>
      <c r="AF358" t="s">
        <v>67</v>
      </c>
      <c r="AG358">
        <v>0</v>
      </c>
      <c r="AH358">
        <v>0</v>
      </c>
      <c r="AI358">
        <v>0</v>
      </c>
      <c r="AJ358">
        <v>0</v>
      </c>
      <c r="AK358" t="s">
        <v>60</v>
      </c>
      <c r="AL358">
        <v>0</v>
      </c>
      <c r="AM358">
        <v>0</v>
      </c>
      <c r="AN358">
        <v>0</v>
      </c>
      <c r="AO358">
        <v>0</v>
      </c>
      <c r="AP358" t="b">
        <v>0</v>
      </c>
      <c r="AQ358" t="s">
        <v>58</v>
      </c>
      <c r="AR358" t="s">
        <v>58</v>
      </c>
      <c r="AS358" t="s">
        <v>66</v>
      </c>
      <c r="AT358">
        <v>14</v>
      </c>
      <c r="AU358">
        <v>0</v>
      </c>
      <c r="AV358">
        <v>0</v>
      </c>
      <c r="AW358">
        <v>11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1</v>
      </c>
      <c r="BD358" t="b">
        <v>0</v>
      </c>
      <c r="BE358" t="s">
        <v>61</v>
      </c>
      <c r="BF358" t="s">
        <v>57</v>
      </c>
      <c r="BG358" t="s">
        <v>55</v>
      </c>
      <c r="BH358" t="s">
        <v>58</v>
      </c>
      <c r="BI358" t="s">
        <v>58</v>
      </c>
    </row>
    <row r="359" spans="1:61" x14ac:dyDescent="0.25">
      <c r="A359" t="str" cm="1">
        <f t="array" ref="A359">_xlfn.IFS(AS359="RegularSeason",C359,AS359&lt;&gt;"RegularSeason",R359)</f>
        <v>00101101010010100000000000011100</v>
      </c>
      <c r="B359" t="str" cm="1">
        <f t="array" ref="B359">_xlfn.IFS(AS359="RegularSeason",D359,AS359&lt;&gt;"RegularSeason",K359)</f>
        <v>00100110100010100000000000000000</v>
      </c>
      <c r="C359" t="str">
        <f t="shared" si="15"/>
        <v>00101101010010100000000000011001</v>
      </c>
      <c r="D359" t="str">
        <f t="shared" si="16"/>
        <v>00100110100010100000000000100100</v>
      </c>
      <c r="E359" t="str" cm="1">
        <f t="array" ref="E359">_xlfn.XLOOKUP(_xlfn.XLOOKUP(G359,New!A:A,New!M:M,NONE),TeamIdentity!A:A,TeamIdentity!C:C,NONE)</f>
        <v>00011001</v>
      </c>
      <c r="F359" t="str" cm="1">
        <f t="array" ref="F359">_xlfn.XLOOKUP(_xlfn.XLOOKUP(G359,New!A:A,New!F:F,NONE),TeamIdentity!A:A,TeamIdentity!C:C,NONE)</f>
        <v>00100100</v>
      </c>
      <c r="G359" t="str">
        <f t="shared" si="17"/>
        <v>0-0</v>
      </c>
      <c r="H359" t="s">
        <v>54</v>
      </c>
      <c r="I359" t="s">
        <v>54</v>
      </c>
      <c r="J359" t="s">
        <v>54</v>
      </c>
      <c r="K359" t="s">
        <v>543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525</v>
      </c>
      <c r="S359">
        <v>-1</v>
      </c>
      <c r="T359">
        <v>0</v>
      </c>
      <c r="U359">
        <v>90288</v>
      </c>
      <c r="V359">
        <v>0</v>
      </c>
      <c r="W359" t="s">
        <v>70</v>
      </c>
      <c r="X359">
        <v>0</v>
      </c>
      <c r="Y359">
        <v>0</v>
      </c>
      <c r="Z359">
        <v>975</v>
      </c>
      <c r="AA359" t="s">
        <v>57</v>
      </c>
      <c r="AB359">
        <v>0</v>
      </c>
      <c r="AC359">
        <v>0</v>
      </c>
      <c r="AD359">
        <v>0</v>
      </c>
      <c r="AE359">
        <v>0</v>
      </c>
      <c r="AF359" t="s">
        <v>67</v>
      </c>
      <c r="AG359">
        <v>0</v>
      </c>
      <c r="AH359">
        <v>0</v>
      </c>
      <c r="AI359">
        <v>0</v>
      </c>
      <c r="AJ359">
        <v>0</v>
      </c>
      <c r="AK359" t="s">
        <v>60</v>
      </c>
      <c r="AL359">
        <v>0</v>
      </c>
      <c r="AM359">
        <v>0</v>
      </c>
      <c r="AN359">
        <v>0</v>
      </c>
      <c r="AO359">
        <v>0</v>
      </c>
      <c r="AP359" t="b">
        <v>0</v>
      </c>
      <c r="AQ359" t="s">
        <v>58</v>
      </c>
      <c r="AR359" t="s">
        <v>58</v>
      </c>
      <c r="AS359" t="s">
        <v>66</v>
      </c>
      <c r="AT359">
        <v>14</v>
      </c>
      <c r="AU359">
        <v>0</v>
      </c>
      <c r="AV359">
        <v>0</v>
      </c>
      <c r="AW359">
        <v>11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s">
        <v>61</v>
      </c>
      <c r="BF359" t="s">
        <v>57</v>
      </c>
      <c r="BG359" t="s">
        <v>55</v>
      </c>
      <c r="BH359" t="s">
        <v>58</v>
      </c>
      <c r="BI359" t="s">
        <v>58</v>
      </c>
    </row>
    <row r="360" spans="1:61" x14ac:dyDescent="0.25">
      <c r="A360" t="str" cm="1">
        <f t="array" ref="A360">_xlfn.IFS(AS360="RegularSeason",C360,AS360&lt;&gt;"RegularSeason",R360)</f>
        <v>00101101010010100000000000000111</v>
      </c>
      <c r="B360" t="str" cm="1">
        <f t="array" ref="B360">_xlfn.IFS(AS360="RegularSeason",D360,AS360&lt;&gt;"RegularSeason",K360)</f>
        <v>00100110100010100000000000000000</v>
      </c>
      <c r="C360" t="str">
        <f t="shared" si="15"/>
        <v>00101101010010100000000000011001</v>
      </c>
      <c r="D360" t="str">
        <f t="shared" si="16"/>
        <v>00100110100010100000000000100100</v>
      </c>
      <c r="E360" t="str" cm="1">
        <f t="array" ref="E360">_xlfn.XLOOKUP(_xlfn.XLOOKUP(G360,New!A:A,New!M:M,NONE),TeamIdentity!A:A,TeamIdentity!C:C,NONE)</f>
        <v>00011001</v>
      </c>
      <c r="F360" t="str" cm="1">
        <f t="array" ref="F360">_xlfn.XLOOKUP(_xlfn.XLOOKUP(G360,New!A:A,New!F:F,NONE),TeamIdentity!A:A,TeamIdentity!C:C,NONE)</f>
        <v>00100100</v>
      </c>
      <c r="G360" t="str">
        <f t="shared" si="17"/>
        <v>0-0</v>
      </c>
      <c r="H360" t="s">
        <v>54</v>
      </c>
      <c r="I360" t="s">
        <v>54</v>
      </c>
      <c r="J360" t="s">
        <v>54</v>
      </c>
      <c r="K360" t="s">
        <v>543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538</v>
      </c>
      <c r="S360">
        <v>-1</v>
      </c>
      <c r="T360">
        <v>0</v>
      </c>
      <c r="U360">
        <v>90272</v>
      </c>
      <c r="V360">
        <v>0</v>
      </c>
      <c r="W360" t="s">
        <v>70</v>
      </c>
      <c r="X360">
        <v>0</v>
      </c>
      <c r="Y360">
        <v>0</v>
      </c>
      <c r="Z360">
        <v>975</v>
      </c>
      <c r="AA360" t="s">
        <v>57</v>
      </c>
      <c r="AB360">
        <v>0</v>
      </c>
      <c r="AC360">
        <v>0</v>
      </c>
      <c r="AD360">
        <v>0</v>
      </c>
      <c r="AE360">
        <v>0</v>
      </c>
      <c r="AF360" t="s">
        <v>67</v>
      </c>
      <c r="AG360">
        <v>0</v>
      </c>
      <c r="AH360">
        <v>0</v>
      </c>
      <c r="AI360">
        <v>0</v>
      </c>
      <c r="AJ360">
        <v>0</v>
      </c>
      <c r="AK360" t="s">
        <v>60</v>
      </c>
      <c r="AL360">
        <v>0</v>
      </c>
      <c r="AM360">
        <v>0</v>
      </c>
      <c r="AN360">
        <v>0</v>
      </c>
      <c r="AO360">
        <v>0</v>
      </c>
      <c r="AP360" t="b">
        <v>0</v>
      </c>
      <c r="AQ360" t="s">
        <v>58</v>
      </c>
      <c r="AR360" t="s">
        <v>58</v>
      </c>
      <c r="AS360" t="s">
        <v>66</v>
      </c>
      <c r="AT360">
        <v>14</v>
      </c>
      <c r="AU360">
        <v>0</v>
      </c>
      <c r="AV360">
        <v>0</v>
      </c>
      <c r="AW360">
        <v>11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b">
        <v>0</v>
      </c>
      <c r="BE360" t="s">
        <v>61</v>
      </c>
      <c r="BF360" t="s">
        <v>57</v>
      </c>
      <c r="BG360" t="s">
        <v>55</v>
      </c>
      <c r="BH360" t="s">
        <v>58</v>
      </c>
      <c r="BI360" t="s">
        <v>58</v>
      </c>
    </row>
    <row r="361" spans="1:61" x14ac:dyDescent="0.25">
      <c r="A361" t="str" cm="1">
        <f t="array" ref="A361">_xlfn.IFS(AS361="RegularSeason",C361,AS361&lt;&gt;"RegularSeason",R361)</f>
        <v>00101101010010100000000000000000</v>
      </c>
      <c r="B361" t="str" cm="1">
        <f t="array" ref="B361">_xlfn.IFS(AS361="RegularSeason",D361,AS361&lt;&gt;"RegularSeason",K361)</f>
        <v>00100110100010100000000000000000</v>
      </c>
      <c r="C361" t="str">
        <f t="shared" si="15"/>
        <v>00101101010010100000000000011001</v>
      </c>
      <c r="D361" t="str">
        <f t="shared" si="16"/>
        <v>00100110100010100000000000100100</v>
      </c>
      <c r="E361" t="str" cm="1">
        <f t="array" ref="E361">_xlfn.XLOOKUP(_xlfn.XLOOKUP(G361,New!A:A,New!M:M,NONE),TeamIdentity!A:A,TeamIdentity!C:C,NONE)</f>
        <v>00011001</v>
      </c>
      <c r="F361" t="str" cm="1">
        <f t="array" ref="F361">_xlfn.XLOOKUP(_xlfn.XLOOKUP(G361,New!A:A,New!F:F,NONE),TeamIdentity!A:A,TeamIdentity!C:C,NONE)</f>
        <v>00100100</v>
      </c>
      <c r="G361" t="str">
        <f t="shared" si="17"/>
        <v>0-0</v>
      </c>
      <c r="H361" t="s">
        <v>54</v>
      </c>
      <c r="I361" t="s">
        <v>54</v>
      </c>
      <c r="J361" t="s">
        <v>54</v>
      </c>
      <c r="K361" t="s">
        <v>543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533</v>
      </c>
      <c r="S361">
        <v>-1</v>
      </c>
      <c r="T361">
        <v>0</v>
      </c>
      <c r="U361">
        <v>90280</v>
      </c>
      <c r="V361">
        <v>0</v>
      </c>
      <c r="W361" t="s">
        <v>70</v>
      </c>
      <c r="X361">
        <v>0</v>
      </c>
      <c r="Y361">
        <v>0</v>
      </c>
      <c r="Z361">
        <v>975</v>
      </c>
      <c r="AA361" t="s">
        <v>57</v>
      </c>
      <c r="AB361">
        <v>0</v>
      </c>
      <c r="AC361">
        <v>0</v>
      </c>
      <c r="AD361">
        <v>0</v>
      </c>
      <c r="AE361">
        <v>0</v>
      </c>
      <c r="AF361" t="s">
        <v>67</v>
      </c>
      <c r="AG361">
        <v>0</v>
      </c>
      <c r="AH361">
        <v>0</v>
      </c>
      <c r="AI361">
        <v>0</v>
      </c>
      <c r="AJ361">
        <v>0</v>
      </c>
      <c r="AK361" t="s">
        <v>60</v>
      </c>
      <c r="AL361">
        <v>0</v>
      </c>
      <c r="AM361">
        <v>0</v>
      </c>
      <c r="AN361">
        <v>0</v>
      </c>
      <c r="AO361">
        <v>0</v>
      </c>
      <c r="AP361" t="b">
        <v>0</v>
      </c>
      <c r="AQ361" t="s">
        <v>58</v>
      </c>
      <c r="AR361" t="s">
        <v>58</v>
      </c>
      <c r="AS361" t="s">
        <v>66</v>
      </c>
      <c r="AT361">
        <v>14</v>
      </c>
      <c r="AU361">
        <v>0</v>
      </c>
      <c r="AV361">
        <v>0</v>
      </c>
      <c r="AW361">
        <v>11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1</v>
      </c>
      <c r="BD361" t="b">
        <v>0</v>
      </c>
      <c r="BE361" t="s">
        <v>61</v>
      </c>
      <c r="BF361" t="s">
        <v>57</v>
      </c>
      <c r="BG361" t="s">
        <v>55</v>
      </c>
      <c r="BH361" t="s">
        <v>58</v>
      </c>
      <c r="BI361" t="s">
        <v>58</v>
      </c>
    </row>
    <row r="362" spans="1:61" x14ac:dyDescent="0.25">
      <c r="A362" t="str" cm="1">
        <f t="array" ref="A362">_xlfn.IFS(AS362="RegularSeason",C362,AS362&lt;&gt;"RegularSeason",R362)</f>
        <v>00101101010010100000000000100010</v>
      </c>
      <c r="B362" t="str" cm="1">
        <f t="array" ref="B362">_xlfn.IFS(AS362="RegularSeason",D362,AS362&lt;&gt;"RegularSeason",K362)</f>
        <v>00100110100010100000000000000000</v>
      </c>
      <c r="C362" t="str">
        <f t="shared" si="15"/>
        <v>00101101010010100000000000011001</v>
      </c>
      <c r="D362" t="str">
        <f t="shared" si="16"/>
        <v>00100110100010100000000000100100</v>
      </c>
      <c r="E362" t="str" cm="1">
        <f t="array" ref="E362">_xlfn.XLOOKUP(_xlfn.XLOOKUP(G362,New!A:A,New!M:M,NONE),TeamIdentity!A:A,TeamIdentity!C:C,NONE)</f>
        <v>00011001</v>
      </c>
      <c r="F362" t="str" cm="1">
        <f t="array" ref="F362">_xlfn.XLOOKUP(_xlfn.XLOOKUP(G362,New!A:A,New!F:F,NONE),TeamIdentity!A:A,TeamIdentity!C:C,NONE)</f>
        <v>00100100</v>
      </c>
      <c r="G362" t="str">
        <f t="shared" si="17"/>
        <v>0-0</v>
      </c>
      <c r="H362" t="s">
        <v>54</v>
      </c>
      <c r="I362" t="s">
        <v>54</v>
      </c>
      <c r="J362" t="s">
        <v>54</v>
      </c>
      <c r="K362" t="s">
        <v>543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517</v>
      </c>
      <c r="S362">
        <v>-1</v>
      </c>
      <c r="T362">
        <v>0</v>
      </c>
      <c r="U362">
        <v>90297</v>
      </c>
      <c r="V362">
        <v>0</v>
      </c>
      <c r="W362" t="s">
        <v>70</v>
      </c>
      <c r="X362">
        <v>0</v>
      </c>
      <c r="Y362">
        <v>0</v>
      </c>
      <c r="Z362">
        <v>975</v>
      </c>
      <c r="AA362" t="s">
        <v>57</v>
      </c>
      <c r="AB362">
        <v>0</v>
      </c>
      <c r="AC362">
        <v>0</v>
      </c>
      <c r="AD362">
        <v>0</v>
      </c>
      <c r="AE362">
        <v>0</v>
      </c>
      <c r="AF362" t="s">
        <v>67</v>
      </c>
      <c r="AG362">
        <v>0</v>
      </c>
      <c r="AH362">
        <v>0</v>
      </c>
      <c r="AI362">
        <v>0</v>
      </c>
      <c r="AJ362">
        <v>0</v>
      </c>
      <c r="AK362" t="s">
        <v>60</v>
      </c>
      <c r="AL362">
        <v>0</v>
      </c>
      <c r="AM362">
        <v>0</v>
      </c>
      <c r="AN362">
        <v>0</v>
      </c>
      <c r="AO362">
        <v>0</v>
      </c>
      <c r="AP362" t="b">
        <v>0</v>
      </c>
      <c r="AQ362" t="s">
        <v>58</v>
      </c>
      <c r="AR362" t="s">
        <v>58</v>
      </c>
      <c r="AS362" t="s">
        <v>66</v>
      </c>
      <c r="AT362">
        <v>14</v>
      </c>
      <c r="AU362">
        <v>0</v>
      </c>
      <c r="AV362">
        <v>0</v>
      </c>
      <c r="AW362">
        <v>11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1</v>
      </c>
      <c r="BD362" t="b">
        <v>0</v>
      </c>
      <c r="BE362" t="s">
        <v>61</v>
      </c>
      <c r="BF362" t="s">
        <v>57</v>
      </c>
      <c r="BG362" t="s">
        <v>55</v>
      </c>
      <c r="BH362" t="s">
        <v>58</v>
      </c>
      <c r="BI362" t="s">
        <v>58</v>
      </c>
    </row>
    <row r="363" spans="1:61" x14ac:dyDescent="0.25">
      <c r="A363" t="str" cm="1">
        <f t="array" ref="A363">_xlfn.IFS(AS363="RegularSeason",C363,AS363&lt;&gt;"RegularSeason",R363)</f>
        <v>00101101010010100000000000011001</v>
      </c>
      <c r="B363" t="str" cm="1">
        <f t="array" ref="B363">_xlfn.IFS(AS363="RegularSeason",D363,AS363&lt;&gt;"RegularSeason",K363)</f>
        <v>00100110100010100000000000000000</v>
      </c>
      <c r="C363" t="str">
        <f t="shared" si="15"/>
        <v>00101101010010100000000000011001</v>
      </c>
      <c r="D363" t="str">
        <f t="shared" si="16"/>
        <v>00100110100010100000000000100100</v>
      </c>
      <c r="E363" t="str" cm="1">
        <f t="array" ref="E363">_xlfn.XLOOKUP(_xlfn.XLOOKUP(G363,New!A:A,New!M:M,NONE),TeamIdentity!A:A,TeamIdentity!C:C,NONE)</f>
        <v>00011001</v>
      </c>
      <c r="F363" t="str" cm="1">
        <f t="array" ref="F363">_xlfn.XLOOKUP(_xlfn.XLOOKUP(G363,New!A:A,New!F:F,NONE),TeamIdentity!A:A,TeamIdentity!C:C,NONE)</f>
        <v>00100100</v>
      </c>
      <c r="G363" t="str">
        <f t="shared" si="17"/>
        <v>0-0</v>
      </c>
      <c r="H363" t="s">
        <v>54</v>
      </c>
      <c r="I363" t="s">
        <v>54</v>
      </c>
      <c r="J363" t="s">
        <v>54</v>
      </c>
      <c r="K363" t="s">
        <v>543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529</v>
      </c>
      <c r="S363">
        <v>-1</v>
      </c>
      <c r="T363">
        <v>0</v>
      </c>
      <c r="U363">
        <v>90285</v>
      </c>
      <c r="V363">
        <v>0</v>
      </c>
      <c r="W363" t="s">
        <v>70</v>
      </c>
      <c r="X363">
        <v>0</v>
      </c>
      <c r="Y363">
        <v>0</v>
      </c>
      <c r="Z363">
        <v>975</v>
      </c>
      <c r="AA363" t="s">
        <v>57</v>
      </c>
      <c r="AB363">
        <v>0</v>
      </c>
      <c r="AC363">
        <v>0</v>
      </c>
      <c r="AD363">
        <v>0</v>
      </c>
      <c r="AE363">
        <v>0</v>
      </c>
      <c r="AF363" t="s">
        <v>67</v>
      </c>
      <c r="AG363">
        <v>0</v>
      </c>
      <c r="AH363">
        <v>0</v>
      </c>
      <c r="AI363">
        <v>0</v>
      </c>
      <c r="AJ363">
        <v>0</v>
      </c>
      <c r="AK363" t="s">
        <v>60</v>
      </c>
      <c r="AL363">
        <v>0</v>
      </c>
      <c r="AM363">
        <v>0</v>
      </c>
      <c r="AN363">
        <v>0</v>
      </c>
      <c r="AO363">
        <v>0</v>
      </c>
      <c r="AP363" t="b">
        <v>0</v>
      </c>
      <c r="AQ363" t="s">
        <v>58</v>
      </c>
      <c r="AR363" t="s">
        <v>58</v>
      </c>
      <c r="AS363" t="s">
        <v>66</v>
      </c>
      <c r="AT363">
        <v>14</v>
      </c>
      <c r="AU363">
        <v>0</v>
      </c>
      <c r="AV363">
        <v>0</v>
      </c>
      <c r="AW363">
        <v>11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1</v>
      </c>
      <c r="BD363" t="b">
        <v>0</v>
      </c>
      <c r="BE363" t="s">
        <v>61</v>
      </c>
      <c r="BF363" t="s">
        <v>57</v>
      </c>
      <c r="BG363" t="s">
        <v>55</v>
      </c>
      <c r="BH363" t="s">
        <v>58</v>
      </c>
      <c r="BI363" t="s">
        <v>58</v>
      </c>
    </row>
    <row r="364" spans="1:61" x14ac:dyDescent="0.25">
      <c r="A364" t="str" cm="1">
        <f t="array" ref="A364">_xlfn.IFS(AS364="RegularSeason",C364,AS364&lt;&gt;"RegularSeason",R364)</f>
        <v>00101101010010100000000000011011</v>
      </c>
      <c r="B364" t="str" cm="1">
        <f t="array" ref="B364">_xlfn.IFS(AS364="RegularSeason",D364,AS364&lt;&gt;"RegularSeason",K364)</f>
        <v>00100110100010100000000000000000</v>
      </c>
      <c r="C364" t="str">
        <f t="shared" si="15"/>
        <v>00101101010010100000000000011001</v>
      </c>
      <c r="D364" t="str">
        <f t="shared" si="16"/>
        <v>00100110100010100000000000100100</v>
      </c>
      <c r="E364" t="str" cm="1">
        <f t="array" ref="E364">_xlfn.XLOOKUP(_xlfn.XLOOKUP(G364,New!A:A,New!M:M,NONE),TeamIdentity!A:A,TeamIdentity!C:C,NONE)</f>
        <v>00011001</v>
      </c>
      <c r="F364" t="str" cm="1">
        <f t="array" ref="F364">_xlfn.XLOOKUP(_xlfn.XLOOKUP(G364,New!A:A,New!F:F,NONE),TeamIdentity!A:A,TeamIdentity!C:C,NONE)</f>
        <v>00100100</v>
      </c>
      <c r="G364" t="str">
        <f t="shared" si="17"/>
        <v>0-0</v>
      </c>
      <c r="H364" t="s">
        <v>54</v>
      </c>
      <c r="I364" t="s">
        <v>54</v>
      </c>
      <c r="J364" t="s">
        <v>54</v>
      </c>
      <c r="K364" t="s">
        <v>543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512</v>
      </c>
      <c r="S364">
        <v>-1</v>
      </c>
      <c r="T364">
        <v>0</v>
      </c>
      <c r="U364">
        <v>90287</v>
      </c>
      <c r="V364">
        <v>0</v>
      </c>
      <c r="W364" t="s">
        <v>70</v>
      </c>
      <c r="X364">
        <v>0</v>
      </c>
      <c r="Y364">
        <v>0</v>
      </c>
      <c r="Z364">
        <v>975</v>
      </c>
      <c r="AA364" t="s">
        <v>57</v>
      </c>
      <c r="AB364">
        <v>0</v>
      </c>
      <c r="AC364">
        <v>0</v>
      </c>
      <c r="AD364">
        <v>0</v>
      </c>
      <c r="AE364">
        <v>0</v>
      </c>
      <c r="AF364" t="s">
        <v>67</v>
      </c>
      <c r="AG364">
        <v>0</v>
      </c>
      <c r="AH364">
        <v>0</v>
      </c>
      <c r="AI364">
        <v>0</v>
      </c>
      <c r="AJ364">
        <v>0</v>
      </c>
      <c r="AK364" t="s">
        <v>60</v>
      </c>
      <c r="AL364">
        <v>0</v>
      </c>
      <c r="AM364">
        <v>0</v>
      </c>
      <c r="AN364">
        <v>0</v>
      </c>
      <c r="AO364">
        <v>0</v>
      </c>
      <c r="AP364" t="b">
        <v>0</v>
      </c>
      <c r="AQ364" t="s">
        <v>58</v>
      </c>
      <c r="AR364" t="s">
        <v>58</v>
      </c>
      <c r="AS364" t="s">
        <v>66</v>
      </c>
      <c r="AT364">
        <v>14</v>
      </c>
      <c r="AU364">
        <v>0</v>
      </c>
      <c r="AV364">
        <v>0</v>
      </c>
      <c r="AW364">
        <v>11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s">
        <v>61</v>
      </c>
      <c r="BF364" t="s">
        <v>57</v>
      </c>
      <c r="BG364" t="s">
        <v>55</v>
      </c>
      <c r="BH364" t="s">
        <v>58</v>
      </c>
      <c r="BI364" t="s">
        <v>58</v>
      </c>
    </row>
    <row r="365" spans="1:61" x14ac:dyDescent="0.25">
      <c r="A365" t="str" cm="1">
        <f t="array" ref="A365">_xlfn.IFS(AS365="RegularSeason",C365,AS365&lt;&gt;"RegularSeason",R365)</f>
        <v>00101101010010100000000000100000</v>
      </c>
      <c r="B365" t="str" cm="1">
        <f t="array" ref="B365">_xlfn.IFS(AS365="RegularSeason",D365,AS365&lt;&gt;"RegularSeason",K365)</f>
        <v>00100110100010100000000000000000</v>
      </c>
      <c r="C365" t="str">
        <f t="shared" si="15"/>
        <v>00101101010010100000000000011001</v>
      </c>
      <c r="D365" t="str">
        <f t="shared" si="16"/>
        <v>00100110100010100000000000100100</v>
      </c>
      <c r="E365" t="str" cm="1">
        <f t="array" ref="E365">_xlfn.XLOOKUP(_xlfn.XLOOKUP(G365,New!A:A,New!M:M,NONE),TeamIdentity!A:A,TeamIdentity!C:C,NONE)</f>
        <v>00011001</v>
      </c>
      <c r="F365" t="str" cm="1">
        <f t="array" ref="F365">_xlfn.XLOOKUP(_xlfn.XLOOKUP(G365,New!A:A,New!F:F,NONE),TeamIdentity!A:A,TeamIdentity!C:C,NONE)</f>
        <v>00100100</v>
      </c>
      <c r="G365" t="str">
        <f t="shared" si="17"/>
        <v>0-0</v>
      </c>
      <c r="H365" t="s">
        <v>54</v>
      </c>
      <c r="I365" t="s">
        <v>54</v>
      </c>
      <c r="J365" t="s">
        <v>54</v>
      </c>
      <c r="K365" t="s">
        <v>543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527</v>
      </c>
      <c r="S365">
        <v>-1</v>
      </c>
      <c r="T365">
        <v>0</v>
      </c>
      <c r="U365">
        <v>90293</v>
      </c>
      <c r="V365">
        <v>0</v>
      </c>
      <c r="W365" t="s">
        <v>70</v>
      </c>
      <c r="X365">
        <v>0</v>
      </c>
      <c r="Y365">
        <v>0</v>
      </c>
      <c r="Z365">
        <v>975</v>
      </c>
      <c r="AA365" t="s">
        <v>57</v>
      </c>
      <c r="AB365">
        <v>0</v>
      </c>
      <c r="AC365">
        <v>0</v>
      </c>
      <c r="AD365">
        <v>0</v>
      </c>
      <c r="AE365">
        <v>0</v>
      </c>
      <c r="AF365" t="s">
        <v>67</v>
      </c>
      <c r="AG365">
        <v>0</v>
      </c>
      <c r="AH365">
        <v>0</v>
      </c>
      <c r="AI365">
        <v>0</v>
      </c>
      <c r="AJ365">
        <v>0</v>
      </c>
      <c r="AK365" t="s">
        <v>60</v>
      </c>
      <c r="AL365">
        <v>0</v>
      </c>
      <c r="AM365">
        <v>0</v>
      </c>
      <c r="AN365">
        <v>0</v>
      </c>
      <c r="AO365">
        <v>0</v>
      </c>
      <c r="AP365" t="b">
        <v>0</v>
      </c>
      <c r="AQ365" t="s">
        <v>58</v>
      </c>
      <c r="AR365" t="s">
        <v>58</v>
      </c>
      <c r="AS365" t="s">
        <v>66</v>
      </c>
      <c r="AT365">
        <v>14</v>
      </c>
      <c r="AU365">
        <v>0</v>
      </c>
      <c r="AV365">
        <v>0</v>
      </c>
      <c r="AW365">
        <v>11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1</v>
      </c>
      <c r="BD365" t="b">
        <v>0</v>
      </c>
      <c r="BE365" t="s">
        <v>61</v>
      </c>
      <c r="BF365" t="s">
        <v>57</v>
      </c>
      <c r="BG365" t="s">
        <v>55</v>
      </c>
      <c r="BH365" t="s">
        <v>58</v>
      </c>
      <c r="BI365" t="s">
        <v>58</v>
      </c>
    </row>
    <row r="366" spans="1:61" x14ac:dyDescent="0.25">
      <c r="A366" t="str" cm="1">
        <f t="array" ref="A366">_xlfn.IFS(AS366="RegularSeason",C366,AS366&lt;&gt;"RegularSeason",R366)</f>
        <v>00101101010010100000000000001101</v>
      </c>
      <c r="B366" t="str" cm="1">
        <f t="array" ref="B366">_xlfn.IFS(AS366="RegularSeason",D366,AS366&lt;&gt;"RegularSeason",K366)</f>
        <v>00100110100010100000000000000000</v>
      </c>
      <c r="C366" t="str">
        <f t="shared" si="15"/>
        <v>00101101010010100000000000011001</v>
      </c>
      <c r="D366" t="str">
        <f t="shared" si="16"/>
        <v>00100110100010100000000000100100</v>
      </c>
      <c r="E366" t="str" cm="1">
        <f t="array" ref="E366">_xlfn.XLOOKUP(_xlfn.XLOOKUP(G366,New!A:A,New!M:M,NONE),TeamIdentity!A:A,TeamIdentity!C:C,NONE)</f>
        <v>00011001</v>
      </c>
      <c r="F366" t="str" cm="1">
        <f t="array" ref="F366">_xlfn.XLOOKUP(_xlfn.XLOOKUP(G366,New!A:A,New!F:F,NONE),TeamIdentity!A:A,TeamIdentity!C:C,NONE)</f>
        <v>00100100</v>
      </c>
      <c r="G366" t="str">
        <f t="shared" si="17"/>
        <v>0-0</v>
      </c>
      <c r="H366" t="s">
        <v>54</v>
      </c>
      <c r="I366" t="s">
        <v>54</v>
      </c>
      <c r="J366" t="s">
        <v>54</v>
      </c>
      <c r="K366" t="s">
        <v>543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521</v>
      </c>
      <c r="S366">
        <v>-1</v>
      </c>
      <c r="T366">
        <v>0</v>
      </c>
      <c r="U366">
        <v>90291</v>
      </c>
      <c r="V366">
        <v>0</v>
      </c>
      <c r="W366" t="s">
        <v>70</v>
      </c>
      <c r="X366">
        <v>0</v>
      </c>
      <c r="Y366">
        <v>0</v>
      </c>
      <c r="Z366">
        <v>975</v>
      </c>
      <c r="AA366" t="s">
        <v>57</v>
      </c>
      <c r="AB366">
        <v>0</v>
      </c>
      <c r="AC366">
        <v>0</v>
      </c>
      <c r="AD366">
        <v>0</v>
      </c>
      <c r="AE366">
        <v>0</v>
      </c>
      <c r="AF366" t="s">
        <v>67</v>
      </c>
      <c r="AG366">
        <v>0</v>
      </c>
      <c r="AH366">
        <v>0</v>
      </c>
      <c r="AI366">
        <v>0</v>
      </c>
      <c r="AJ366">
        <v>0</v>
      </c>
      <c r="AK366" t="s">
        <v>60</v>
      </c>
      <c r="AL366">
        <v>0</v>
      </c>
      <c r="AM366">
        <v>0</v>
      </c>
      <c r="AN366">
        <v>0</v>
      </c>
      <c r="AO366">
        <v>0</v>
      </c>
      <c r="AP366" t="b">
        <v>0</v>
      </c>
      <c r="AQ366" t="s">
        <v>58</v>
      </c>
      <c r="AR366" t="s">
        <v>58</v>
      </c>
      <c r="AS366" t="s">
        <v>66</v>
      </c>
      <c r="AT366">
        <v>14</v>
      </c>
      <c r="AU366">
        <v>0</v>
      </c>
      <c r="AV366">
        <v>0</v>
      </c>
      <c r="AW366">
        <v>11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1</v>
      </c>
      <c r="BD366" t="b">
        <v>0</v>
      </c>
      <c r="BE366" t="s">
        <v>61</v>
      </c>
      <c r="BF366" t="s">
        <v>57</v>
      </c>
      <c r="BG366" t="s">
        <v>55</v>
      </c>
      <c r="BH366" t="s">
        <v>58</v>
      </c>
      <c r="BI366" t="s">
        <v>58</v>
      </c>
    </row>
    <row r="367" spans="1:61" x14ac:dyDescent="0.25">
      <c r="A367" t="str" cm="1">
        <f t="array" ref="A367">_xlfn.IFS(AS367="RegularSeason",C367,AS367&lt;&gt;"RegularSeason",R367)</f>
        <v>00101101010010100000000000100011</v>
      </c>
      <c r="B367" t="str" cm="1">
        <f t="array" ref="B367">_xlfn.IFS(AS367="RegularSeason",D367,AS367&lt;&gt;"RegularSeason",K367)</f>
        <v>00100110100010100000000000000000</v>
      </c>
      <c r="C367" t="str">
        <f t="shared" si="15"/>
        <v>00101101010010100000000000011001</v>
      </c>
      <c r="D367" t="str">
        <f t="shared" si="16"/>
        <v>00100110100010100000000000100100</v>
      </c>
      <c r="E367" t="str" cm="1">
        <f t="array" ref="E367">_xlfn.XLOOKUP(_xlfn.XLOOKUP(G367,New!A:A,New!M:M,NONE),TeamIdentity!A:A,TeamIdentity!C:C,NONE)</f>
        <v>00011001</v>
      </c>
      <c r="F367" t="str" cm="1">
        <f t="array" ref="F367">_xlfn.XLOOKUP(_xlfn.XLOOKUP(G367,New!A:A,New!F:F,NONE),TeamIdentity!A:A,TeamIdentity!C:C,NONE)</f>
        <v>00100100</v>
      </c>
      <c r="G367" t="str">
        <f t="shared" si="17"/>
        <v>0-0</v>
      </c>
      <c r="H367" t="s">
        <v>54</v>
      </c>
      <c r="I367" t="s">
        <v>54</v>
      </c>
      <c r="J367" t="s">
        <v>54</v>
      </c>
      <c r="K367" t="s">
        <v>543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534</v>
      </c>
      <c r="S367">
        <v>-1</v>
      </c>
      <c r="T367">
        <v>0</v>
      </c>
      <c r="U367">
        <v>90295</v>
      </c>
      <c r="V367">
        <v>0</v>
      </c>
      <c r="W367" t="s">
        <v>70</v>
      </c>
      <c r="X367">
        <v>0</v>
      </c>
      <c r="Y367">
        <v>0</v>
      </c>
      <c r="Z367">
        <v>975</v>
      </c>
      <c r="AA367" t="s">
        <v>57</v>
      </c>
      <c r="AB367">
        <v>0</v>
      </c>
      <c r="AC367">
        <v>0</v>
      </c>
      <c r="AD367">
        <v>0</v>
      </c>
      <c r="AE367">
        <v>0</v>
      </c>
      <c r="AF367" t="s">
        <v>67</v>
      </c>
      <c r="AG367">
        <v>0</v>
      </c>
      <c r="AH367">
        <v>0</v>
      </c>
      <c r="AI367">
        <v>0</v>
      </c>
      <c r="AJ367">
        <v>0</v>
      </c>
      <c r="AK367" t="s">
        <v>60</v>
      </c>
      <c r="AL367">
        <v>0</v>
      </c>
      <c r="AM367">
        <v>0</v>
      </c>
      <c r="AN367">
        <v>0</v>
      </c>
      <c r="AO367">
        <v>0</v>
      </c>
      <c r="AP367" t="b">
        <v>0</v>
      </c>
      <c r="AQ367" t="s">
        <v>58</v>
      </c>
      <c r="AR367" t="s">
        <v>58</v>
      </c>
      <c r="AS367" t="s">
        <v>66</v>
      </c>
      <c r="AT367">
        <v>14</v>
      </c>
      <c r="AU367">
        <v>0</v>
      </c>
      <c r="AV367">
        <v>0</v>
      </c>
      <c r="AW367">
        <v>11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1</v>
      </c>
      <c r="BD367" t="b">
        <v>0</v>
      </c>
      <c r="BE367" t="s">
        <v>61</v>
      </c>
      <c r="BF367" t="s">
        <v>57</v>
      </c>
      <c r="BG367" t="s">
        <v>55</v>
      </c>
      <c r="BH367" t="s">
        <v>58</v>
      </c>
      <c r="BI367" t="s">
        <v>58</v>
      </c>
    </row>
    <row r="368" spans="1:61" x14ac:dyDescent="0.25">
      <c r="A368" t="str" cm="1">
        <f t="array" ref="A368">_xlfn.IFS(AS368="RegularSeason",C368,AS368&lt;&gt;"RegularSeason",R368)</f>
        <v>00000000000000000000000000000000</v>
      </c>
      <c r="B368" t="str" cm="1">
        <f t="array" ref="B368">_xlfn.IFS(AS368="RegularSeason",D368,AS368&lt;&gt;"RegularSeason",K368)</f>
        <v>00000000000000000000000000000000</v>
      </c>
      <c r="C368" t="str">
        <f t="shared" si="15"/>
        <v>00000000000000000000000000011001</v>
      </c>
      <c r="D368" t="str">
        <f t="shared" si="16"/>
        <v>00000000000000000000000000100100</v>
      </c>
      <c r="E368" t="str" cm="1">
        <f t="array" ref="E368">_xlfn.XLOOKUP(_xlfn.XLOOKUP(G368,New!A:A,New!M:M,NONE),TeamIdentity!A:A,TeamIdentity!C:C,NONE)</f>
        <v>00011001</v>
      </c>
      <c r="F368" t="str" cm="1">
        <f t="array" ref="F368">_xlfn.XLOOKUP(_xlfn.XLOOKUP(G368,New!A:A,New!F:F,NONE),TeamIdentity!A:A,TeamIdentity!C:C,NONE)</f>
        <v>00100100</v>
      </c>
      <c r="G368" t="str">
        <f t="shared" si="17"/>
        <v>0-0</v>
      </c>
      <c r="H368" t="s">
        <v>73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>
        <v>-2147483648</v>
      </c>
      <c r="T368">
        <v>-2147483648</v>
      </c>
      <c r="U368">
        <v>-2147483648</v>
      </c>
      <c r="V368">
        <v>0</v>
      </c>
      <c r="W368" t="s">
        <v>59</v>
      </c>
      <c r="X368">
        <v>0</v>
      </c>
      <c r="Y368">
        <v>0</v>
      </c>
      <c r="Z368">
        <v>0</v>
      </c>
      <c r="AA368" t="s">
        <v>57</v>
      </c>
      <c r="AB368">
        <v>0</v>
      </c>
      <c r="AC368">
        <v>0</v>
      </c>
      <c r="AD368">
        <v>0</v>
      </c>
      <c r="AE368">
        <v>-100</v>
      </c>
      <c r="AF368" t="s">
        <v>67</v>
      </c>
      <c r="AG368">
        <v>0</v>
      </c>
      <c r="AH368">
        <v>0</v>
      </c>
      <c r="AI368">
        <v>0</v>
      </c>
      <c r="AJ368">
        <v>0</v>
      </c>
      <c r="AK368" t="s">
        <v>60</v>
      </c>
      <c r="AL368">
        <v>0</v>
      </c>
      <c r="AM368">
        <v>0</v>
      </c>
      <c r="AN368">
        <v>0</v>
      </c>
      <c r="AO368">
        <v>0</v>
      </c>
      <c r="AP368" t="b">
        <v>0</v>
      </c>
      <c r="AQ368" t="s">
        <v>55</v>
      </c>
      <c r="AR368" t="s">
        <v>76</v>
      </c>
      <c r="AS368" t="s">
        <v>66</v>
      </c>
      <c r="AT368">
        <v>0</v>
      </c>
      <c r="AU368">
        <v>0</v>
      </c>
      <c r="AV368">
        <v>0</v>
      </c>
      <c r="AW368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s">
        <v>77</v>
      </c>
      <c r="BF368" t="s">
        <v>57</v>
      </c>
      <c r="BG368" t="s">
        <v>74</v>
      </c>
      <c r="BH368" t="s">
        <v>75</v>
      </c>
      <c r="BI368" t="s">
        <v>55</v>
      </c>
    </row>
    <row r="369" spans="1:61" x14ac:dyDescent="0.25">
      <c r="A369" t="str" cm="1">
        <f t="array" ref="A369">_xlfn.IFS(AS369="RegularSeason",C369,AS369&lt;&gt;"RegularSeason",R369)</f>
        <v>00000000000000000000000000000000</v>
      </c>
      <c r="B369" t="str" cm="1">
        <f t="array" ref="B369">_xlfn.IFS(AS369="RegularSeason",D369,AS369&lt;&gt;"RegularSeason",K369)</f>
        <v>00000000000000000000000000000000</v>
      </c>
      <c r="C369" t="str">
        <f t="shared" si="15"/>
        <v>00000000000000000000000000011001</v>
      </c>
      <c r="D369" t="str">
        <f t="shared" si="16"/>
        <v>00000000000000000000000000100100</v>
      </c>
      <c r="E369" t="str" cm="1">
        <f t="array" ref="E369">_xlfn.XLOOKUP(_xlfn.XLOOKUP(G369,New!A:A,New!M:M,NONE),TeamIdentity!A:A,TeamIdentity!C:C,NONE)</f>
        <v>00011001</v>
      </c>
      <c r="F369" t="str" cm="1">
        <f t="array" ref="F369">_xlfn.XLOOKUP(_xlfn.XLOOKUP(G369,New!A:A,New!F:F,NONE),TeamIdentity!A:A,TeamIdentity!C:C,NONE)</f>
        <v>00100100</v>
      </c>
      <c r="G369" t="str">
        <f t="shared" si="17"/>
        <v>0-0</v>
      </c>
      <c r="H369" t="s">
        <v>78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>
        <v>-2147483648</v>
      </c>
      <c r="T369">
        <v>-2147483648</v>
      </c>
      <c r="U369">
        <v>-2147483648</v>
      </c>
      <c r="V369">
        <v>0</v>
      </c>
      <c r="W369" t="s">
        <v>59</v>
      </c>
      <c r="X369">
        <v>0</v>
      </c>
      <c r="Y369">
        <v>0</v>
      </c>
      <c r="Z369">
        <v>0</v>
      </c>
      <c r="AA369" t="s">
        <v>57</v>
      </c>
      <c r="AB369">
        <v>0</v>
      </c>
      <c r="AC369">
        <v>0</v>
      </c>
      <c r="AD369">
        <v>0</v>
      </c>
      <c r="AE369">
        <v>-100</v>
      </c>
      <c r="AF369" t="s">
        <v>67</v>
      </c>
      <c r="AG369">
        <v>0</v>
      </c>
      <c r="AH369">
        <v>0</v>
      </c>
      <c r="AI369">
        <v>0</v>
      </c>
      <c r="AJ369">
        <v>0</v>
      </c>
      <c r="AK369" t="s">
        <v>60</v>
      </c>
      <c r="AL369">
        <v>0</v>
      </c>
      <c r="AM369">
        <v>0</v>
      </c>
      <c r="AN369">
        <v>0</v>
      </c>
      <c r="AO369">
        <v>0</v>
      </c>
      <c r="AP369" t="b">
        <v>0</v>
      </c>
      <c r="AQ369" t="s">
        <v>55</v>
      </c>
      <c r="AR369" t="s">
        <v>76</v>
      </c>
      <c r="AS369" t="s">
        <v>66</v>
      </c>
      <c r="AT369">
        <v>0</v>
      </c>
      <c r="AU369">
        <v>0</v>
      </c>
      <c r="AV369">
        <v>0</v>
      </c>
      <c r="AW369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s">
        <v>77</v>
      </c>
      <c r="BF369" t="s">
        <v>57</v>
      </c>
      <c r="BG369" t="s">
        <v>74</v>
      </c>
      <c r="BH369" t="s">
        <v>75</v>
      </c>
      <c r="BI369" t="s">
        <v>55</v>
      </c>
    </row>
    <row r="370" spans="1:61" x14ac:dyDescent="0.25">
      <c r="A370" t="str" cm="1">
        <f t="array" ref="A370">_xlfn.IFS(AS370="RegularSeason",C370,AS370&lt;&gt;"RegularSeason",R370)</f>
        <v>00000000000000000000000000000000</v>
      </c>
      <c r="B370" t="str" cm="1">
        <f t="array" ref="B370">_xlfn.IFS(AS370="RegularSeason",D370,AS370&lt;&gt;"RegularSeason",K370)</f>
        <v>00000000000000000000000000000000</v>
      </c>
      <c r="C370" t="str">
        <f t="shared" si="15"/>
        <v>00000000000000000000000000011001</v>
      </c>
      <c r="D370" t="str">
        <f t="shared" si="16"/>
        <v>00000000000000000000000000100100</v>
      </c>
      <c r="E370" t="str" cm="1">
        <f t="array" ref="E370">_xlfn.XLOOKUP(_xlfn.XLOOKUP(G370,New!A:A,New!M:M,NONE),TeamIdentity!A:A,TeamIdentity!C:C,NONE)</f>
        <v>00011001</v>
      </c>
      <c r="F370" t="str" cm="1">
        <f t="array" ref="F370">_xlfn.XLOOKUP(_xlfn.XLOOKUP(G370,New!A:A,New!F:F,NONE),TeamIdentity!A:A,TeamIdentity!C:C,NONE)</f>
        <v>00100100</v>
      </c>
      <c r="G370" t="str">
        <f t="shared" si="17"/>
        <v>0-0</v>
      </c>
      <c r="H370" t="s">
        <v>79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>
        <v>-2147483648</v>
      </c>
      <c r="T370">
        <v>-2147483648</v>
      </c>
      <c r="U370">
        <v>-2147483648</v>
      </c>
      <c r="V370">
        <v>0</v>
      </c>
      <c r="W370" t="s">
        <v>59</v>
      </c>
      <c r="X370">
        <v>0</v>
      </c>
      <c r="Y370">
        <v>0</v>
      </c>
      <c r="Z370">
        <v>0</v>
      </c>
      <c r="AA370" t="s">
        <v>57</v>
      </c>
      <c r="AB370">
        <v>0</v>
      </c>
      <c r="AC370">
        <v>0</v>
      </c>
      <c r="AD370">
        <v>0</v>
      </c>
      <c r="AE370">
        <v>-100</v>
      </c>
      <c r="AF370" t="s">
        <v>67</v>
      </c>
      <c r="AG370">
        <v>0</v>
      </c>
      <c r="AH370">
        <v>0</v>
      </c>
      <c r="AI370">
        <v>0</v>
      </c>
      <c r="AJ370">
        <v>0</v>
      </c>
      <c r="AK370" t="s">
        <v>60</v>
      </c>
      <c r="AL370">
        <v>0</v>
      </c>
      <c r="AM370">
        <v>0</v>
      </c>
      <c r="AN370">
        <v>0</v>
      </c>
      <c r="AO370">
        <v>0</v>
      </c>
      <c r="AP370" t="b">
        <v>0</v>
      </c>
      <c r="AQ370" t="s">
        <v>55</v>
      </c>
      <c r="AR370" t="s">
        <v>76</v>
      </c>
      <c r="AS370" t="s">
        <v>66</v>
      </c>
      <c r="AT370">
        <v>0</v>
      </c>
      <c r="AU370">
        <v>0</v>
      </c>
      <c r="AV370">
        <v>0</v>
      </c>
      <c r="AW370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s">
        <v>77</v>
      </c>
      <c r="BF370" t="s">
        <v>57</v>
      </c>
      <c r="BG370" t="s">
        <v>74</v>
      </c>
      <c r="BH370" t="s">
        <v>75</v>
      </c>
      <c r="BI370" t="s">
        <v>55</v>
      </c>
    </row>
    <row r="371" spans="1:61" x14ac:dyDescent="0.25">
      <c r="A371" t="str" cm="1">
        <f t="array" ref="A371">_xlfn.IFS(AS371="RegularSeason",C371,AS371&lt;&gt;"RegularSeason",R371)</f>
        <v>00000000000000000000000000000000</v>
      </c>
      <c r="B371" t="str" cm="1">
        <f t="array" ref="B371">_xlfn.IFS(AS371="RegularSeason",D371,AS371&lt;&gt;"RegularSeason",K371)</f>
        <v>00000000000000000000000000000000</v>
      </c>
      <c r="C371" t="str">
        <f t="shared" si="15"/>
        <v>00000000000000000000000000011001</v>
      </c>
      <c r="D371" t="str">
        <f t="shared" si="16"/>
        <v>00000000000000000000000000100100</v>
      </c>
      <c r="E371" t="str" cm="1">
        <f t="array" ref="E371">_xlfn.XLOOKUP(_xlfn.XLOOKUP(G371,New!A:A,New!M:M,NONE),TeamIdentity!A:A,TeamIdentity!C:C,NONE)</f>
        <v>00011001</v>
      </c>
      <c r="F371" t="str" cm="1">
        <f t="array" ref="F371">_xlfn.XLOOKUP(_xlfn.XLOOKUP(G371,New!A:A,New!F:F,NONE),TeamIdentity!A:A,TeamIdentity!C:C,NONE)</f>
        <v>00100100</v>
      </c>
      <c r="G371" t="str">
        <f t="shared" si="17"/>
        <v>0-0</v>
      </c>
      <c r="H371" t="s">
        <v>80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>
        <v>-2147483648</v>
      </c>
      <c r="T371">
        <v>-2147483648</v>
      </c>
      <c r="U371">
        <v>-2147483648</v>
      </c>
      <c r="V371">
        <v>0</v>
      </c>
      <c r="W371" t="s">
        <v>59</v>
      </c>
      <c r="X371">
        <v>0</v>
      </c>
      <c r="Y371">
        <v>0</v>
      </c>
      <c r="Z371">
        <v>0</v>
      </c>
      <c r="AA371" t="s">
        <v>57</v>
      </c>
      <c r="AB371">
        <v>0</v>
      </c>
      <c r="AC371">
        <v>0</v>
      </c>
      <c r="AD371">
        <v>0</v>
      </c>
      <c r="AE371">
        <v>-100</v>
      </c>
      <c r="AF371" t="s">
        <v>67</v>
      </c>
      <c r="AG371">
        <v>0</v>
      </c>
      <c r="AH371">
        <v>0</v>
      </c>
      <c r="AI371">
        <v>0</v>
      </c>
      <c r="AJ371">
        <v>0</v>
      </c>
      <c r="AK371" t="s">
        <v>60</v>
      </c>
      <c r="AL371">
        <v>0</v>
      </c>
      <c r="AM371">
        <v>0</v>
      </c>
      <c r="AN371">
        <v>0</v>
      </c>
      <c r="AO371">
        <v>0</v>
      </c>
      <c r="AP371" t="b">
        <v>0</v>
      </c>
      <c r="AQ371" t="s">
        <v>55</v>
      </c>
      <c r="AR371" t="s">
        <v>76</v>
      </c>
      <c r="AS371" t="s">
        <v>66</v>
      </c>
      <c r="AT371">
        <v>0</v>
      </c>
      <c r="AU371">
        <v>0</v>
      </c>
      <c r="AV371">
        <v>0</v>
      </c>
      <c r="AW371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s">
        <v>77</v>
      </c>
      <c r="BF371" t="s">
        <v>57</v>
      </c>
      <c r="BG371" t="s">
        <v>74</v>
      </c>
      <c r="BH371" t="s">
        <v>75</v>
      </c>
      <c r="BI371" t="s">
        <v>55</v>
      </c>
    </row>
    <row r="372" spans="1:61" x14ac:dyDescent="0.25">
      <c r="A372" t="str" cm="1">
        <f t="array" ref="A372">_xlfn.IFS(AS372="RegularSeason",C372,AS372&lt;&gt;"RegularSeason",R372)</f>
        <v>00000000000000000000000000000000</v>
      </c>
      <c r="B372" t="str" cm="1">
        <f t="array" ref="B372">_xlfn.IFS(AS372="RegularSeason",D372,AS372&lt;&gt;"RegularSeason",K372)</f>
        <v>00000000000000000000000000000000</v>
      </c>
      <c r="C372" t="str">
        <f t="shared" si="15"/>
        <v>00000000000000000000000000011001</v>
      </c>
      <c r="D372" t="str">
        <f t="shared" si="16"/>
        <v>00000000000000000000000000100100</v>
      </c>
      <c r="E372" t="str" cm="1">
        <f t="array" ref="E372">_xlfn.XLOOKUP(_xlfn.XLOOKUP(G372,New!A:A,New!M:M,NONE),TeamIdentity!A:A,TeamIdentity!C:C,NONE)</f>
        <v>00011001</v>
      </c>
      <c r="F372" t="str" cm="1">
        <f t="array" ref="F372">_xlfn.XLOOKUP(_xlfn.XLOOKUP(G372,New!A:A,New!F:F,NONE),TeamIdentity!A:A,TeamIdentity!C:C,NONE)</f>
        <v>00100100</v>
      </c>
      <c r="G372" t="str">
        <f t="shared" si="17"/>
        <v>0-0</v>
      </c>
      <c r="H372" t="s">
        <v>81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>
        <v>-2147483648</v>
      </c>
      <c r="T372">
        <v>-2147483648</v>
      </c>
      <c r="U372">
        <v>-2147483648</v>
      </c>
      <c r="V372">
        <v>0</v>
      </c>
      <c r="W372" t="s">
        <v>59</v>
      </c>
      <c r="X372">
        <v>0</v>
      </c>
      <c r="Y372">
        <v>0</v>
      </c>
      <c r="Z372">
        <v>0</v>
      </c>
      <c r="AA372" t="s">
        <v>57</v>
      </c>
      <c r="AB372">
        <v>0</v>
      </c>
      <c r="AC372">
        <v>0</v>
      </c>
      <c r="AD372">
        <v>0</v>
      </c>
      <c r="AE372">
        <v>-100</v>
      </c>
      <c r="AF372" t="s">
        <v>67</v>
      </c>
      <c r="AG372">
        <v>0</v>
      </c>
      <c r="AH372">
        <v>0</v>
      </c>
      <c r="AI372">
        <v>0</v>
      </c>
      <c r="AJ372">
        <v>0</v>
      </c>
      <c r="AK372" t="s">
        <v>60</v>
      </c>
      <c r="AL372">
        <v>0</v>
      </c>
      <c r="AM372">
        <v>0</v>
      </c>
      <c r="AN372">
        <v>0</v>
      </c>
      <c r="AO372">
        <v>0</v>
      </c>
      <c r="AP372" t="b">
        <v>0</v>
      </c>
      <c r="AQ372" t="s">
        <v>55</v>
      </c>
      <c r="AR372" t="s">
        <v>76</v>
      </c>
      <c r="AS372" t="s">
        <v>66</v>
      </c>
      <c r="AT372">
        <v>0</v>
      </c>
      <c r="AU372">
        <v>0</v>
      </c>
      <c r="AV372">
        <v>0</v>
      </c>
      <c r="AW372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s">
        <v>77</v>
      </c>
      <c r="BF372" t="s">
        <v>57</v>
      </c>
      <c r="BG372" t="s">
        <v>74</v>
      </c>
      <c r="BH372" t="s">
        <v>75</v>
      </c>
      <c r="BI372" t="s">
        <v>55</v>
      </c>
    </row>
    <row r="373" spans="1:61" x14ac:dyDescent="0.25">
      <c r="A373" t="str" cm="1">
        <f t="array" ref="A373">_xlfn.IFS(AS373="RegularSeason",C373,AS373&lt;&gt;"RegularSeason",R373)</f>
        <v>00000000000000000000000000000000</v>
      </c>
      <c r="B373" t="str" cm="1">
        <f t="array" ref="B373">_xlfn.IFS(AS373="RegularSeason",D373,AS373&lt;&gt;"RegularSeason",K373)</f>
        <v>00000000000000000000000000000000</v>
      </c>
      <c r="C373" t="str">
        <f t="shared" si="15"/>
        <v>00000000000000000000000000011001</v>
      </c>
      <c r="D373" t="str">
        <f t="shared" si="16"/>
        <v>00000000000000000000000000100100</v>
      </c>
      <c r="E373" t="str" cm="1">
        <f t="array" ref="E373">_xlfn.XLOOKUP(_xlfn.XLOOKUP(G373,New!A:A,New!M:M,NONE),TeamIdentity!A:A,TeamIdentity!C:C,NONE)</f>
        <v>00011001</v>
      </c>
      <c r="F373" t="str" cm="1">
        <f t="array" ref="F373">_xlfn.XLOOKUP(_xlfn.XLOOKUP(G373,New!A:A,New!F:F,NONE),TeamIdentity!A:A,TeamIdentity!C:C,NONE)</f>
        <v>00100100</v>
      </c>
      <c r="G373" t="str">
        <f t="shared" si="17"/>
        <v>0-0</v>
      </c>
      <c r="H373" t="s">
        <v>82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>
        <v>-2147483648</v>
      </c>
      <c r="T373">
        <v>-2147483648</v>
      </c>
      <c r="U373">
        <v>-2147483648</v>
      </c>
      <c r="V373">
        <v>0</v>
      </c>
      <c r="W373" t="s">
        <v>59</v>
      </c>
      <c r="X373">
        <v>0</v>
      </c>
      <c r="Y373">
        <v>0</v>
      </c>
      <c r="Z373">
        <v>0</v>
      </c>
      <c r="AA373" t="s">
        <v>57</v>
      </c>
      <c r="AB373">
        <v>0</v>
      </c>
      <c r="AC373">
        <v>0</v>
      </c>
      <c r="AD373">
        <v>0</v>
      </c>
      <c r="AE373">
        <v>-100</v>
      </c>
      <c r="AF373" t="s">
        <v>67</v>
      </c>
      <c r="AG373">
        <v>0</v>
      </c>
      <c r="AH373">
        <v>0</v>
      </c>
      <c r="AI373">
        <v>0</v>
      </c>
      <c r="AJ373">
        <v>0</v>
      </c>
      <c r="AK373" t="s">
        <v>60</v>
      </c>
      <c r="AL373">
        <v>0</v>
      </c>
      <c r="AM373">
        <v>0</v>
      </c>
      <c r="AN373">
        <v>0</v>
      </c>
      <c r="AO373">
        <v>0</v>
      </c>
      <c r="AP373" t="b">
        <v>0</v>
      </c>
      <c r="AQ373" t="s">
        <v>55</v>
      </c>
      <c r="AR373" t="s">
        <v>76</v>
      </c>
      <c r="AS373" t="s">
        <v>66</v>
      </c>
      <c r="AT373">
        <v>0</v>
      </c>
      <c r="AU373">
        <v>0</v>
      </c>
      <c r="AV373">
        <v>0</v>
      </c>
      <c r="AW373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s">
        <v>77</v>
      </c>
      <c r="BF373" t="s">
        <v>57</v>
      </c>
      <c r="BG373" t="s">
        <v>74</v>
      </c>
      <c r="BH373" t="s">
        <v>75</v>
      </c>
      <c r="BI373" t="s">
        <v>55</v>
      </c>
    </row>
    <row r="374" spans="1:61" x14ac:dyDescent="0.25">
      <c r="A374" t="str" cm="1">
        <f t="array" ref="A374">_xlfn.IFS(AS374="RegularSeason",C374,AS374&lt;&gt;"RegularSeason",R374)</f>
        <v>00000000000000000000000000000000</v>
      </c>
      <c r="B374" t="str" cm="1">
        <f t="array" ref="B374">_xlfn.IFS(AS374="RegularSeason",D374,AS374&lt;&gt;"RegularSeason",K374)</f>
        <v>00000000000000000000000000000000</v>
      </c>
      <c r="C374" t="str">
        <f t="shared" si="15"/>
        <v>00000000000000000000000000011001</v>
      </c>
      <c r="D374" t="str">
        <f t="shared" si="16"/>
        <v>00000000000000000000000000100100</v>
      </c>
      <c r="E374" t="str" cm="1">
        <f t="array" ref="E374">_xlfn.XLOOKUP(_xlfn.XLOOKUP(G374,New!A:A,New!M:M,NONE),TeamIdentity!A:A,TeamIdentity!C:C,NONE)</f>
        <v>00011001</v>
      </c>
      <c r="F374" t="str" cm="1">
        <f t="array" ref="F374">_xlfn.XLOOKUP(_xlfn.XLOOKUP(G374,New!A:A,New!F:F,NONE),TeamIdentity!A:A,TeamIdentity!C:C,NONE)</f>
        <v>00100100</v>
      </c>
      <c r="G374" t="str">
        <f t="shared" si="17"/>
        <v>0-0</v>
      </c>
      <c r="H374" t="s">
        <v>83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>
        <v>-2147483648</v>
      </c>
      <c r="T374">
        <v>-2147483648</v>
      </c>
      <c r="U374">
        <v>-2147483648</v>
      </c>
      <c r="V374">
        <v>0</v>
      </c>
      <c r="W374" t="s">
        <v>59</v>
      </c>
      <c r="X374">
        <v>0</v>
      </c>
      <c r="Y374">
        <v>0</v>
      </c>
      <c r="Z374">
        <v>0</v>
      </c>
      <c r="AA374" t="s">
        <v>57</v>
      </c>
      <c r="AB374">
        <v>0</v>
      </c>
      <c r="AC374">
        <v>0</v>
      </c>
      <c r="AD374">
        <v>0</v>
      </c>
      <c r="AE374">
        <v>-100</v>
      </c>
      <c r="AF374" t="s">
        <v>67</v>
      </c>
      <c r="AG374">
        <v>0</v>
      </c>
      <c r="AH374">
        <v>0</v>
      </c>
      <c r="AI374">
        <v>0</v>
      </c>
      <c r="AJ374">
        <v>0</v>
      </c>
      <c r="AK374" t="s">
        <v>60</v>
      </c>
      <c r="AL374">
        <v>0</v>
      </c>
      <c r="AM374">
        <v>0</v>
      </c>
      <c r="AN374">
        <v>0</v>
      </c>
      <c r="AO374">
        <v>0</v>
      </c>
      <c r="AP374" t="b">
        <v>0</v>
      </c>
      <c r="AQ374" t="s">
        <v>55</v>
      </c>
      <c r="AR374" t="s">
        <v>76</v>
      </c>
      <c r="AS374" t="s">
        <v>66</v>
      </c>
      <c r="AT374">
        <v>0</v>
      </c>
      <c r="AU374">
        <v>0</v>
      </c>
      <c r="AV374">
        <v>0</v>
      </c>
      <c r="AW374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s">
        <v>77</v>
      </c>
      <c r="BF374" t="s">
        <v>57</v>
      </c>
      <c r="BG374" t="s">
        <v>74</v>
      </c>
      <c r="BH374" t="s">
        <v>75</v>
      </c>
      <c r="BI374" t="s">
        <v>55</v>
      </c>
    </row>
    <row r="375" spans="1:61" x14ac:dyDescent="0.25">
      <c r="A375" t="str" cm="1">
        <f t="array" ref="A375">_xlfn.IFS(AS375="RegularSeason",C375,AS375&lt;&gt;"RegularSeason",R375)</f>
        <v>00000000000000000000000000000000</v>
      </c>
      <c r="B375" t="str" cm="1">
        <f t="array" ref="B375">_xlfn.IFS(AS375="RegularSeason",D375,AS375&lt;&gt;"RegularSeason",K375)</f>
        <v>00000000000000000000000000000000</v>
      </c>
      <c r="C375" t="str">
        <f t="shared" si="15"/>
        <v>00000000000000000000000000011001</v>
      </c>
      <c r="D375" t="str">
        <f t="shared" si="16"/>
        <v>00000000000000000000000000100100</v>
      </c>
      <c r="E375" t="str" cm="1">
        <f t="array" ref="E375">_xlfn.XLOOKUP(_xlfn.XLOOKUP(G375,New!A:A,New!M:M,NONE),TeamIdentity!A:A,TeamIdentity!C:C,NONE)</f>
        <v>00011001</v>
      </c>
      <c r="F375" t="str" cm="1">
        <f t="array" ref="F375">_xlfn.XLOOKUP(_xlfn.XLOOKUP(G375,New!A:A,New!F:F,NONE),TeamIdentity!A:A,TeamIdentity!C:C,NONE)</f>
        <v>00100100</v>
      </c>
      <c r="G375" t="str">
        <f t="shared" si="17"/>
        <v>0-0</v>
      </c>
      <c r="H375" t="s">
        <v>84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>
        <v>-2147483648</v>
      </c>
      <c r="T375">
        <v>-2147483648</v>
      </c>
      <c r="U375">
        <v>-2147483648</v>
      </c>
      <c r="V375">
        <v>0</v>
      </c>
      <c r="W375" t="s">
        <v>59</v>
      </c>
      <c r="X375">
        <v>0</v>
      </c>
      <c r="Y375">
        <v>0</v>
      </c>
      <c r="Z375">
        <v>0</v>
      </c>
      <c r="AA375" t="s">
        <v>57</v>
      </c>
      <c r="AB375">
        <v>0</v>
      </c>
      <c r="AC375">
        <v>0</v>
      </c>
      <c r="AD375">
        <v>0</v>
      </c>
      <c r="AE375">
        <v>-100</v>
      </c>
      <c r="AF375" t="s">
        <v>67</v>
      </c>
      <c r="AG375">
        <v>0</v>
      </c>
      <c r="AH375">
        <v>0</v>
      </c>
      <c r="AI375">
        <v>0</v>
      </c>
      <c r="AJ375">
        <v>0</v>
      </c>
      <c r="AK375" t="s">
        <v>60</v>
      </c>
      <c r="AL375">
        <v>0</v>
      </c>
      <c r="AM375">
        <v>0</v>
      </c>
      <c r="AN375">
        <v>0</v>
      </c>
      <c r="AO375">
        <v>0</v>
      </c>
      <c r="AP375" t="b">
        <v>0</v>
      </c>
      <c r="AQ375" t="s">
        <v>55</v>
      </c>
      <c r="AR375" t="s">
        <v>76</v>
      </c>
      <c r="AS375" t="s">
        <v>66</v>
      </c>
      <c r="AT375">
        <v>0</v>
      </c>
      <c r="AU375">
        <v>0</v>
      </c>
      <c r="AV375">
        <v>0</v>
      </c>
      <c r="AW375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s">
        <v>77</v>
      </c>
      <c r="BF375" t="s">
        <v>57</v>
      </c>
      <c r="BG375" t="s">
        <v>74</v>
      </c>
      <c r="BH375" t="s">
        <v>75</v>
      </c>
      <c r="BI375" t="s">
        <v>55</v>
      </c>
    </row>
    <row r="376" spans="1:61" x14ac:dyDescent="0.25">
      <c r="A376" t="str" cm="1">
        <f t="array" ref="A376">_xlfn.IFS(AS376="RegularSeason",C376,AS376&lt;&gt;"RegularSeason",R376)</f>
        <v>00000000000000000000000000000000</v>
      </c>
      <c r="B376" t="str" cm="1">
        <f t="array" ref="B376">_xlfn.IFS(AS376="RegularSeason",D376,AS376&lt;&gt;"RegularSeason",K376)</f>
        <v>00000000000000000000000000000000</v>
      </c>
      <c r="C376" t="str">
        <f t="shared" si="15"/>
        <v>00000000000000000000000000011001</v>
      </c>
      <c r="D376" t="str">
        <f t="shared" si="16"/>
        <v>00000000000000000000000000100100</v>
      </c>
      <c r="E376" t="str" cm="1">
        <f t="array" ref="E376">_xlfn.XLOOKUP(_xlfn.XLOOKUP(G376,New!A:A,New!M:M,NONE),TeamIdentity!A:A,TeamIdentity!C:C,NONE)</f>
        <v>00011001</v>
      </c>
      <c r="F376" t="str" cm="1">
        <f t="array" ref="F376">_xlfn.XLOOKUP(_xlfn.XLOOKUP(G376,New!A:A,New!F:F,NONE),TeamIdentity!A:A,TeamIdentity!C:C,NONE)</f>
        <v>00100100</v>
      </c>
      <c r="G376" t="str">
        <f t="shared" si="17"/>
        <v>0-0</v>
      </c>
      <c r="H376" t="s">
        <v>85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>
        <v>-2147483648</v>
      </c>
      <c r="T376">
        <v>-2147483648</v>
      </c>
      <c r="U376">
        <v>-2147483648</v>
      </c>
      <c r="V376">
        <v>0</v>
      </c>
      <c r="W376" t="s">
        <v>59</v>
      </c>
      <c r="X376">
        <v>0</v>
      </c>
      <c r="Y376">
        <v>0</v>
      </c>
      <c r="Z376">
        <v>0</v>
      </c>
      <c r="AA376" t="s">
        <v>57</v>
      </c>
      <c r="AB376">
        <v>0</v>
      </c>
      <c r="AC376">
        <v>0</v>
      </c>
      <c r="AD376">
        <v>0</v>
      </c>
      <c r="AE376">
        <v>-100</v>
      </c>
      <c r="AF376" t="s">
        <v>67</v>
      </c>
      <c r="AG376">
        <v>0</v>
      </c>
      <c r="AH376">
        <v>0</v>
      </c>
      <c r="AI376">
        <v>0</v>
      </c>
      <c r="AJ376">
        <v>0</v>
      </c>
      <c r="AK376" t="s">
        <v>60</v>
      </c>
      <c r="AL376">
        <v>0</v>
      </c>
      <c r="AM376">
        <v>0</v>
      </c>
      <c r="AN376">
        <v>0</v>
      </c>
      <c r="AO376">
        <v>0</v>
      </c>
      <c r="AP376" t="b">
        <v>0</v>
      </c>
      <c r="AQ376" t="s">
        <v>55</v>
      </c>
      <c r="AR376" t="s">
        <v>76</v>
      </c>
      <c r="AS376" t="s">
        <v>66</v>
      </c>
      <c r="AT376">
        <v>0</v>
      </c>
      <c r="AU376">
        <v>0</v>
      </c>
      <c r="AV376">
        <v>0</v>
      </c>
      <c r="AW376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s">
        <v>77</v>
      </c>
      <c r="BF376" t="s">
        <v>57</v>
      </c>
      <c r="BG376" t="s">
        <v>74</v>
      </c>
      <c r="BH376" t="s">
        <v>75</v>
      </c>
      <c r="BI376" t="s">
        <v>55</v>
      </c>
    </row>
    <row r="377" spans="1:61" x14ac:dyDescent="0.25">
      <c r="A377" t="str" cm="1">
        <f t="array" ref="A377">_xlfn.IFS(AS377="RegularSeason",C377,AS377&lt;&gt;"RegularSeason",R377)</f>
        <v>00000000000000000000000000000000</v>
      </c>
      <c r="B377" t="str" cm="1">
        <f t="array" ref="B377">_xlfn.IFS(AS377="RegularSeason",D377,AS377&lt;&gt;"RegularSeason",K377)</f>
        <v>00000000000000000000000000000000</v>
      </c>
      <c r="C377" t="str">
        <f t="shared" si="15"/>
        <v>00000000000000000000000000011001</v>
      </c>
      <c r="D377" t="str">
        <f t="shared" si="16"/>
        <v>00000000000000000000000000100100</v>
      </c>
      <c r="E377" t="str" cm="1">
        <f t="array" ref="E377">_xlfn.XLOOKUP(_xlfn.XLOOKUP(G377,New!A:A,New!M:M,NONE),TeamIdentity!A:A,TeamIdentity!C:C,NONE)</f>
        <v>00011001</v>
      </c>
      <c r="F377" t="str" cm="1">
        <f t="array" ref="F377">_xlfn.XLOOKUP(_xlfn.XLOOKUP(G377,New!A:A,New!F:F,NONE),TeamIdentity!A:A,TeamIdentity!C:C,NONE)</f>
        <v>00100100</v>
      </c>
      <c r="G377" t="str">
        <f t="shared" si="17"/>
        <v>0-0</v>
      </c>
      <c r="H377" t="s">
        <v>86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>
        <v>-2147483648</v>
      </c>
      <c r="T377">
        <v>-2147483648</v>
      </c>
      <c r="U377">
        <v>-2147483648</v>
      </c>
      <c r="V377">
        <v>0</v>
      </c>
      <c r="W377" t="s">
        <v>59</v>
      </c>
      <c r="X377">
        <v>0</v>
      </c>
      <c r="Y377">
        <v>0</v>
      </c>
      <c r="Z377">
        <v>0</v>
      </c>
      <c r="AA377" t="s">
        <v>57</v>
      </c>
      <c r="AB377">
        <v>0</v>
      </c>
      <c r="AC377">
        <v>0</v>
      </c>
      <c r="AD377">
        <v>0</v>
      </c>
      <c r="AE377">
        <v>-100</v>
      </c>
      <c r="AF377" t="s">
        <v>67</v>
      </c>
      <c r="AG377">
        <v>0</v>
      </c>
      <c r="AH377">
        <v>0</v>
      </c>
      <c r="AI377">
        <v>0</v>
      </c>
      <c r="AJ377">
        <v>0</v>
      </c>
      <c r="AK377" t="s">
        <v>60</v>
      </c>
      <c r="AL377">
        <v>0</v>
      </c>
      <c r="AM377">
        <v>0</v>
      </c>
      <c r="AN377">
        <v>0</v>
      </c>
      <c r="AO377">
        <v>0</v>
      </c>
      <c r="AP377" t="b">
        <v>0</v>
      </c>
      <c r="AQ377" t="s">
        <v>55</v>
      </c>
      <c r="AR377" t="s">
        <v>76</v>
      </c>
      <c r="AS377" t="s">
        <v>66</v>
      </c>
      <c r="AT377">
        <v>0</v>
      </c>
      <c r="AU377">
        <v>0</v>
      </c>
      <c r="AV377">
        <v>0</v>
      </c>
      <c r="AW377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s">
        <v>77</v>
      </c>
      <c r="BF377" t="s">
        <v>57</v>
      </c>
      <c r="BG377" t="s">
        <v>74</v>
      </c>
      <c r="BH377" t="s">
        <v>75</v>
      </c>
      <c r="BI377" t="s">
        <v>55</v>
      </c>
    </row>
    <row r="378" spans="1:61" x14ac:dyDescent="0.25">
      <c r="A378" t="str" cm="1">
        <f t="array" ref="A378">_xlfn.IFS(AS378="RegularSeason",C378,AS378&lt;&gt;"RegularSeason",R378)</f>
        <v>00000000000000000000000000000000</v>
      </c>
      <c r="B378" t="str" cm="1">
        <f t="array" ref="B378">_xlfn.IFS(AS378="RegularSeason",D378,AS378&lt;&gt;"RegularSeason",K378)</f>
        <v>00000000000000000000000000000000</v>
      </c>
      <c r="C378" t="str">
        <f t="shared" si="15"/>
        <v>00000000000000000000000000011001</v>
      </c>
      <c r="D378" t="str">
        <f t="shared" si="16"/>
        <v>00000000000000000000000000100100</v>
      </c>
      <c r="E378" t="str" cm="1">
        <f t="array" ref="E378">_xlfn.XLOOKUP(_xlfn.XLOOKUP(G378,New!A:A,New!M:M,NONE),TeamIdentity!A:A,TeamIdentity!C:C,NONE)</f>
        <v>00011001</v>
      </c>
      <c r="F378" t="str" cm="1">
        <f t="array" ref="F378">_xlfn.XLOOKUP(_xlfn.XLOOKUP(G378,New!A:A,New!F:F,NONE),TeamIdentity!A:A,TeamIdentity!C:C,NONE)</f>
        <v>00100100</v>
      </c>
      <c r="G378" t="str">
        <f t="shared" si="17"/>
        <v>0-0</v>
      </c>
      <c r="H378" t="s">
        <v>87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>
        <v>-2147483648</v>
      </c>
      <c r="T378">
        <v>-2147483648</v>
      </c>
      <c r="U378">
        <v>-2147483648</v>
      </c>
      <c r="V378">
        <v>0</v>
      </c>
      <c r="W378" t="s">
        <v>59</v>
      </c>
      <c r="X378">
        <v>0</v>
      </c>
      <c r="Y378">
        <v>0</v>
      </c>
      <c r="Z378">
        <v>0</v>
      </c>
      <c r="AA378" t="s">
        <v>57</v>
      </c>
      <c r="AB378">
        <v>0</v>
      </c>
      <c r="AC378">
        <v>0</v>
      </c>
      <c r="AD378">
        <v>0</v>
      </c>
      <c r="AE378">
        <v>-100</v>
      </c>
      <c r="AF378" t="s">
        <v>67</v>
      </c>
      <c r="AG378">
        <v>0</v>
      </c>
      <c r="AH378">
        <v>0</v>
      </c>
      <c r="AI378">
        <v>0</v>
      </c>
      <c r="AJ378">
        <v>0</v>
      </c>
      <c r="AK378" t="s">
        <v>60</v>
      </c>
      <c r="AL378">
        <v>0</v>
      </c>
      <c r="AM378">
        <v>0</v>
      </c>
      <c r="AN378">
        <v>0</v>
      </c>
      <c r="AO378">
        <v>0</v>
      </c>
      <c r="AP378" t="b">
        <v>0</v>
      </c>
      <c r="AQ378" t="s">
        <v>55</v>
      </c>
      <c r="AR378" t="s">
        <v>76</v>
      </c>
      <c r="AS378" t="s">
        <v>66</v>
      </c>
      <c r="AT378">
        <v>0</v>
      </c>
      <c r="AU378">
        <v>0</v>
      </c>
      <c r="AV378">
        <v>0</v>
      </c>
      <c r="AW378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s">
        <v>77</v>
      </c>
      <c r="BF378" t="s">
        <v>57</v>
      </c>
      <c r="BG378" t="s">
        <v>74</v>
      </c>
      <c r="BH378" t="s">
        <v>75</v>
      </c>
      <c r="BI378" t="s">
        <v>55</v>
      </c>
    </row>
    <row r="379" spans="1:61" x14ac:dyDescent="0.25">
      <c r="A379" t="str" cm="1">
        <f t="array" ref="A379">_xlfn.IFS(AS379="RegularSeason",C379,AS379&lt;&gt;"RegularSeason",R379)</f>
        <v>00000000000000000000000000000000</v>
      </c>
      <c r="B379" t="str" cm="1">
        <f t="array" ref="B379">_xlfn.IFS(AS379="RegularSeason",D379,AS379&lt;&gt;"RegularSeason",K379)</f>
        <v>00000000000000000000000000000000</v>
      </c>
      <c r="C379" t="str">
        <f t="shared" si="15"/>
        <v>00000000000000000000000000011001</v>
      </c>
      <c r="D379" t="str">
        <f t="shared" si="16"/>
        <v>00000000000000000000000000100100</v>
      </c>
      <c r="E379" t="str" cm="1">
        <f t="array" ref="E379">_xlfn.XLOOKUP(_xlfn.XLOOKUP(G379,New!A:A,New!M:M,NONE),TeamIdentity!A:A,TeamIdentity!C:C,NONE)</f>
        <v>00011001</v>
      </c>
      <c r="F379" t="str" cm="1">
        <f t="array" ref="F379">_xlfn.XLOOKUP(_xlfn.XLOOKUP(G379,New!A:A,New!F:F,NONE),TeamIdentity!A:A,TeamIdentity!C:C,NONE)</f>
        <v>00100100</v>
      </c>
      <c r="G379" t="str">
        <f t="shared" si="17"/>
        <v>0-0</v>
      </c>
      <c r="H379" t="s">
        <v>88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>
        <v>-2147483648</v>
      </c>
      <c r="T379">
        <v>-2147483648</v>
      </c>
      <c r="U379">
        <v>-2147483648</v>
      </c>
      <c r="V379">
        <v>0</v>
      </c>
      <c r="W379" t="s">
        <v>59</v>
      </c>
      <c r="X379">
        <v>0</v>
      </c>
      <c r="Y379">
        <v>0</v>
      </c>
      <c r="Z379">
        <v>0</v>
      </c>
      <c r="AA379" t="s">
        <v>57</v>
      </c>
      <c r="AB379">
        <v>0</v>
      </c>
      <c r="AC379">
        <v>0</v>
      </c>
      <c r="AD379">
        <v>0</v>
      </c>
      <c r="AE379">
        <v>-100</v>
      </c>
      <c r="AF379" t="s">
        <v>67</v>
      </c>
      <c r="AG379">
        <v>0</v>
      </c>
      <c r="AH379">
        <v>0</v>
      </c>
      <c r="AI379">
        <v>0</v>
      </c>
      <c r="AJ379">
        <v>0</v>
      </c>
      <c r="AK379" t="s">
        <v>60</v>
      </c>
      <c r="AL379">
        <v>0</v>
      </c>
      <c r="AM379">
        <v>0</v>
      </c>
      <c r="AN379">
        <v>0</v>
      </c>
      <c r="AO379">
        <v>0</v>
      </c>
      <c r="AP379" t="b">
        <v>0</v>
      </c>
      <c r="AQ379" t="s">
        <v>55</v>
      </c>
      <c r="AR379" t="s">
        <v>76</v>
      </c>
      <c r="AS379" t="s">
        <v>66</v>
      </c>
      <c r="AT379">
        <v>0</v>
      </c>
      <c r="AU379">
        <v>0</v>
      </c>
      <c r="AV379">
        <v>0</v>
      </c>
      <c r="AW379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s">
        <v>77</v>
      </c>
      <c r="BF379" t="s">
        <v>57</v>
      </c>
      <c r="BG379" t="s">
        <v>74</v>
      </c>
      <c r="BH379" t="s">
        <v>75</v>
      </c>
      <c r="BI379" t="s">
        <v>55</v>
      </c>
    </row>
    <row r="380" spans="1:61" x14ac:dyDescent="0.25">
      <c r="A380" t="str" cm="1">
        <f t="array" ref="A380">_xlfn.IFS(AS380="RegularSeason",C380,AS380&lt;&gt;"RegularSeason",R380)</f>
        <v>00000000000000000000000000000000</v>
      </c>
      <c r="B380" t="str" cm="1">
        <f t="array" ref="B380">_xlfn.IFS(AS380="RegularSeason",D380,AS380&lt;&gt;"RegularSeason",K380)</f>
        <v>00000000000000000000000000000000</v>
      </c>
      <c r="C380" t="str">
        <f t="shared" si="15"/>
        <v>00000000000000000000000000011001</v>
      </c>
      <c r="D380" t="str">
        <f t="shared" si="16"/>
        <v>00000000000000000000000000100100</v>
      </c>
      <c r="E380" t="str" cm="1">
        <f t="array" ref="E380">_xlfn.XLOOKUP(_xlfn.XLOOKUP(G380,New!A:A,New!M:M,NONE),TeamIdentity!A:A,TeamIdentity!C:C,NONE)</f>
        <v>00011001</v>
      </c>
      <c r="F380" t="str" cm="1">
        <f t="array" ref="F380">_xlfn.XLOOKUP(_xlfn.XLOOKUP(G380,New!A:A,New!F:F,NONE),TeamIdentity!A:A,TeamIdentity!C:C,NONE)</f>
        <v>00100100</v>
      </c>
      <c r="G380" t="str">
        <f t="shared" si="17"/>
        <v>0-0</v>
      </c>
      <c r="H380" t="s">
        <v>89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>
        <v>-2147483648</v>
      </c>
      <c r="T380">
        <v>-2147483648</v>
      </c>
      <c r="U380">
        <v>-2147483648</v>
      </c>
      <c r="V380">
        <v>0</v>
      </c>
      <c r="W380" t="s">
        <v>59</v>
      </c>
      <c r="X380">
        <v>0</v>
      </c>
      <c r="Y380">
        <v>0</v>
      </c>
      <c r="Z380">
        <v>0</v>
      </c>
      <c r="AA380" t="s">
        <v>57</v>
      </c>
      <c r="AB380">
        <v>0</v>
      </c>
      <c r="AC380">
        <v>0</v>
      </c>
      <c r="AD380">
        <v>0</v>
      </c>
      <c r="AE380">
        <v>-100</v>
      </c>
      <c r="AF380" t="s">
        <v>67</v>
      </c>
      <c r="AG380">
        <v>0</v>
      </c>
      <c r="AH380">
        <v>0</v>
      </c>
      <c r="AI380">
        <v>0</v>
      </c>
      <c r="AJ380">
        <v>0</v>
      </c>
      <c r="AK380" t="s">
        <v>60</v>
      </c>
      <c r="AL380">
        <v>0</v>
      </c>
      <c r="AM380">
        <v>0</v>
      </c>
      <c r="AN380">
        <v>0</v>
      </c>
      <c r="AO380">
        <v>0</v>
      </c>
      <c r="AP380" t="b">
        <v>0</v>
      </c>
      <c r="AQ380" t="s">
        <v>55</v>
      </c>
      <c r="AR380" t="s">
        <v>76</v>
      </c>
      <c r="AS380" t="s">
        <v>66</v>
      </c>
      <c r="AT380">
        <v>0</v>
      </c>
      <c r="AU380">
        <v>0</v>
      </c>
      <c r="AV380">
        <v>0</v>
      </c>
      <c r="AW380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s">
        <v>77</v>
      </c>
      <c r="BF380" t="s">
        <v>57</v>
      </c>
      <c r="BG380" t="s">
        <v>74</v>
      </c>
      <c r="BH380" t="s">
        <v>75</v>
      </c>
      <c r="BI380" t="s">
        <v>55</v>
      </c>
    </row>
    <row r="381" spans="1:61" x14ac:dyDescent="0.25">
      <c r="A381" t="str" cm="1">
        <f t="array" ref="A381">_xlfn.IFS(AS381="RegularSeason",C381,AS381&lt;&gt;"RegularSeason",R381)</f>
        <v>00000000000000000000000000000000</v>
      </c>
      <c r="B381" t="str" cm="1">
        <f t="array" ref="B381">_xlfn.IFS(AS381="RegularSeason",D381,AS381&lt;&gt;"RegularSeason",K381)</f>
        <v>00000000000000000000000000000000</v>
      </c>
      <c r="C381" t="str">
        <f t="shared" si="15"/>
        <v>00000000000000000000000000011001</v>
      </c>
      <c r="D381" t="str">
        <f t="shared" si="16"/>
        <v>00000000000000000000000000100100</v>
      </c>
      <c r="E381" t="str" cm="1">
        <f t="array" ref="E381">_xlfn.XLOOKUP(_xlfn.XLOOKUP(G381,New!A:A,New!M:M,NONE),TeamIdentity!A:A,TeamIdentity!C:C,NONE)</f>
        <v>00011001</v>
      </c>
      <c r="F381" t="str" cm="1">
        <f t="array" ref="F381">_xlfn.XLOOKUP(_xlfn.XLOOKUP(G381,New!A:A,New!F:F,NONE),TeamIdentity!A:A,TeamIdentity!C:C,NONE)</f>
        <v>00100100</v>
      </c>
      <c r="G381" t="str">
        <f t="shared" si="17"/>
        <v>0-0</v>
      </c>
      <c r="H381" t="s">
        <v>90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>
        <v>-2147483648</v>
      </c>
      <c r="T381">
        <v>-2147483648</v>
      </c>
      <c r="U381">
        <v>-2147483648</v>
      </c>
      <c r="V381">
        <v>0</v>
      </c>
      <c r="W381" t="s">
        <v>59</v>
      </c>
      <c r="X381">
        <v>0</v>
      </c>
      <c r="Y381">
        <v>0</v>
      </c>
      <c r="Z381">
        <v>0</v>
      </c>
      <c r="AA381" t="s">
        <v>57</v>
      </c>
      <c r="AB381">
        <v>0</v>
      </c>
      <c r="AC381">
        <v>0</v>
      </c>
      <c r="AD381">
        <v>0</v>
      </c>
      <c r="AE381">
        <v>-100</v>
      </c>
      <c r="AF381" t="s">
        <v>67</v>
      </c>
      <c r="AG381">
        <v>0</v>
      </c>
      <c r="AH381">
        <v>0</v>
      </c>
      <c r="AI381">
        <v>0</v>
      </c>
      <c r="AJ381">
        <v>0</v>
      </c>
      <c r="AK381" t="s">
        <v>60</v>
      </c>
      <c r="AL381">
        <v>0</v>
      </c>
      <c r="AM381">
        <v>0</v>
      </c>
      <c r="AN381">
        <v>0</v>
      </c>
      <c r="AO381">
        <v>0</v>
      </c>
      <c r="AP381" t="b">
        <v>0</v>
      </c>
      <c r="AQ381" t="s">
        <v>55</v>
      </c>
      <c r="AR381" t="s">
        <v>76</v>
      </c>
      <c r="AS381" t="s">
        <v>66</v>
      </c>
      <c r="AT381">
        <v>0</v>
      </c>
      <c r="AU381">
        <v>0</v>
      </c>
      <c r="AV381">
        <v>0</v>
      </c>
      <c r="AW381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s">
        <v>77</v>
      </c>
      <c r="BF381" t="s">
        <v>57</v>
      </c>
      <c r="BG381" t="s">
        <v>74</v>
      </c>
      <c r="BH381" t="s">
        <v>75</v>
      </c>
      <c r="BI381" t="s">
        <v>55</v>
      </c>
    </row>
    <row r="382" spans="1:61" x14ac:dyDescent="0.25">
      <c r="A382" t="str" cm="1">
        <f t="array" ref="A382">_xlfn.IFS(AS382="RegularSeason",C382,AS382&lt;&gt;"RegularSeason",R382)</f>
        <v>00000000000000000000000000000000</v>
      </c>
      <c r="B382" t="str" cm="1">
        <f t="array" ref="B382">_xlfn.IFS(AS382="RegularSeason",D382,AS382&lt;&gt;"RegularSeason",K382)</f>
        <v>00000000000000000000000000000000</v>
      </c>
      <c r="C382" t="str">
        <f t="shared" si="15"/>
        <v>00000000000000000000000000011001</v>
      </c>
      <c r="D382" t="str">
        <f t="shared" si="16"/>
        <v>00000000000000000000000000100100</v>
      </c>
      <c r="E382" t="str" cm="1">
        <f t="array" ref="E382">_xlfn.XLOOKUP(_xlfn.XLOOKUP(G382,New!A:A,New!M:M,NONE),TeamIdentity!A:A,TeamIdentity!C:C,NONE)</f>
        <v>00011001</v>
      </c>
      <c r="F382" t="str" cm="1">
        <f t="array" ref="F382">_xlfn.XLOOKUP(_xlfn.XLOOKUP(G382,New!A:A,New!F:F,NONE),TeamIdentity!A:A,TeamIdentity!C:C,NONE)</f>
        <v>00100100</v>
      </c>
      <c r="G382" t="str">
        <f t="shared" si="17"/>
        <v>0-0</v>
      </c>
      <c r="H382" t="s">
        <v>91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>
        <v>-2147483648</v>
      </c>
      <c r="T382">
        <v>-2147483648</v>
      </c>
      <c r="U382">
        <v>-2147483648</v>
      </c>
      <c r="V382">
        <v>0</v>
      </c>
      <c r="W382" t="s">
        <v>59</v>
      </c>
      <c r="X382">
        <v>0</v>
      </c>
      <c r="Y382">
        <v>0</v>
      </c>
      <c r="Z382">
        <v>0</v>
      </c>
      <c r="AA382" t="s">
        <v>57</v>
      </c>
      <c r="AB382">
        <v>0</v>
      </c>
      <c r="AC382">
        <v>0</v>
      </c>
      <c r="AD382">
        <v>0</v>
      </c>
      <c r="AE382">
        <v>-100</v>
      </c>
      <c r="AF382" t="s">
        <v>67</v>
      </c>
      <c r="AG382">
        <v>0</v>
      </c>
      <c r="AH382">
        <v>0</v>
      </c>
      <c r="AI382">
        <v>0</v>
      </c>
      <c r="AJ382">
        <v>0</v>
      </c>
      <c r="AK382" t="s">
        <v>60</v>
      </c>
      <c r="AL382">
        <v>0</v>
      </c>
      <c r="AM382">
        <v>0</v>
      </c>
      <c r="AN382">
        <v>0</v>
      </c>
      <c r="AO382">
        <v>0</v>
      </c>
      <c r="AP382" t="b">
        <v>0</v>
      </c>
      <c r="AQ382" t="s">
        <v>55</v>
      </c>
      <c r="AR382" t="s">
        <v>76</v>
      </c>
      <c r="AS382" t="s">
        <v>66</v>
      </c>
      <c r="AT382">
        <v>0</v>
      </c>
      <c r="AU382">
        <v>0</v>
      </c>
      <c r="AV382">
        <v>0</v>
      </c>
      <c r="AW382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s">
        <v>77</v>
      </c>
      <c r="BF382" t="s">
        <v>57</v>
      </c>
      <c r="BG382" t="s">
        <v>74</v>
      </c>
      <c r="BH382" t="s">
        <v>75</v>
      </c>
      <c r="BI382" t="s">
        <v>55</v>
      </c>
    </row>
    <row r="383" spans="1:61" x14ac:dyDescent="0.25">
      <c r="A383" t="str" cm="1">
        <f t="array" ref="A383">_xlfn.IFS(AS383="RegularSeason",C383,AS383&lt;&gt;"RegularSeason",R383)</f>
        <v>00000000000000000000000000000000</v>
      </c>
      <c r="B383" t="str" cm="1">
        <f t="array" ref="B383">_xlfn.IFS(AS383="RegularSeason",D383,AS383&lt;&gt;"RegularSeason",K383)</f>
        <v>00000000000000000000000000000000</v>
      </c>
      <c r="C383" t="str">
        <f t="shared" si="15"/>
        <v>00000000000000000000000000011001</v>
      </c>
      <c r="D383" t="str">
        <f t="shared" si="16"/>
        <v>00000000000000000000000000100100</v>
      </c>
      <c r="E383" t="str" cm="1">
        <f t="array" ref="E383">_xlfn.XLOOKUP(_xlfn.XLOOKUP(G383,New!A:A,New!M:M,NONE),TeamIdentity!A:A,TeamIdentity!C:C,NONE)</f>
        <v>00011001</v>
      </c>
      <c r="F383" t="str" cm="1">
        <f t="array" ref="F383">_xlfn.XLOOKUP(_xlfn.XLOOKUP(G383,New!A:A,New!F:F,NONE),TeamIdentity!A:A,TeamIdentity!C:C,NONE)</f>
        <v>00100100</v>
      </c>
      <c r="G383" t="str">
        <f t="shared" si="17"/>
        <v>0-0</v>
      </c>
      <c r="H383" t="s">
        <v>92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>
        <v>-2147483648</v>
      </c>
      <c r="T383">
        <v>-2147483648</v>
      </c>
      <c r="U383">
        <v>-2147483648</v>
      </c>
      <c r="V383">
        <v>0</v>
      </c>
      <c r="W383" t="s">
        <v>59</v>
      </c>
      <c r="X383">
        <v>0</v>
      </c>
      <c r="Y383">
        <v>0</v>
      </c>
      <c r="Z383">
        <v>0</v>
      </c>
      <c r="AA383" t="s">
        <v>57</v>
      </c>
      <c r="AB383">
        <v>0</v>
      </c>
      <c r="AC383">
        <v>0</v>
      </c>
      <c r="AD383">
        <v>0</v>
      </c>
      <c r="AE383">
        <v>-100</v>
      </c>
      <c r="AF383" t="s">
        <v>67</v>
      </c>
      <c r="AG383">
        <v>0</v>
      </c>
      <c r="AH383">
        <v>0</v>
      </c>
      <c r="AI383">
        <v>0</v>
      </c>
      <c r="AJ383">
        <v>0</v>
      </c>
      <c r="AK383" t="s">
        <v>60</v>
      </c>
      <c r="AL383">
        <v>0</v>
      </c>
      <c r="AM383">
        <v>0</v>
      </c>
      <c r="AN383">
        <v>0</v>
      </c>
      <c r="AO383">
        <v>0</v>
      </c>
      <c r="AP383" t="b">
        <v>0</v>
      </c>
      <c r="AQ383" t="s">
        <v>55</v>
      </c>
      <c r="AR383" t="s">
        <v>76</v>
      </c>
      <c r="AS383" t="s">
        <v>66</v>
      </c>
      <c r="AT383">
        <v>0</v>
      </c>
      <c r="AU383">
        <v>0</v>
      </c>
      <c r="AV383">
        <v>0</v>
      </c>
      <c r="AW383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s">
        <v>77</v>
      </c>
      <c r="BF383" t="s">
        <v>57</v>
      </c>
      <c r="BG383" t="s">
        <v>74</v>
      </c>
      <c r="BH383" t="s">
        <v>75</v>
      </c>
      <c r="BI383" t="s">
        <v>55</v>
      </c>
    </row>
    <row r="384" spans="1:61" x14ac:dyDescent="0.25">
      <c r="A384" t="str" cm="1">
        <f t="array" ref="A384">_xlfn.IFS(AS384="RegularSeason",C384,AS384&lt;&gt;"RegularSeason",R384)</f>
        <v>00000000000000000000000000000000</v>
      </c>
      <c r="B384" t="str" cm="1">
        <f t="array" ref="B384">_xlfn.IFS(AS384="RegularSeason",D384,AS384&lt;&gt;"RegularSeason",K384)</f>
        <v>00000000000000000000000000000000</v>
      </c>
      <c r="C384" t="str">
        <f t="shared" si="15"/>
        <v>00000000000000000000000000011001</v>
      </c>
      <c r="D384" t="str">
        <f t="shared" si="16"/>
        <v>00000000000000000000000000100100</v>
      </c>
      <c r="E384" t="str" cm="1">
        <f t="array" ref="E384">_xlfn.XLOOKUP(_xlfn.XLOOKUP(G384,New!A:A,New!M:M,NONE),TeamIdentity!A:A,TeamIdentity!C:C,NONE)</f>
        <v>00011001</v>
      </c>
      <c r="F384" t="str" cm="1">
        <f t="array" ref="F384">_xlfn.XLOOKUP(_xlfn.XLOOKUP(G384,New!A:A,New!F:F,NONE),TeamIdentity!A:A,TeamIdentity!C:C,NONE)</f>
        <v>00100100</v>
      </c>
      <c r="G384" t="str">
        <f t="shared" si="17"/>
        <v>0-0</v>
      </c>
      <c r="H384" t="s">
        <v>93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>
        <v>-2147483648</v>
      </c>
      <c r="T384">
        <v>-2147483648</v>
      </c>
      <c r="U384">
        <v>-2147483648</v>
      </c>
      <c r="V384">
        <v>0</v>
      </c>
      <c r="W384" t="s">
        <v>59</v>
      </c>
      <c r="X384">
        <v>0</v>
      </c>
      <c r="Y384">
        <v>0</v>
      </c>
      <c r="Z384">
        <v>0</v>
      </c>
      <c r="AA384" t="s">
        <v>57</v>
      </c>
      <c r="AB384">
        <v>0</v>
      </c>
      <c r="AC384">
        <v>0</v>
      </c>
      <c r="AD384">
        <v>0</v>
      </c>
      <c r="AE384">
        <v>-100</v>
      </c>
      <c r="AF384" t="s">
        <v>67</v>
      </c>
      <c r="AG384">
        <v>0</v>
      </c>
      <c r="AH384">
        <v>0</v>
      </c>
      <c r="AI384">
        <v>0</v>
      </c>
      <c r="AJ384">
        <v>0</v>
      </c>
      <c r="AK384" t="s">
        <v>60</v>
      </c>
      <c r="AL384">
        <v>0</v>
      </c>
      <c r="AM384">
        <v>0</v>
      </c>
      <c r="AN384">
        <v>0</v>
      </c>
      <c r="AO384">
        <v>0</v>
      </c>
      <c r="AP384" t="b">
        <v>0</v>
      </c>
      <c r="AQ384" t="s">
        <v>55</v>
      </c>
      <c r="AR384" t="s">
        <v>76</v>
      </c>
      <c r="AS384" t="s">
        <v>66</v>
      </c>
      <c r="AT384">
        <v>0</v>
      </c>
      <c r="AU384">
        <v>0</v>
      </c>
      <c r="AV384">
        <v>0</v>
      </c>
      <c r="AW384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s">
        <v>77</v>
      </c>
      <c r="BF384" t="s">
        <v>57</v>
      </c>
      <c r="BG384" t="s">
        <v>74</v>
      </c>
      <c r="BH384" t="s">
        <v>75</v>
      </c>
      <c r="BI384" t="s">
        <v>55</v>
      </c>
    </row>
    <row r="385" spans="1:61" x14ac:dyDescent="0.25">
      <c r="A385" t="str" cm="1">
        <f t="array" ref="A385">_xlfn.IFS(AS385="RegularSeason",C385,AS385&lt;&gt;"RegularSeason",R385)</f>
        <v>00000000000000000000000000000000</v>
      </c>
      <c r="B385" t="str" cm="1">
        <f t="array" ref="B385">_xlfn.IFS(AS385="RegularSeason",D385,AS385&lt;&gt;"RegularSeason",K385)</f>
        <v>00000000000000000000000000000000</v>
      </c>
      <c r="C385" t="str">
        <f t="shared" si="15"/>
        <v>00000000000000000000000000011001</v>
      </c>
      <c r="D385" t="str">
        <f t="shared" si="16"/>
        <v>00000000000000000000000000100100</v>
      </c>
      <c r="E385" t="str" cm="1">
        <f t="array" ref="E385">_xlfn.XLOOKUP(_xlfn.XLOOKUP(G385,New!A:A,New!M:M,NONE),TeamIdentity!A:A,TeamIdentity!C:C,NONE)</f>
        <v>00011001</v>
      </c>
      <c r="F385" t="str" cm="1">
        <f t="array" ref="F385">_xlfn.XLOOKUP(_xlfn.XLOOKUP(G385,New!A:A,New!F:F,NONE),TeamIdentity!A:A,TeamIdentity!C:C,NONE)</f>
        <v>00100100</v>
      </c>
      <c r="G385" t="str">
        <f t="shared" si="17"/>
        <v>0-0</v>
      </c>
      <c r="H385" t="s">
        <v>94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>
        <v>-2147483648</v>
      </c>
      <c r="T385">
        <v>-2147483648</v>
      </c>
      <c r="U385">
        <v>-2147483648</v>
      </c>
      <c r="V385">
        <v>0</v>
      </c>
      <c r="W385" t="s">
        <v>59</v>
      </c>
      <c r="X385">
        <v>0</v>
      </c>
      <c r="Y385">
        <v>0</v>
      </c>
      <c r="Z385">
        <v>0</v>
      </c>
      <c r="AA385" t="s">
        <v>57</v>
      </c>
      <c r="AB385">
        <v>0</v>
      </c>
      <c r="AC385">
        <v>0</v>
      </c>
      <c r="AD385">
        <v>0</v>
      </c>
      <c r="AE385">
        <v>-100</v>
      </c>
      <c r="AF385" t="s">
        <v>67</v>
      </c>
      <c r="AG385">
        <v>0</v>
      </c>
      <c r="AH385">
        <v>0</v>
      </c>
      <c r="AI385">
        <v>0</v>
      </c>
      <c r="AJ385">
        <v>0</v>
      </c>
      <c r="AK385" t="s">
        <v>60</v>
      </c>
      <c r="AL385">
        <v>0</v>
      </c>
      <c r="AM385">
        <v>0</v>
      </c>
      <c r="AN385">
        <v>0</v>
      </c>
      <c r="AO385">
        <v>0</v>
      </c>
      <c r="AP385" t="b">
        <v>0</v>
      </c>
      <c r="AQ385" t="s">
        <v>55</v>
      </c>
      <c r="AR385" t="s">
        <v>76</v>
      </c>
      <c r="AS385" t="s">
        <v>66</v>
      </c>
      <c r="AT385">
        <v>0</v>
      </c>
      <c r="AU385">
        <v>0</v>
      </c>
      <c r="AV385">
        <v>0</v>
      </c>
      <c r="AW385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s">
        <v>77</v>
      </c>
      <c r="BF385" t="s">
        <v>57</v>
      </c>
      <c r="BG385" t="s">
        <v>74</v>
      </c>
      <c r="BH385" t="s">
        <v>75</v>
      </c>
      <c r="BI385" t="s">
        <v>55</v>
      </c>
    </row>
    <row r="386" spans="1:61" x14ac:dyDescent="0.25">
      <c r="A386" t="str" cm="1">
        <f t="array" ref="A386">_xlfn.IFS(AS386="RegularSeason",C386,AS386&lt;&gt;"RegularSeason",R386)</f>
        <v>00000000000000000000000000000000</v>
      </c>
      <c r="B386" t="str" cm="1">
        <f t="array" ref="B386">_xlfn.IFS(AS386="RegularSeason",D386,AS386&lt;&gt;"RegularSeason",K386)</f>
        <v>00000000000000000000000000000000</v>
      </c>
      <c r="C386" t="str">
        <f t="shared" si="15"/>
        <v>00000000000000000000000000011001</v>
      </c>
      <c r="D386" t="str">
        <f t="shared" si="16"/>
        <v>00000000000000000000000000100100</v>
      </c>
      <c r="E386" t="str" cm="1">
        <f t="array" ref="E386">_xlfn.XLOOKUP(_xlfn.XLOOKUP(G386,New!A:A,New!M:M,NONE),TeamIdentity!A:A,TeamIdentity!C:C,NONE)</f>
        <v>00011001</v>
      </c>
      <c r="F386" t="str" cm="1">
        <f t="array" ref="F386">_xlfn.XLOOKUP(_xlfn.XLOOKUP(G386,New!A:A,New!F:F,NONE),TeamIdentity!A:A,TeamIdentity!C:C,NONE)</f>
        <v>00100100</v>
      </c>
      <c r="G386" t="str">
        <f t="shared" si="17"/>
        <v>0-0</v>
      </c>
      <c r="H386" t="s">
        <v>95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>
        <v>-2147483648</v>
      </c>
      <c r="T386">
        <v>-2147483648</v>
      </c>
      <c r="U386">
        <v>-2147483648</v>
      </c>
      <c r="V386">
        <v>0</v>
      </c>
      <c r="W386" t="s">
        <v>59</v>
      </c>
      <c r="X386">
        <v>0</v>
      </c>
      <c r="Y386">
        <v>0</v>
      </c>
      <c r="Z386">
        <v>0</v>
      </c>
      <c r="AA386" t="s">
        <v>57</v>
      </c>
      <c r="AB386">
        <v>0</v>
      </c>
      <c r="AC386">
        <v>0</v>
      </c>
      <c r="AD386">
        <v>0</v>
      </c>
      <c r="AE386">
        <v>-100</v>
      </c>
      <c r="AF386" t="s">
        <v>67</v>
      </c>
      <c r="AG386">
        <v>0</v>
      </c>
      <c r="AH386">
        <v>0</v>
      </c>
      <c r="AI386">
        <v>0</v>
      </c>
      <c r="AJ386">
        <v>0</v>
      </c>
      <c r="AK386" t="s">
        <v>60</v>
      </c>
      <c r="AL386">
        <v>0</v>
      </c>
      <c r="AM386">
        <v>0</v>
      </c>
      <c r="AN386">
        <v>0</v>
      </c>
      <c r="AO386">
        <v>0</v>
      </c>
      <c r="AP386" t="b">
        <v>0</v>
      </c>
      <c r="AQ386" t="s">
        <v>55</v>
      </c>
      <c r="AR386" t="s">
        <v>76</v>
      </c>
      <c r="AS386" t="s">
        <v>66</v>
      </c>
      <c r="AT386">
        <v>0</v>
      </c>
      <c r="AU386">
        <v>0</v>
      </c>
      <c r="AV386">
        <v>0</v>
      </c>
      <c r="AW386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s">
        <v>77</v>
      </c>
      <c r="BF386" t="s">
        <v>57</v>
      </c>
      <c r="BG386" t="s">
        <v>74</v>
      </c>
      <c r="BH386" t="s">
        <v>75</v>
      </c>
      <c r="BI386" t="s">
        <v>55</v>
      </c>
    </row>
    <row r="387" spans="1:61" x14ac:dyDescent="0.25">
      <c r="A387" t="str" cm="1">
        <f t="array" ref="A387">_xlfn.IFS(AS387="RegularSeason",C387,AS387&lt;&gt;"RegularSeason",R387)</f>
        <v>00000000000000000000000000000000</v>
      </c>
      <c r="B387" t="str" cm="1">
        <f t="array" ref="B387">_xlfn.IFS(AS387="RegularSeason",D387,AS387&lt;&gt;"RegularSeason",K387)</f>
        <v>00000000000000000000000000000000</v>
      </c>
      <c r="C387" t="str">
        <f t="shared" ref="C387:C430" si="18">_xlfn.CONCAT(LEFT(R387,24),E387)</f>
        <v>00000000000000000000000000011001</v>
      </c>
      <c r="D387" t="str">
        <f t="shared" ref="D387:D430" si="19">_xlfn.CONCAT(LEFT(K387,24),F387)</f>
        <v>00000000000000000000000000100100</v>
      </c>
      <c r="E387" t="str" cm="1">
        <f t="array" ref="E387">_xlfn.XLOOKUP(_xlfn.XLOOKUP(G387,New!A:A,New!M:M,NONE),TeamIdentity!A:A,TeamIdentity!C:C,NONE)</f>
        <v>00011001</v>
      </c>
      <c r="F387" t="str" cm="1">
        <f t="array" ref="F387">_xlfn.XLOOKUP(_xlfn.XLOOKUP(G387,New!A:A,New!F:F,NONE),TeamIdentity!A:A,TeamIdentity!C:C,NONE)</f>
        <v>00100100</v>
      </c>
      <c r="G387" t="str">
        <f t="shared" ref="G387:G430" si="20">_xlfn.CONCAT(AU387,"-",AV387)</f>
        <v>0-0</v>
      </c>
      <c r="H387" t="s">
        <v>96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>
        <v>-2147483648</v>
      </c>
      <c r="T387">
        <v>-2147483648</v>
      </c>
      <c r="U387">
        <v>-2147483648</v>
      </c>
      <c r="V387">
        <v>0</v>
      </c>
      <c r="W387" t="s">
        <v>59</v>
      </c>
      <c r="X387">
        <v>0</v>
      </c>
      <c r="Y387">
        <v>0</v>
      </c>
      <c r="Z387">
        <v>0</v>
      </c>
      <c r="AA387" t="s">
        <v>57</v>
      </c>
      <c r="AB387">
        <v>0</v>
      </c>
      <c r="AC387">
        <v>0</v>
      </c>
      <c r="AD387">
        <v>0</v>
      </c>
      <c r="AE387">
        <v>-100</v>
      </c>
      <c r="AF387" t="s">
        <v>67</v>
      </c>
      <c r="AG387">
        <v>0</v>
      </c>
      <c r="AH387">
        <v>0</v>
      </c>
      <c r="AI387">
        <v>0</v>
      </c>
      <c r="AJ387">
        <v>0</v>
      </c>
      <c r="AK387" t="s">
        <v>60</v>
      </c>
      <c r="AL387">
        <v>0</v>
      </c>
      <c r="AM387">
        <v>0</v>
      </c>
      <c r="AN387">
        <v>0</v>
      </c>
      <c r="AO387">
        <v>0</v>
      </c>
      <c r="AP387" t="b">
        <v>0</v>
      </c>
      <c r="AQ387" t="s">
        <v>55</v>
      </c>
      <c r="AR387" t="s">
        <v>76</v>
      </c>
      <c r="AS387" t="s">
        <v>66</v>
      </c>
      <c r="AT387">
        <v>0</v>
      </c>
      <c r="AU387">
        <v>0</v>
      </c>
      <c r="AV387">
        <v>0</v>
      </c>
      <c r="AW387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s">
        <v>77</v>
      </c>
      <c r="BF387" t="s">
        <v>57</v>
      </c>
      <c r="BG387" t="s">
        <v>74</v>
      </c>
      <c r="BH387" t="s">
        <v>75</v>
      </c>
      <c r="BI387" t="s">
        <v>55</v>
      </c>
    </row>
    <row r="388" spans="1:61" x14ac:dyDescent="0.25">
      <c r="A388" t="str" cm="1">
        <f t="array" ref="A388">_xlfn.IFS(AS388="RegularSeason",C388,AS388&lt;&gt;"RegularSeason",R388)</f>
        <v>00000000000000000000000000000000</v>
      </c>
      <c r="B388" t="str" cm="1">
        <f t="array" ref="B388">_xlfn.IFS(AS388="RegularSeason",D388,AS388&lt;&gt;"RegularSeason",K388)</f>
        <v>00000000000000000000000000000000</v>
      </c>
      <c r="C388" t="str">
        <f t="shared" si="18"/>
        <v>00000000000000000000000000011001</v>
      </c>
      <c r="D388" t="str">
        <f t="shared" si="19"/>
        <v>00000000000000000000000000100100</v>
      </c>
      <c r="E388" t="str" cm="1">
        <f t="array" ref="E388">_xlfn.XLOOKUP(_xlfn.XLOOKUP(G388,New!A:A,New!M:M,NONE),TeamIdentity!A:A,TeamIdentity!C:C,NONE)</f>
        <v>00011001</v>
      </c>
      <c r="F388" t="str" cm="1">
        <f t="array" ref="F388">_xlfn.XLOOKUP(_xlfn.XLOOKUP(G388,New!A:A,New!F:F,NONE),TeamIdentity!A:A,TeamIdentity!C:C,NONE)</f>
        <v>00100100</v>
      </c>
      <c r="G388" t="str">
        <f t="shared" si="20"/>
        <v>0-0</v>
      </c>
      <c r="H388" t="s">
        <v>97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>
        <v>-2147483648</v>
      </c>
      <c r="T388">
        <v>-2147483648</v>
      </c>
      <c r="U388">
        <v>-2147483648</v>
      </c>
      <c r="V388">
        <v>0</v>
      </c>
      <c r="W388" t="s">
        <v>59</v>
      </c>
      <c r="X388">
        <v>0</v>
      </c>
      <c r="Y388">
        <v>0</v>
      </c>
      <c r="Z388">
        <v>0</v>
      </c>
      <c r="AA388" t="s">
        <v>57</v>
      </c>
      <c r="AB388">
        <v>0</v>
      </c>
      <c r="AC388">
        <v>0</v>
      </c>
      <c r="AD388">
        <v>0</v>
      </c>
      <c r="AE388">
        <v>-100</v>
      </c>
      <c r="AF388" t="s">
        <v>67</v>
      </c>
      <c r="AG388">
        <v>0</v>
      </c>
      <c r="AH388">
        <v>0</v>
      </c>
      <c r="AI388">
        <v>0</v>
      </c>
      <c r="AJ388">
        <v>0</v>
      </c>
      <c r="AK388" t="s">
        <v>60</v>
      </c>
      <c r="AL388">
        <v>0</v>
      </c>
      <c r="AM388">
        <v>0</v>
      </c>
      <c r="AN388">
        <v>0</v>
      </c>
      <c r="AO388">
        <v>0</v>
      </c>
      <c r="AP388" t="b">
        <v>0</v>
      </c>
      <c r="AQ388" t="s">
        <v>55</v>
      </c>
      <c r="AR388" t="s">
        <v>76</v>
      </c>
      <c r="AS388" t="s">
        <v>66</v>
      </c>
      <c r="AT388">
        <v>0</v>
      </c>
      <c r="AU388">
        <v>0</v>
      </c>
      <c r="AV388">
        <v>0</v>
      </c>
      <c r="AW388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s">
        <v>77</v>
      </c>
      <c r="BF388" t="s">
        <v>57</v>
      </c>
      <c r="BG388" t="s">
        <v>74</v>
      </c>
      <c r="BH388" t="s">
        <v>75</v>
      </c>
      <c r="BI388" t="s">
        <v>55</v>
      </c>
    </row>
    <row r="389" spans="1:61" x14ac:dyDescent="0.25">
      <c r="A389" t="str" cm="1">
        <f t="array" ref="A389">_xlfn.IFS(AS389="RegularSeason",C389,AS389&lt;&gt;"RegularSeason",R389)</f>
        <v>00000000000000000000000000000000</v>
      </c>
      <c r="B389" t="str" cm="1">
        <f t="array" ref="B389">_xlfn.IFS(AS389="RegularSeason",D389,AS389&lt;&gt;"RegularSeason",K389)</f>
        <v>00000000000000000000000000000000</v>
      </c>
      <c r="C389" t="str">
        <f t="shared" si="18"/>
        <v>00000000000000000000000000011001</v>
      </c>
      <c r="D389" t="str">
        <f t="shared" si="19"/>
        <v>00000000000000000000000000100100</v>
      </c>
      <c r="E389" t="str" cm="1">
        <f t="array" ref="E389">_xlfn.XLOOKUP(_xlfn.XLOOKUP(G389,New!A:A,New!M:M,NONE),TeamIdentity!A:A,TeamIdentity!C:C,NONE)</f>
        <v>00011001</v>
      </c>
      <c r="F389" t="str" cm="1">
        <f t="array" ref="F389">_xlfn.XLOOKUP(_xlfn.XLOOKUP(G389,New!A:A,New!F:F,NONE),TeamIdentity!A:A,TeamIdentity!C:C,NONE)</f>
        <v>00100100</v>
      </c>
      <c r="G389" t="str">
        <f t="shared" si="20"/>
        <v>0-0</v>
      </c>
      <c r="H389" t="s">
        <v>98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>
        <v>-2147483648</v>
      </c>
      <c r="T389">
        <v>-2147483648</v>
      </c>
      <c r="U389">
        <v>-2147483648</v>
      </c>
      <c r="V389">
        <v>0</v>
      </c>
      <c r="W389" t="s">
        <v>59</v>
      </c>
      <c r="X389">
        <v>0</v>
      </c>
      <c r="Y389">
        <v>0</v>
      </c>
      <c r="Z389">
        <v>0</v>
      </c>
      <c r="AA389" t="s">
        <v>57</v>
      </c>
      <c r="AB389">
        <v>0</v>
      </c>
      <c r="AC389">
        <v>0</v>
      </c>
      <c r="AD389">
        <v>0</v>
      </c>
      <c r="AE389">
        <v>-100</v>
      </c>
      <c r="AF389" t="s">
        <v>67</v>
      </c>
      <c r="AG389">
        <v>0</v>
      </c>
      <c r="AH389">
        <v>0</v>
      </c>
      <c r="AI389">
        <v>0</v>
      </c>
      <c r="AJ389">
        <v>0</v>
      </c>
      <c r="AK389" t="s">
        <v>60</v>
      </c>
      <c r="AL389">
        <v>0</v>
      </c>
      <c r="AM389">
        <v>0</v>
      </c>
      <c r="AN389">
        <v>0</v>
      </c>
      <c r="AO389">
        <v>0</v>
      </c>
      <c r="AP389" t="b">
        <v>0</v>
      </c>
      <c r="AQ389" t="s">
        <v>55</v>
      </c>
      <c r="AR389" t="s">
        <v>76</v>
      </c>
      <c r="AS389" t="s">
        <v>66</v>
      </c>
      <c r="AT389">
        <v>0</v>
      </c>
      <c r="AU389">
        <v>0</v>
      </c>
      <c r="AV389">
        <v>0</v>
      </c>
      <c r="AW389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s">
        <v>77</v>
      </c>
      <c r="BF389" t="s">
        <v>57</v>
      </c>
      <c r="BG389" t="s">
        <v>74</v>
      </c>
      <c r="BH389" t="s">
        <v>75</v>
      </c>
      <c r="BI389" t="s">
        <v>55</v>
      </c>
    </row>
    <row r="390" spans="1:61" x14ac:dyDescent="0.25">
      <c r="A390" t="str" cm="1">
        <f t="array" ref="A390">_xlfn.IFS(AS390="RegularSeason",C390,AS390&lt;&gt;"RegularSeason",R390)</f>
        <v>00000000000000000000000000000000</v>
      </c>
      <c r="B390" t="str" cm="1">
        <f t="array" ref="B390">_xlfn.IFS(AS390="RegularSeason",D390,AS390&lt;&gt;"RegularSeason",K390)</f>
        <v>00000000000000000000000000000000</v>
      </c>
      <c r="C390" t="str">
        <f t="shared" si="18"/>
        <v>00000000000000000000000000011001</v>
      </c>
      <c r="D390" t="str">
        <f t="shared" si="19"/>
        <v>00000000000000000000000000100100</v>
      </c>
      <c r="E390" t="str" cm="1">
        <f t="array" ref="E390">_xlfn.XLOOKUP(_xlfn.XLOOKUP(G390,New!A:A,New!M:M,NONE),TeamIdentity!A:A,TeamIdentity!C:C,NONE)</f>
        <v>00011001</v>
      </c>
      <c r="F390" t="str" cm="1">
        <f t="array" ref="F390">_xlfn.XLOOKUP(_xlfn.XLOOKUP(G390,New!A:A,New!F:F,NONE),TeamIdentity!A:A,TeamIdentity!C:C,NONE)</f>
        <v>00100100</v>
      </c>
      <c r="G390" t="str">
        <f t="shared" si="20"/>
        <v>0-0</v>
      </c>
      <c r="H390" t="s">
        <v>99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>
        <v>-2147483648</v>
      </c>
      <c r="T390">
        <v>-2147483648</v>
      </c>
      <c r="U390">
        <v>-2147483648</v>
      </c>
      <c r="V390">
        <v>0</v>
      </c>
      <c r="W390" t="s">
        <v>59</v>
      </c>
      <c r="X390">
        <v>0</v>
      </c>
      <c r="Y390">
        <v>0</v>
      </c>
      <c r="Z390">
        <v>0</v>
      </c>
      <c r="AA390" t="s">
        <v>57</v>
      </c>
      <c r="AB390">
        <v>0</v>
      </c>
      <c r="AC390">
        <v>0</v>
      </c>
      <c r="AD390">
        <v>0</v>
      </c>
      <c r="AE390">
        <v>-100</v>
      </c>
      <c r="AF390" t="s">
        <v>67</v>
      </c>
      <c r="AG390">
        <v>0</v>
      </c>
      <c r="AH390">
        <v>0</v>
      </c>
      <c r="AI390">
        <v>0</v>
      </c>
      <c r="AJ390">
        <v>0</v>
      </c>
      <c r="AK390" t="s">
        <v>60</v>
      </c>
      <c r="AL390">
        <v>0</v>
      </c>
      <c r="AM390">
        <v>0</v>
      </c>
      <c r="AN390">
        <v>0</v>
      </c>
      <c r="AO390">
        <v>0</v>
      </c>
      <c r="AP390" t="b">
        <v>0</v>
      </c>
      <c r="AQ390" t="s">
        <v>55</v>
      </c>
      <c r="AR390" t="s">
        <v>76</v>
      </c>
      <c r="AS390" t="s">
        <v>66</v>
      </c>
      <c r="AT390">
        <v>0</v>
      </c>
      <c r="AU390">
        <v>0</v>
      </c>
      <c r="AV390">
        <v>0</v>
      </c>
      <c r="AW390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s">
        <v>77</v>
      </c>
      <c r="BF390" t="s">
        <v>57</v>
      </c>
      <c r="BG390" t="s">
        <v>74</v>
      </c>
      <c r="BH390" t="s">
        <v>75</v>
      </c>
      <c r="BI390" t="s">
        <v>55</v>
      </c>
    </row>
    <row r="391" spans="1:61" x14ac:dyDescent="0.25">
      <c r="A391" t="str" cm="1">
        <f t="array" ref="A391">_xlfn.IFS(AS391="RegularSeason",C391,AS391&lt;&gt;"RegularSeason",R391)</f>
        <v>00000000000000000000000000000000</v>
      </c>
      <c r="B391" t="str" cm="1">
        <f t="array" ref="B391">_xlfn.IFS(AS391="RegularSeason",D391,AS391&lt;&gt;"RegularSeason",K391)</f>
        <v>00000000000000000000000000000000</v>
      </c>
      <c r="C391" t="str">
        <f t="shared" si="18"/>
        <v>00000000000000000000000000011001</v>
      </c>
      <c r="D391" t="str">
        <f t="shared" si="19"/>
        <v>00000000000000000000000000100100</v>
      </c>
      <c r="E391" t="str" cm="1">
        <f t="array" ref="E391">_xlfn.XLOOKUP(_xlfn.XLOOKUP(G391,New!A:A,New!M:M,NONE),TeamIdentity!A:A,TeamIdentity!C:C,NONE)</f>
        <v>00011001</v>
      </c>
      <c r="F391" t="str" cm="1">
        <f t="array" ref="F391">_xlfn.XLOOKUP(_xlfn.XLOOKUP(G391,New!A:A,New!F:F,NONE),TeamIdentity!A:A,TeamIdentity!C:C,NONE)</f>
        <v>00100100</v>
      </c>
      <c r="G391" t="str">
        <f t="shared" si="20"/>
        <v>0-0</v>
      </c>
      <c r="H391" t="s">
        <v>100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>
        <v>-2147483648</v>
      </c>
      <c r="T391">
        <v>-2147483648</v>
      </c>
      <c r="U391">
        <v>-2147483648</v>
      </c>
      <c r="V391">
        <v>0</v>
      </c>
      <c r="W391" t="s">
        <v>59</v>
      </c>
      <c r="X391">
        <v>0</v>
      </c>
      <c r="Y391">
        <v>0</v>
      </c>
      <c r="Z391">
        <v>0</v>
      </c>
      <c r="AA391" t="s">
        <v>57</v>
      </c>
      <c r="AB391">
        <v>0</v>
      </c>
      <c r="AC391">
        <v>0</v>
      </c>
      <c r="AD391">
        <v>0</v>
      </c>
      <c r="AE391">
        <v>-100</v>
      </c>
      <c r="AF391" t="s">
        <v>67</v>
      </c>
      <c r="AG391">
        <v>0</v>
      </c>
      <c r="AH391">
        <v>0</v>
      </c>
      <c r="AI391">
        <v>0</v>
      </c>
      <c r="AJ391">
        <v>0</v>
      </c>
      <c r="AK391" t="s">
        <v>60</v>
      </c>
      <c r="AL391">
        <v>0</v>
      </c>
      <c r="AM391">
        <v>0</v>
      </c>
      <c r="AN391">
        <v>0</v>
      </c>
      <c r="AO391">
        <v>0</v>
      </c>
      <c r="AP391" t="b">
        <v>0</v>
      </c>
      <c r="AQ391" t="s">
        <v>55</v>
      </c>
      <c r="AR391" t="s">
        <v>76</v>
      </c>
      <c r="AS391" t="s">
        <v>66</v>
      </c>
      <c r="AT391">
        <v>0</v>
      </c>
      <c r="AU391">
        <v>0</v>
      </c>
      <c r="AV391">
        <v>0</v>
      </c>
      <c r="AW391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s">
        <v>77</v>
      </c>
      <c r="BF391" t="s">
        <v>57</v>
      </c>
      <c r="BG391" t="s">
        <v>74</v>
      </c>
      <c r="BH391" t="s">
        <v>75</v>
      </c>
      <c r="BI391" t="s">
        <v>55</v>
      </c>
    </row>
    <row r="392" spans="1:61" x14ac:dyDescent="0.25">
      <c r="A392" t="str" cm="1">
        <f t="array" ref="A392">_xlfn.IFS(AS392="RegularSeason",C392,AS392&lt;&gt;"RegularSeason",R392)</f>
        <v>00000000000000000000000000000000</v>
      </c>
      <c r="B392" t="str" cm="1">
        <f t="array" ref="B392">_xlfn.IFS(AS392="RegularSeason",D392,AS392&lt;&gt;"RegularSeason",K392)</f>
        <v>00000000000000000000000000000000</v>
      </c>
      <c r="C392" t="str">
        <f t="shared" si="18"/>
        <v>00000000000000000000000000011001</v>
      </c>
      <c r="D392" t="str">
        <f t="shared" si="19"/>
        <v>00000000000000000000000000100100</v>
      </c>
      <c r="E392" t="str" cm="1">
        <f t="array" ref="E392">_xlfn.XLOOKUP(_xlfn.XLOOKUP(G392,New!A:A,New!M:M,NONE),TeamIdentity!A:A,TeamIdentity!C:C,NONE)</f>
        <v>00011001</v>
      </c>
      <c r="F392" t="str" cm="1">
        <f t="array" ref="F392">_xlfn.XLOOKUP(_xlfn.XLOOKUP(G392,New!A:A,New!F:F,NONE),TeamIdentity!A:A,TeamIdentity!C:C,NONE)</f>
        <v>00100100</v>
      </c>
      <c r="G392" t="str">
        <f t="shared" si="20"/>
        <v>0-0</v>
      </c>
      <c r="H392" t="s">
        <v>101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>
        <v>-2147483648</v>
      </c>
      <c r="T392">
        <v>-2147483648</v>
      </c>
      <c r="U392">
        <v>-2147483648</v>
      </c>
      <c r="V392">
        <v>0</v>
      </c>
      <c r="W392" t="s">
        <v>59</v>
      </c>
      <c r="X392">
        <v>0</v>
      </c>
      <c r="Y392">
        <v>0</v>
      </c>
      <c r="Z392">
        <v>0</v>
      </c>
      <c r="AA392" t="s">
        <v>57</v>
      </c>
      <c r="AB392">
        <v>0</v>
      </c>
      <c r="AC392">
        <v>0</v>
      </c>
      <c r="AD392">
        <v>0</v>
      </c>
      <c r="AE392">
        <v>-100</v>
      </c>
      <c r="AF392" t="s">
        <v>67</v>
      </c>
      <c r="AG392">
        <v>0</v>
      </c>
      <c r="AH392">
        <v>0</v>
      </c>
      <c r="AI392">
        <v>0</v>
      </c>
      <c r="AJ392">
        <v>0</v>
      </c>
      <c r="AK392" t="s">
        <v>60</v>
      </c>
      <c r="AL392">
        <v>0</v>
      </c>
      <c r="AM392">
        <v>0</v>
      </c>
      <c r="AN392">
        <v>0</v>
      </c>
      <c r="AO392">
        <v>0</v>
      </c>
      <c r="AP392" t="b">
        <v>0</v>
      </c>
      <c r="AQ392" t="s">
        <v>55</v>
      </c>
      <c r="AR392" t="s">
        <v>76</v>
      </c>
      <c r="AS392" t="s">
        <v>66</v>
      </c>
      <c r="AT392">
        <v>0</v>
      </c>
      <c r="AU392">
        <v>0</v>
      </c>
      <c r="AV392">
        <v>0</v>
      </c>
      <c r="AW392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s">
        <v>77</v>
      </c>
      <c r="BF392" t="s">
        <v>57</v>
      </c>
      <c r="BG392" t="s">
        <v>74</v>
      </c>
      <c r="BH392" t="s">
        <v>75</v>
      </c>
      <c r="BI392" t="s">
        <v>55</v>
      </c>
    </row>
    <row r="393" spans="1:61" x14ac:dyDescent="0.25">
      <c r="A393" t="str" cm="1">
        <f t="array" ref="A393">_xlfn.IFS(AS393="RegularSeason",C393,AS393&lt;&gt;"RegularSeason",R393)</f>
        <v>00000000000000000000000000000000</v>
      </c>
      <c r="B393" t="str" cm="1">
        <f t="array" ref="B393">_xlfn.IFS(AS393="RegularSeason",D393,AS393&lt;&gt;"RegularSeason",K393)</f>
        <v>00000000000000000000000000000000</v>
      </c>
      <c r="C393" t="str">
        <f t="shared" si="18"/>
        <v>00000000000000000000000000011001</v>
      </c>
      <c r="D393" t="str">
        <f t="shared" si="19"/>
        <v>00000000000000000000000000100100</v>
      </c>
      <c r="E393" t="str" cm="1">
        <f t="array" ref="E393">_xlfn.XLOOKUP(_xlfn.XLOOKUP(G393,New!A:A,New!M:M,NONE),TeamIdentity!A:A,TeamIdentity!C:C,NONE)</f>
        <v>00011001</v>
      </c>
      <c r="F393" t="str" cm="1">
        <f t="array" ref="F393">_xlfn.XLOOKUP(_xlfn.XLOOKUP(G393,New!A:A,New!F:F,NONE),TeamIdentity!A:A,TeamIdentity!C:C,NONE)</f>
        <v>00100100</v>
      </c>
      <c r="G393" t="str">
        <f t="shared" si="20"/>
        <v>0-0</v>
      </c>
      <c r="H393" t="s">
        <v>102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>
        <v>-2147483648</v>
      </c>
      <c r="T393">
        <v>-2147483648</v>
      </c>
      <c r="U393">
        <v>-2147483648</v>
      </c>
      <c r="V393">
        <v>0</v>
      </c>
      <c r="W393" t="s">
        <v>59</v>
      </c>
      <c r="X393">
        <v>0</v>
      </c>
      <c r="Y393">
        <v>0</v>
      </c>
      <c r="Z393">
        <v>0</v>
      </c>
      <c r="AA393" t="s">
        <v>57</v>
      </c>
      <c r="AB393">
        <v>0</v>
      </c>
      <c r="AC393">
        <v>0</v>
      </c>
      <c r="AD393">
        <v>0</v>
      </c>
      <c r="AE393">
        <v>-100</v>
      </c>
      <c r="AF393" t="s">
        <v>67</v>
      </c>
      <c r="AG393">
        <v>0</v>
      </c>
      <c r="AH393">
        <v>0</v>
      </c>
      <c r="AI393">
        <v>0</v>
      </c>
      <c r="AJ393">
        <v>0</v>
      </c>
      <c r="AK393" t="s">
        <v>60</v>
      </c>
      <c r="AL393">
        <v>0</v>
      </c>
      <c r="AM393">
        <v>0</v>
      </c>
      <c r="AN393">
        <v>0</v>
      </c>
      <c r="AO393">
        <v>0</v>
      </c>
      <c r="AP393" t="b">
        <v>0</v>
      </c>
      <c r="AQ393" t="s">
        <v>55</v>
      </c>
      <c r="AR393" t="s">
        <v>76</v>
      </c>
      <c r="AS393" t="s">
        <v>66</v>
      </c>
      <c r="AT393">
        <v>0</v>
      </c>
      <c r="AU393">
        <v>0</v>
      </c>
      <c r="AV393">
        <v>0</v>
      </c>
      <c r="AW393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s">
        <v>77</v>
      </c>
      <c r="BF393" t="s">
        <v>57</v>
      </c>
      <c r="BG393" t="s">
        <v>74</v>
      </c>
      <c r="BH393" t="s">
        <v>75</v>
      </c>
      <c r="BI393" t="s">
        <v>55</v>
      </c>
    </row>
    <row r="394" spans="1:61" x14ac:dyDescent="0.25">
      <c r="A394" t="str" cm="1">
        <f t="array" ref="A394">_xlfn.IFS(AS394="RegularSeason",C394,AS394&lt;&gt;"RegularSeason",R394)</f>
        <v>00000000000000000000000000000000</v>
      </c>
      <c r="B394" t="str" cm="1">
        <f t="array" ref="B394">_xlfn.IFS(AS394="RegularSeason",D394,AS394&lt;&gt;"RegularSeason",K394)</f>
        <v>00000000000000000000000000000000</v>
      </c>
      <c r="C394" t="str">
        <f t="shared" si="18"/>
        <v>00000000000000000000000000011001</v>
      </c>
      <c r="D394" t="str">
        <f t="shared" si="19"/>
        <v>00000000000000000000000000100100</v>
      </c>
      <c r="E394" t="str" cm="1">
        <f t="array" ref="E394">_xlfn.XLOOKUP(_xlfn.XLOOKUP(G394,New!A:A,New!M:M,NONE),TeamIdentity!A:A,TeamIdentity!C:C,NONE)</f>
        <v>00011001</v>
      </c>
      <c r="F394" t="str" cm="1">
        <f t="array" ref="F394">_xlfn.XLOOKUP(_xlfn.XLOOKUP(G394,New!A:A,New!F:F,NONE),TeamIdentity!A:A,TeamIdentity!C:C,NONE)</f>
        <v>00100100</v>
      </c>
      <c r="G394" t="str">
        <f t="shared" si="20"/>
        <v>0-0</v>
      </c>
      <c r="H394" t="s">
        <v>103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>
        <v>-2147483648</v>
      </c>
      <c r="T394">
        <v>-2147483648</v>
      </c>
      <c r="U394">
        <v>-2147483648</v>
      </c>
      <c r="V394">
        <v>0</v>
      </c>
      <c r="W394" t="s">
        <v>59</v>
      </c>
      <c r="X394">
        <v>0</v>
      </c>
      <c r="Y394">
        <v>0</v>
      </c>
      <c r="Z394">
        <v>0</v>
      </c>
      <c r="AA394" t="s">
        <v>57</v>
      </c>
      <c r="AB394">
        <v>0</v>
      </c>
      <c r="AC394">
        <v>0</v>
      </c>
      <c r="AD394">
        <v>0</v>
      </c>
      <c r="AE394">
        <v>-100</v>
      </c>
      <c r="AF394" t="s">
        <v>67</v>
      </c>
      <c r="AG394">
        <v>0</v>
      </c>
      <c r="AH394">
        <v>0</v>
      </c>
      <c r="AI394">
        <v>0</v>
      </c>
      <c r="AJ394">
        <v>0</v>
      </c>
      <c r="AK394" t="s">
        <v>60</v>
      </c>
      <c r="AL394">
        <v>0</v>
      </c>
      <c r="AM394">
        <v>0</v>
      </c>
      <c r="AN394">
        <v>0</v>
      </c>
      <c r="AO394">
        <v>0</v>
      </c>
      <c r="AP394" t="b">
        <v>0</v>
      </c>
      <c r="AQ394" t="s">
        <v>55</v>
      </c>
      <c r="AR394" t="s">
        <v>76</v>
      </c>
      <c r="AS394" t="s">
        <v>66</v>
      </c>
      <c r="AT394">
        <v>0</v>
      </c>
      <c r="AU394">
        <v>0</v>
      </c>
      <c r="AV394">
        <v>0</v>
      </c>
      <c r="AW394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s">
        <v>77</v>
      </c>
      <c r="BF394" t="s">
        <v>57</v>
      </c>
      <c r="BG394" t="s">
        <v>74</v>
      </c>
      <c r="BH394" t="s">
        <v>75</v>
      </c>
      <c r="BI394" t="s">
        <v>55</v>
      </c>
    </row>
    <row r="395" spans="1:61" x14ac:dyDescent="0.25">
      <c r="A395" t="str" cm="1">
        <f t="array" ref="A395">_xlfn.IFS(AS395="RegularSeason",C395,AS395&lt;&gt;"RegularSeason",R395)</f>
        <v>00000000000000000000000000000000</v>
      </c>
      <c r="B395" t="str" cm="1">
        <f t="array" ref="B395">_xlfn.IFS(AS395="RegularSeason",D395,AS395&lt;&gt;"RegularSeason",K395)</f>
        <v>00000000000000000000000000000000</v>
      </c>
      <c r="C395" t="str">
        <f t="shared" si="18"/>
        <v>00000000000000000000000000011001</v>
      </c>
      <c r="D395" t="str">
        <f t="shared" si="19"/>
        <v>00000000000000000000000000100100</v>
      </c>
      <c r="E395" t="str" cm="1">
        <f t="array" ref="E395">_xlfn.XLOOKUP(_xlfn.XLOOKUP(G395,New!A:A,New!M:M,NONE),TeamIdentity!A:A,TeamIdentity!C:C,NONE)</f>
        <v>00011001</v>
      </c>
      <c r="F395" t="str" cm="1">
        <f t="array" ref="F395">_xlfn.XLOOKUP(_xlfn.XLOOKUP(G395,New!A:A,New!F:F,NONE),TeamIdentity!A:A,TeamIdentity!C:C,NONE)</f>
        <v>00100100</v>
      </c>
      <c r="G395" t="str">
        <f t="shared" si="20"/>
        <v>0-0</v>
      </c>
      <c r="H395" t="s">
        <v>104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>
        <v>-2147483648</v>
      </c>
      <c r="T395">
        <v>-2147483648</v>
      </c>
      <c r="U395">
        <v>-2147483648</v>
      </c>
      <c r="V395">
        <v>0</v>
      </c>
      <c r="W395" t="s">
        <v>59</v>
      </c>
      <c r="X395">
        <v>0</v>
      </c>
      <c r="Y395">
        <v>0</v>
      </c>
      <c r="Z395">
        <v>0</v>
      </c>
      <c r="AA395" t="s">
        <v>57</v>
      </c>
      <c r="AB395">
        <v>0</v>
      </c>
      <c r="AC395">
        <v>0</v>
      </c>
      <c r="AD395">
        <v>0</v>
      </c>
      <c r="AE395">
        <v>-100</v>
      </c>
      <c r="AF395" t="s">
        <v>67</v>
      </c>
      <c r="AG395">
        <v>0</v>
      </c>
      <c r="AH395">
        <v>0</v>
      </c>
      <c r="AI395">
        <v>0</v>
      </c>
      <c r="AJ395">
        <v>0</v>
      </c>
      <c r="AK395" t="s">
        <v>60</v>
      </c>
      <c r="AL395">
        <v>0</v>
      </c>
      <c r="AM395">
        <v>0</v>
      </c>
      <c r="AN395">
        <v>0</v>
      </c>
      <c r="AO395">
        <v>0</v>
      </c>
      <c r="AP395" t="b">
        <v>0</v>
      </c>
      <c r="AQ395" t="s">
        <v>55</v>
      </c>
      <c r="AR395" t="s">
        <v>76</v>
      </c>
      <c r="AS395" t="s">
        <v>66</v>
      </c>
      <c r="AT395">
        <v>0</v>
      </c>
      <c r="AU395">
        <v>0</v>
      </c>
      <c r="AV395">
        <v>0</v>
      </c>
      <c r="AW395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s">
        <v>77</v>
      </c>
      <c r="BF395" t="s">
        <v>57</v>
      </c>
      <c r="BG395" t="s">
        <v>74</v>
      </c>
      <c r="BH395" t="s">
        <v>75</v>
      </c>
      <c r="BI395" t="s">
        <v>55</v>
      </c>
    </row>
    <row r="396" spans="1:61" x14ac:dyDescent="0.25">
      <c r="A396" t="str" cm="1">
        <f t="array" ref="A396">_xlfn.IFS(AS396="RegularSeason",C396,AS396&lt;&gt;"RegularSeason",R396)</f>
        <v>00000000000000000000000000000000</v>
      </c>
      <c r="B396" t="str" cm="1">
        <f t="array" ref="B396">_xlfn.IFS(AS396="RegularSeason",D396,AS396&lt;&gt;"RegularSeason",K396)</f>
        <v>00000000000000000000000000000000</v>
      </c>
      <c r="C396" t="str">
        <f t="shared" si="18"/>
        <v>00000000000000000000000000011001</v>
      </c>
      <c r="D396" t="str">
        <f t="shared" si="19"/>
        <v>00000000000000000000000000100100</v>
      </c>
      <c r="E396" t="str" cm="1">
        <f t="array" ref="E396">_xlfn.XLOOKUP(_xlfn.XLOOKUP(G396,New!A:A,New!M:M,NONE),TeamIdentity!A:A,TeamIdentity!C:C,NONE)</f>
        <v>00011001</v>
      </c>
      <c r="F396" t="str" cm="1">
        <f t="array" ref="F396">_xlfn.XLOOKUP(_xlfn.XLOOKUP(G396,New!A:A,New!F:F,NONE),TeamIdentity!A:A,TeamIdentity!C:C,NONE)</f>
        <v>00100100</v>
      </c>
      <c r="G396" t="str">
        <f t="shared" si="20"/>
        <v>0-0</v>
      </c>
      <c r="H396" t="s">
        <v>105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>
        <v>-2147483648</v>
      </c>
      <c r="T396">
        <v>-2147483648</v>
      </c>
      <c r="U396">
        <v>-2147483648</v>
      </c>
      <c r="V396">
        <v>0</v>
      </c>
      <c r="W396" t="s">
        <v>59</v>
      </c>
      <c r="X396">
        <v>0</v>
      </c>
      <c r="Y396">
        <v>0</v>
      </c>
      <c r="Z396">
        <v>0</v>
      </c>
      <c r="AA396" t="s">
        <v>57</v>
      </c>
      <c r="AB396">
        <v>0</v>
      </c>
      <c r="AC396">
        <v>0</v>
      </c>
      <c r="AD396">
        <v>0</v>
      </c>
      <c r="AE396">
        <v>-100</v>
      </c>
      <c r="AF396" t="s">
        <v>67</v>
      </c>
      <c r="AG396">
        <v>0</v>
      </c>
      <c r="AH396">
        <v>0</v>
      </c>
      <c r="AI396">
        <v>0</v>
      </c>
      <c r="AJ396">
        <v>0</v>
      </c>
      <c r="AK396" t="s">
        <v>60</v>
      </c>
      <c r="AL396">
        <v>0</v>
      </c>
      <c r="AM396">
        <v>0</v>
      </c>
      <c r="AN396">
        <v>0</v>
      </c>
      <c r="AO396">
        <v>0</v>
      </c>
      <c r="AP396" t="b">
        <v>0</v>
      </c>
      <c r="AQ396" t="s">
        <v>55</v>
      </c>
      <c r="AR396" t="s">
        <v>76</v>
      </c>
      <c r="AS396" t="s">
        <v>66</v>
      </c>
      <c r="AT396">
        <v>0</v>
      </c>
      <c r="AU396">
        <v>0</v>
      </c>
      <c r="AV396">
        <v>0</v>
      </c>
      <c r="AW396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s">
        <v>77</v>
      </c>
      <c r="BF396" t="s">
        <v>57</v>
      </c>
      <c r="BG396" t="s">
        <v>74</v>
      </c>
      <c r="BH396" t="s">
        <v>75</v>
      </c>
      <c r="BI396" t="s">
        <v>55</v>
      </c>
    </row>
    <row r="397" spans="1:61" x14ac:dyDescent="0.25">
      <c r="A397" t="str" cm="1">
        <f t="array" ref="A397">_xlfn.IFS(AS397="RegularSeason",C397,AS397&lt;&gt;"RegularSeason",R397)</f>
        <v>00000000000000000000000000000000</v>
      </c>
      <c r="B397" t="str" cm="1">
        <f t="array" ref="B397">_xlfn.IFS(AS397="RegularSeason",D397,AS397&lt;&gt;"RegularSeason",K397)</f>
        <v>00000000000000000000000000000000</v>
      </c>
      <c r="C397" t="str">
        <f t="shared" si="18"/>
        <v>00000000000000000000000000011001</v>
      </c>
      <c r="D397" t="str">
        <f t="shared" si="19"/>
        <v>00000000000000000000000000100100</v>
      </c>
      <c r="E397" t="str" cm="1">
        <f t="array" ref="E397">_xlfn.XLOOKUP(_xlfn.XLOOKUP(G397,New!A:A,New!M:M,NONE),TeamIdentity!A:A,TeamIdentity!C:C,NONE)</f>
        <v>00011001</v>
      </c>
      <c r="F397" t="str" cm="1">
        <f t="array" ref="F397">_xlfn.XLOOKUP(_xlfn.XLOOKUP(G397,New!A:A,New!F:F,NONE),TeamIdentity!A:A,TeamIdentity!C:C,NONE)</f>
        <v>00100100</v>
      </c>
      <c r="G397" t="str">
        <f t="shared" si="20"/>
        <v>0-0</v>
      </c>
      <c r="H397" t="s">
        <v>106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>
        <v>-2147483648</v>
      </c>
      <c r="T397">
        <v>-2147483648</v>
      </c>
      <c r="U397">
        <v>-2147483648</v>
      </c>
      <c r="V397">
        <v>0</v>
      </c>
      <c r="W397" t="s">
        <v>59</v>
      </c>
      <c r="X397">
        <v>0</v>
      </c>
      <c r="Y397">
        <v>0</v>
      </c>
      <c r="Z397">
        <v>0</v>
      </c>
      <c r="AA397" t="s">
        <v>57</v>
      </c>
      <c r="AB397">
        <v>0</v>
      </c>
      <c r="AC397">
        <v>0</v>
      </c>
      <c r="AD397">
        <v>0</v>
      </c>
      <c r="AE397">
        <v>-100</v>
      </c>
      <c r="AF397" t="s">
        <v>67</v>
      </c>
      <c r="AG397">
        <v>0</v>
      </c>
      <c r="AH397">
        <v>0</v>
      </c>
      <c r="AI397">
        <v>0</v>
      </c>
      <c r="AJ397">
        <v>0</v>
      </c>
      <c r="AK397" t="s">
        <v>60</v>
      </c>
      <c r="AL397">
        <v>0</v>
      </c>
      <c r="AM397">
        <v>0</v>
      </c>
      <c r="AN397">
        <v>0</v>
      </c>
      <c r="AO397">
        <v>0</v>
      </c>
      <c r="AP397" t="b">
        <v>0</v>
      </c>
      <c r="AQ397" t="s">
        <v>55</v>
      </c>
      <c r="AR397" t="s">
        <v>76</v>
      </c>
      <c r="AS397" t="s">
        <v>66</v>
      </c>
      <c r="AT397">
        <v>0</v>
      </c>
      <c r="AU397">
        <v>0</v>
      </c>
      <c r="AV397">
        <v>0</v>
      </c>
      <c r="AW397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s">
        <v>77</v>
      </c>
      <c r="BF397" t="s">
        <v>57</v>
      </c>
      <c r="BG397" t="s">
        <v>74</v>
      </c>
      <c r="BH397" t="s">
        <v>75</v>
      </c>
      <c r="BI397" t="s">
        <v>55</v>
      </c>
    </row>
    <row r="398" spans="1:61" x14ac:dyDescent="0.25">
      <c r="A398" t="str" cm="1">
        <f t="array" ref="A398">_xlfn.IFS(AS398="RegularSeason",C398,AS398&lt;&gt;"RegularSeason",R398)</f>
        <v>00000000000000000000000000000000</v>
      </c>
      <c r="B398" t="str" cm="1">
        <f t="array" ref="B398">_xlfn.IFS(AS398="RegularSeason",D398,AS398&lt;&gt;"RegularSeason",K398)</f>
        <v>00000000000000000000000000000000</v>
      </c>
      <c r="C398" t="str">
        <f t="shared" si="18"/>
        <v>00000000000000000000000000011001</v>
      </c>
      <c r="D398" t="str">
        <f t="shared" si="19"/>
        <v>00000000000000000000000000100100</v>
      </c>
      <c r="E398" t="str" cm="1">
        <f t="array" ref="E398">_xlfn.XLOOKUP(_xlfn.XLOOKUP(G398,New!A:A,New!M:M,NONE),TeamIdentity!A:A,TeamIdentity!C:C,NONE)</f>
        <v>00011001</v>
      </c>
      <c r="F398" t="str" cm="1">
        <f t="array" ref="F398">_xlfn.XLOOKUP(_xlfn.XLOOKUP(G398,New!A:A,New!F:F,NONE),TeamIdentity!A:A,TeamIdentity!C:C,NONE)</f>
        <v>00100100</v>
      </c>
      <c r="G398" t="str">
        <f t="shared" si="20"/>
        <v>0-0</v>
      </c>
      <c r="H398" t="s">
        <v>107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>
        <v>-2147483648</v>
      </c>
      <c r="T398">
        <v>-2147483648</v>
      </c>
      <c r="U398">
        <v>-2147483648</v>
      </c>
      <c r="V398">
        <v>0</v>
      </c>
      <c r="W398" t="s">
        <v>59</v>
      </c>
      <c r="X398">
        <v>0</v>
      </c>
      <c r="Y398">
        <v>0</v>
      </c>
      <c r="Z398">
        <v>0</v>
      </c>
      <c r="AA398" t="s">
        <v>57</v>
      </c>
      <c r="AB398">
        <v>0</v>
      </c>
      <c r="AC398">
        <v>0</v>
      </c>
      <c r="AD398">
        <v>0</v>
      </c>
      <c r="AE398">
        <v>-100</v>
      </c>
      <c r="AF398" t="s">
        <v>67</v>
      </c>
      <c r="AG398">
        <v>0</v>
      </c>
      <c r="AH398">
        <v>0</v>
      </c>
      <c r="AI398">
        <v>0</v>
      </c>
      <c r="AJ398">
        <v>0</v>
      </c>
      <c r="AK398" t="s">
        <v>60</v>
      </c>
      <c r="AL398">
        <v>0</v>
      </c>
      <c r="AM398">
        <v>0</v>
      </c>
      <c r="AN398">
        <v>0</v>
      </c>
      <c r="AO398">
        <v>0</v>
      </c>
      <c r="AP398" t="b">
        <v>0</v>
      </c>
      <c r="AQ398" t="s">
        <v>55</v>
      </c>
      <c r="AR398" t="s">
        <v>76</v>
      </c>
      <c r="AS398" t="s">
        <v>66</v>
      </c>
      <c r="AT398">
        <v>0</v>
      </c>
      <c r="AU398">
        <v>0</v>
      </c>
      <c r="AV398">
        <v>0</v>
      </c>
      <c r="AW398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s">
        <v>77</v>
      </c>
      <c r="BF398" t="s">
        <v>57</v>
      </c>
      <c r="BG398" t="s">
        <v>74</v>
      </c>
      <c r="BH398" t="s">
        <v>75</v>
      </c>
      <c r="BI398" t="s">
        <v>55</v>
      </c>
    </row>
    <row r="399" spans="1:61" x14ac:dyDescent="0.25">
      <c r="A399" t="str" cm="1">
        <f t="array" ref="A399">_xlfn.IFS(AS399="RegularSeason",C399,AS399&lt;&gt;"RegularSeason",R399)</f>
        <v>00000000000000000000000000000000</v>
      </c>
      <c r="B399" t="str" cm="1">
        <f t="array" ref="B399">_xlfn.IFS(AS399="RegularSeason",D399,AS399&lt;&gt;"RegularSeason",K399)</f>
        <v>00000000000000000000000000000000</v>
      </c>
      <c r="C399" t="str">
        <f t="shared" si="18"/>
        <v>00000000000000000000000000011001</v>
      </c>
      <c r="D399" t="str">
        <f t="shared" si="19"/>
        <v>00000000000000000000000000100100</v>
      </c>
      <c r="E399" t="str" cm="1">
        <f t="array" ref="E399">_xlfn.XLOOKUP(_xlfn.XLOOKUP(G399,New!A:A,New!M:M,NONE),TeamIdentity!A:A,TeamIdentity!C:C,NONE)</f>
        <v>00011001</v>
      </c>
      <c r="F399" t="str" cm="1">
        <f t="array" ref="F399">_xlfn.XLOOKUP(_xlfn.XLOOKUP(G399,New!A:A,New!F:F,NONE),TeamIdentity!A:A,TeamIdentity!C:C,NONE)</f>
        <v>00100100</v>
      </c>
      <c r="G399" t="str">
        <f t="shared" si="20"/>
        <v>0-0</v>
      </c>
      <c r="H399" t="s">
        <v>108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>
        <v>-2147483648</v>
      </c>
      <c r="T399">
        <v>-2147483648</v>
      </c>
      <c r="U399">
        <v>-2147483648</v>
      </c>
      <c r="V399">
        <v>0</v>
      </c>
      <c r="W399" t="s">
        <v>59</v>
      </c>
      <c r="X399">
        <v>0</v>
      </c>
      <c r="Y399">
        <v>0</v>
      </c>
      <c r="Z399">
        <v>0</v>
      </c>
      <c r="AA399" t="s">
        <v>57</v>
      </c>
      <c r="AB399">
        <v>0</v>
      </c>
      <c r="AC399">
        <v>0</v>
      </c>
      <c r="AD399">
        <v>0</v>
      </c>
      <c r="AE399">
        <v>-100</v>
      </c>
      <c r="AF399" t="s">
        <v>67</v>
      </c>
      <c r="AG399">
        <v>0</v>
      </c>
      <c r="AH399">
        <v>0</v>
      </c>
      <c r="AI399">
        <v>0</v>
      </c>
      <c r="AJ399">
        <v>0</v>
      </c>
      <c r="AK399" t="s">
        <v>60</v>
      </c>
      <c r="AL399">
        <v>0</v>
      </c>
      <c r="AM399">
        <v>0</v>
      </c>
      <c r="AN399">
        <v>0</v>
      </c>
      <c r="AO399">
        <v>0</v>
      </c>
      <c r="AP399" t="b">
        <v>0</v>
      </c>
      <c r="AQ399" t="s">
        <v>55</v>
      </c>
      <c r="AR399" t="s">
        <v>76</v>
      </c>
      <c r="AS399" t="s">
        <v>66</v>
      </c>
      <c r="AT399">
        <v>0</v>
      </c>
      <c r="AU399">
        <v>0</v>
      </c>
      <c r="AV399">
        <v>0</v>
      </c>
      <c r="AW399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s">
        <v>77</v>
      </c>
      <c r="BF399" t="s">
        <v>57</v>
      </c>
      <c r="BG399" t="s">
        <v>74</v>
      </c>
      <c r="BH399" t="s">
        <v>75</v>
      </c>
      <c r="BI399" t="s">
        <v>55</v>
      </c>
    </row>
    <row r="400" spans="1:61" x14ac:dyDescent="0.25">
      <c r="A400" t="str" cm="1">
        <f t="array" ref="A400">_xlfn.IFS(AS400="RegularSeason",C400,AS400&lt;&gt;"RegularSeason",R400)</f>
        <v>00000000000000000000000000000000</v>
      </c>
      <c r="B400" t="str" cm="1">
        <f t="array" ref="B400">_xlfn.IFS(AS400="RegularSeason",D400,AS400&lt;&gt;"RegularSeason",K400)</f>
        <v>00000000000000000000000000000000</v>
      </c>
      <c r="C400" t="str">
        <f t="shared" si="18"/>
        <v>00000000000000000000000000011001</v>
      </c>
      <c r="D400" t="str">
        <f t="shared" si="19"/>
        <v>00000000000000000000000000100100</v>
      </c>
      <c r="E400" t="str" cm="1">
        <f t="array" ref="E400">_xlfn.XLOOKUP(_xlfn.XLOOKUP(G400,New!A:A,New!M:M,NONE),TeamIdentity!A:A,TeamIdentity!C:C,NONE)</f>
        <v>00011001</v>
      </c>
      <c r="F400" t="str" cm="1">
        <f t="array" ref="F400">_xlfn.XLOOKUP(_xlfn.XLOOKUP(G400,New!A:A,New!F:F,NONE),TeamIdentity!A:A,TeamIdentity!C:C,NONE)</f>
        <v>00100100</v>
      </c>
      <c r="G400" t="str">
        <f t="shared" si="20"/>
        <v>0-0</v>
      </c>
      <c r="H400" t="s">
        <v>109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>
        <v>-2147483648</v>
      </c>
      <c r="T400">
        <v>-2147483648</v>
      </c>
      <c r="U400">
        <v>-2147483648</v>
      </c>
      <c r="V400">
        <v>0</v>
      </c>
      <c r="W400" t="s">
        <v>59</v>
      </c>
      <c r="X400">
        <v>0</v>
      </c>
      <c r="Y400">
        <v>0</v>
      </c>
      <c r="Z400">
        <v>0</v>
      </c>
      <c r="AA400" t="s">
        <v>57</v>
      </c>
      <c r="AB400">
        <v>0</v>
      </c>
      <c r="AC400">
        <v>0</v>
      </c>
      <c r="AD400">
        <v>0</v>
      </c>
      <c r="AE400">
        <v>-100</v>
      </c>
      <c r="AF400" t="s">
        <v>67</v>
      </c>
      <c r="AG400">
        <v>0</v>
      </c>
      <c r="AH400">
        <v>0</v>
      </c>
      <c r="AI400">
        <v>0</v>
      </c>
      <c r="AJ400">
        <v>0</v>
      </c>
      <c r="AK400" t="s">
        <v>60</v>
      </c>
      <c r="AL400">
        <v>0</v>
      </c>
      <c r="AM400">
        <v>0</v>
      </c>
      <c r="AN400">
        <v>0</v>
      </c>
      <c r="AO400">
        <v>0</v>
      </c>
      <c r="AP400" t="b">
        <v>0</v>
      </c>
      <c r="AQ400" t="s">
        <v>55</v>
      </c>
      <c r="AR400" t="s">
        <v>76</v>
      </c>
      <c r="AS400" t="s">
        <v>66</v>
      </c>
      <c r="AT400">
        <v>0</v>
      </c>
      <c r="AU400">
        <v>0</v>
      </c>
      <c r="AV400">
        <v>0</v>
      </c>
      <c r="AW400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s">
        <v>77</v>
      </c>
      <c r="BF400" t="s">
        <v>57</v>
      </c>
      <c r="BG400" t="s">
        <v>74</v>
      </c>
      <c r="BH400" t="s">
        <v>75</v>
      </c>
      <c r="BI400" t="s">
        <v>55</v>
      </c>
    </row>
    <row r="401" spans="1:61" x14ac:dyDescent="0.25">
      <c r="A401" t="str" cm="1">
        <f t="array" ref="A401">_xlfn.IFS(AS401="RegularSeason",C401,AS401&lt;&gt;"RegularSeason",R401)</f>
        <v>00000000000000000000000000000000</v>
      </c>
      <c r="B401" t="str" cm="1">
        <f t="array" ref="B401">_xlfn.IFS(AS401="RegularSeason",D401,AS401&lt;&gt;"RegularSeason",K401)</f>
        <v>00000000000000000000000000000000</v>
      </c>
      <c r="C401" t="str">
        <f t="shared" si="18"/>
        <v>00000000000000000000000000011001</v>
      </c>
      <c r="D401" t="str">
        <f t="shared" si="19"/>
        <v>00000000000000000000000000100100</v>
      </c>
      <c r="E401" t="str" cm="1">
        <f t="array" ref="E401">_xlfn.XLOOKUP(_xlfn.XLOOKUP(G401,New!A:A,New!M:M,NONE),TeamIdentity!A:A,TeamIdentity!C:C,NONE)</f>
        <v>00011001</v>
      </c>
      <c r="F401" t="str" cm="1">
        <f t="array" ref="F401">_xlfn.XLOOKUP(_xlfn.XLOOKUP(G401,New!A:A,New!F:F,NONE),TeamIdentity!A:A,TeamIdentity!C:C,NONE)</f>
        <v>00100100</v>
      </c>
      <c r="G401" t="str">
        <f t="shared" si="20"/>
        <v>0-0</v>
      </c>
      <c r="H401" t="s">
        <v>110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>
        <v>-2147483648</v>
      </c>
      <c r="T401">
        <v>-2147483648</v>
      </c>
      <c r="U401">
        <v>-2147483648</v>
      </c>
      <c r="V401">
        <v>0</v>
      </c>
      <c r="W401" t="s">
        <v>59</v>
      </c>
      <c r="X401">
        <v>0</v>
      </c>
      <c r="Y401">
        <v>0</v>
      </c>
      <c r="Z401">
        <v>0</v>
      </c>
      <c r="AA401" t="s">
        <v>57</v>
      </c>
      <c r="AB401">
        <v>0</v>
      </c>
      <c r="AC401">
        <v>0</v>
      </c>
      <c r="AD401">
        <v>0</v>
      </c>
      <c r="AE401">
        <v>-100</v>
      </c>
      <c r="AF401" t="s">
        <v>67</v>
      </c>
      <c r="AG401">
        <v>0</v>
      </c>
      <c r="AH401">
        <v>0</v>
      </c>
      <c r="AI401">
        <v>0</v>
      </c>
      <c r="AJ401">
        <v>0</v>
      </c>
      <c r="AK401" t="s">
        <v>60</v>
      </c>
      <c r="AL401">
        <v>0</v>
      </c>
      <c r="AM401">
        <v>0</v>
      </c>
      <c r="AN401">
        <v>0</v>
      </c>
      <c r="AO401">
        <v>0</v>
      </c>
      <c r="AP401" t="b">
        <v>0</v>
      </c>
      <c r="AQ401" t="s">
        <v>55</v>
      </c>
      <c r="AR401" t="s">
        <v>76</v>
      </c>
      <c r="AS401" t="s">
        <v>66</v>
      </c>
      <c r="AT401">
        <v>0</v>
      </c>
      <c r="AU401">
        <v>0</v>
      </c>
      <c r="AV401">
        <v>0</v>
      </c>
      <c r="AW401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s">
        <v>77</v>
      </c>
      <c r="BF401" t="s">
        <v>57</v>
      </c>
      <c r="BG401" t="s">
        <v>74</v>
      </c>
      <c r="BH401" t="s">
        <v>75</v>
      </c>
      <c r="BI401" t="s">
        <v>55</v>
      </c>
    </row>
    <row r="402" spans="1:61" x14ac:dyDescent="0.25">
      <c r="A402" t="str" cm="1">
        <f t="array" ref="A402">_xlfn.IFS(AS402="RegularSeason",C402,AS402&lt;&gt;"RegularSeason",R402)</f>
        <v>00000000000000000000000000000000</v>
      </c>
      <c r="B402" t="str" cm="1">
        <f t="array" ref="B402">_xlfn.IFS(AS402="RegularSeason",D402,AS402&lt;&gt;"RegularSeason",K402)</f>
        <v>00000000000000000000000000000000</v>
      </c>
      <c r="C402" t="str">
        <f t="shared" si="18"/>
        <v>00000000000000000000000000011001</v>
      </c>
      <c r="D402" t="str">
        <f t="shared" si="19"/>
        <v>00000000000000000000000000100100</v>
      </c>
      <c r="E402" t="str" cm="1">
        <f t="array" ref="E402">_xlfn.XLOOKUP(_xlfn.XLOOKUP(G402,New!A:A,New!M:M,NONE),TeamIdentity!A:A,TeamIdentity!C:C,NONE)</f>
        <v>00011001</v>
      </c>
      <c r="F402" t="str" cm="1">
        <f t="array" ref="F402">_xlfn.XLOOKUP(_xlfn.XLOOKUP(G402,New!A:A,New!F:F,NONE),TeamIdentity!A:A,TeamIdentity!C:C,NONE)</f>
        <v>00100100</v>
      </c>
      <c r="G402" t="str">
        <f t="shared" si="20"/>
        <v>0-0</v>
      </c>
      <c r="H402" t="s">
        <v>111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>
        <v>-2147483648</v>
      </c>
      <c r="T402">
        <v>-2147483648</v>
      </c>
      <c r="U402">
        <v>-2147483648</v>
      </c>
      <c r="V402">
        <v>0</v>
      </c>
      <c r="W402" t="s">
        <v>59</v>
      </c>
      <c r="X402">
        <v>0</v>
      </c>
      <c r="Y402">
        <v>0</v>
      </c>
      <c r="Z402">
        <v>0</v>
      </c>
      <c r="AA402" t="s">
        <v>57</v>
      </c>
      <c r="AB402">
        <v>0</v>
      </c>
      <c r="AC402">
        <v>0</v>
      </c>
      <c r="AD402">
        <v>0</v>
      </c>
      <c r="AE402">
        <v>-100</v>
      </c>
      <c r="AF402" t="s">
        <v>67</v>
      </c>
      <c r="AG402">
        <v>0</v>
      </c>
      <c r="AH402">
        <v>0</v>
      </c>
      <c r="AI402">
        <v>0</v>
      </c>
      <c r="AJ402">
        <v>0</v>
      </c>
      <c r="AK402" t="s">
        <v>60</v>
      </c>
      <c r="AL402">
        <v>0</v>
      </c>
      <c r="AM402">
        <v>0</v>
      </c>
      <c r="AN402">
        <v>0</v>
      </c>
      <c r="AO402">
        <v>0</v>
      </c>
      <c r="AP402" t="b">
        <v>0</v>
      </c>
      <c r="AQ402" t="s">
        <v>55</v>
      </c>
      <c r="AR402" t="s">
        <v>76</v>
      </c>
      <c r="AS402" t="s">
        <v>66</v>
      </c>
      <c r="AT402">
        <v>0</v>
      </c>
      <c r="AU402">
        <v>0</v>
      </c>
      <c r="AV402">
        <v>0</v>
      </c>
      <c r="AW402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s">
        <v>77</v>
      </c>
      <c r="BF402" t="s">
        <v>57</v>
      </c>
      <c r="BG402" t="s">
        <v>74</v>
      </c>
      <c r="BH402" t="s">
        <v>75</v>
      </c>
      <c r="BI402" t="s">
        <v>55</v>
      </c>
    </row>
    <row r="403" spans="1:61" x14ac:dyDescent="0.25">
      <c r="A403" t="str" cm="1">
        <f t="array" ref="A403">_xlfn.IFS(AS403="RegularSeason",C403,AS403&lt;&gt;"RegularSeason",R403)</f>
        <v>00000000000000000000000000000000</v>
      </c>
      <c r="B403" t="str" cm="1">
        <f t="array" ref="B403">_xlfn.IFS(AS403="RegularSeason",D403,AS403&lt;&gt;"RegularSeason",K403)</f>
        <v>00000000000000000000000000000000</v>
      </c>
      <c r="C403" t="str">
        <f t="shared" si="18"/>
        <v>00000000000000000000000000011001</v>
      </c>
      <c r="D403" t="str">
        <f t="shared" si="19"/>
        <v>00000000000000000000000000100100</v>
      </c>
      <c r="E403" t="str" cm="1">
        <f t="array" ref="E403">_xlfn.XLOOKUP(_xlfn.XLOOKUP(G403,New!A:A,New!M:M,NONE),TeamIdentity!A:A,TeamIdentity!C:C,NONE)</f>
        <v>00011001</v>
      </c>
      <c r="F403" t="str" cm="1">
        <f t="array" ref="F403">_xlfn.XLOOKUP(_xlfn.XLOOKUP(G403,New!A:A,New!F:F,NONE),TeamIdentity!A:A,TeamIdentity!C:C,NONE)</f>
        <v>00100100</v>
      </c>
      <c r="G403" t="str">
        <f t="shared" si="20"/>
        <v>0-0</v>
      </c>
      <c r="H403" t="s">
        <v>112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>
        <v>-2147483648</v>
      </c>
      <c r="T403">
        <v>-2147483648</v>
      </c>
      <c r="U403">
        <v>-2147483648</v>
      </c>
      <c r="V403">
        <v>0</v>
      </c>
      <c r="W403" t="s">
        <v>59</v>
      </c>
      <c r="X403">
        <v>0</v>
      </c>
      <c r="Y403">
        <v>0</v>
      </c>
      <c r="Z403">
        <v>0</v>
      </c>
      <c r="AA403" t="s">
        <v>57</v>
      </c>
      <c r="AB403">
        <v>0</v>
      </c>
      <c r="AC403">
        <v>0</v>
      </c>
      <c r="AD403">
        <v>0</v>
      </c>
      <c r="AE403">
        <v>-100</v>
      </c>
      <c r="AF403" t="s">
        <v>67</v>
      </c>
      <c r="AG403">
        <v>0</v>
      </c>
      <c r="AH403">
        <v>0</v>
      </c>
      <c r="AI403">
        <v>0</v>
      </c>
      <c r="AJ403">
        <v>0</v>
      </c>
      <c r="AK403" t="s">
        <v>60</v>
      </c>
      <c r="AL403">
        <v>0</v>
      </c>
      <c r="AM403">
        <v>0</v>
      </c>
      <c r="AN403">
        <v>0</v>
      </c>
      <c r="AO403">
        <v>0</v>
      </c>
      <c r="AP403" t="b">
        <v>0</v>
      </c>
      <c r="AQ403" t="s">
        <v>55</v>
      </c>
      <c r="AR403" t="s">
        <v>76</v>
      </c>
      <c r="AS403" t="s">
        <v>66</v>
      </c>
      <c r="AT403">
        <v>0</v>
      </c>
      <c r="AU403">
        <v>0</v>
      </c>
      <c r="AV403">
        <v>0</v>
      </c>
      <c r="AW403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s">
        <v>77</v>
      </c>
      <c r="BF403" t="s">
        <v>57</v>
      </c>
      <c r="BG403" t="s">
        <v>74</v>
      </c>
      <c r="BH403" t="s">
        <v>75</v>
      </c>
      <c r="BI403" t="s">
        <v>55</v>
      </c>
    </row>
    <row r="404" spans="1:61" x14ac:dyDescent="0.25">
      <c r="A404" t="str" cm="1">
        <f t="array" ref="A404">_xlfn.IFS(AS404="RegularSeason",C404,AS404&lt;&gt;"RegularSeason",R404)</f>
        <v>00000000000000000000000000000000</v>
      </c>
      <c r="B404" t="str" cm="1">
        <f t="array" ref="B404">_xlfn.IFS(AS404="RegularSeason",D404,AS404&lt;&gt;"RegularSeason",K404)</f>
        <v>00000000000000000000000000000000</v>
      </c>
      <c r="C404" t="str">
        <f t="shared" si="18"/>
        <v>00000000000000000000000000011001</v>
      </c>
      <c r="D404" t="str">
        <f t="shared" si="19"/>
        <v>00000000000000000000000000100100</v>
      </c>
      <c r="E404" t="str" cm="1">
        <f t="array" ref="E404">_xlfn.XLOOKUP(_xlfn.XLOOKUP(G404,New!A:A,New!M:M,NONE),TeamIdentity!A:A,TeamIdentity!C:C,NONE)</f>
        <v>00011001</v>
      </c>
      <c r="F404" t="str" cm="1">
        <f t="array" ref="F404">_xlfn.XLOOKUP(_xlfn.XLOOKUP(G404,New!A:A,New!F:F,NONE),TeamIdentity!A:A,TeamIdentity!C:C,NONE)</f>
        <v>00100100</v>
      </c>
      <c r="G404" t="str">
        <f t="shared" si="20"/>
        <v>0-0</v>
      </c>
      <c r="H404" t="s">
        <v>113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>
        <v>-2147483648</v>
      </c>
      <c r="T404">
        <v>-2147483648</v>
      </c>
      <c r="U404">
        <v>-2147483648</v>
      </c>
      <c r="V404">
        <v>0</v>
      </c>
      <c r="W404" t="s">
        <v>59</v>
      </c>
      <c r="X404">
        <v>0</v>
      </c>
      <c r="Y404">
        <v>0</v>
      </c>
      <c r="Z404">
        <v>0</v>
      </c>
      <c r="AA404" t="s">
        <v>57</v>
      </c>
      <c r="AB404">
        <v>0</v>
      </c>
      <c r="AC404">
        <v>0</v>
      </c>
      <c r="AD404">
        <v>0</v>
      </c>
      <c r="AE404">
        <v>-100</v>
      </c>
      <c r="AF404" t="s">
        <v>67</v>
      </c>
      <c r="AG404">
        <v>0</v>
      </c>
      <c r="AH404">
        <v>0</v>
      </c>
      <c r="AI404">
        <v>0</v>
      </c>
      <c r="AJ404">
        <v>0</v>
      </c>
      <c r="AK404" t="s">
        <v>60</v>
      </c>
      <c r="AL404">
        <v>0</v>
      </c>
      <c r="AM404">
        <v>0</v>
      </c>
      <c r="AN404">
        <v>0</v>
      </c>
      <c r="AO404">
        <v>0</v>
      </c>
      <c r="AP404" t="b">
        <v>0</v>
      </c>
      <c r="AQ404" t="s">
        <v>55</v>
      </c>
      <c r="AR404" t="s">
        <v>76</v>
      </c>
      <c r="AS404" t="s">
        <v>66</v>
      </c>
      <c r="AT404">
        <v>0</v>
      </c>
      <c r="AU404">
        <v>0</v>
      </c>
      <c r="AV404">
        <v>0</v>
      </c>
      <c r="AW404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s">
        <v>77</v>
      </c>
      <c r="BF404" t="s">
        <v>57</v>
      </c>
      <c r="BG404" t="s">
        <v>74</v>
      </c>
      <c r="BH404" t="s">
        <v>75</v>
      </c>
      <c r="BI404" t="s">
        <v>55</v>
      </c>
    </row>
    <row r="405" spans="1:61" x14ac:dyDescent="0.25">
      <c r="A405" t="str" cm="1">
        <f t="array" ref="A405">_xlfn.IFS(AS405="RegularSeason",C405,AS405&lt;&gt;"RegularSeason",R405)</f>
        <v>00000000000000000000000000000000</v>
      </c>
      <c r="B405" t="str" cm="1">
        <f t="array" ref="B405">_xlfn.IFS(AS405="RegularSeason",D405,AS405&lt;&gt;"RegularSeason",K405)</f>
        <v>00000000000000000000000000000000</v>
      </c>
      <c r="C405" t="str">
        <f t="shared" si="18"/>
        <v>00000000000000000000000000011001</v>
      </c>
      <c r="D405" t="str">
        <f t="shared" si="19"/>
        <v>00000000000000000000000000100100</v>
      </c>
      <c r="E405" t="str" cm="1">
        <f t="array" ref="E405">_xlfn.XLOOKUP(_xlfn.XLOOKUP(G405,New!A:A,New!M:M,NONE),TeamIdentity!A:A,TeamIdentity!C:C,NONE)</f>
        <v>00011001</v>
      </c>
      <c r="F405" t="str" cm="1">
        <f t="array" ref="F405">_xlfn.XLOOKUP(_xlfn.XLOOKUP(G405,New!A:A,New!F:F,NONE),TeamIdentity!A:A,TeamIdentity!C:C,NONE)</f>
        <v>00100100</v>
      </c>
      <c r="G405" t="str">
        <f t="shared" si="20"/>
        <v>0-0</v>
      </c>
      <c r="H405" t="s">
        <v>114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>
        <v>-2147483648</v>
      </c>
      <c r="T405">
        <v>-2147483648</v>
      </c>
      <c r="U405">
        <v>-2147483648</v>
      </c>
      <c r="V405">
        <v>0</v>
      </c>
      <c r="W405" t="s">
        <v>59</v>
      </c>
      <c r="X405">
        <v>0</v>
      </c>
      <c r="Y405">
        <v>0</v>
      </c>
      <c r="Z405">
        <v>0</v>
      </c>
      <c r="AA405" t="s">
        <v>57</v>
      </c>
      <c r="AB405">
        <v>0</v>
      </c>
      <c r="AC405">
        <v>0</v>
      </c>
      <c r="AD405">
        <v>0</v>
      </c>
      <c r="AE405">
        <v>-100</v>
      </c>
      <c r="AF405" t="s">
        <v>67</v>
      </c>
      <c r="AG405">
        <v>0</v>
      </c>
      <c r="AH405">
        <v>0</v>
      </c>
      <c r="AI405">
        <v>0</v>
      </c>
      <c r="AJ405">
        <v>0</v>
      </c>
      <c r="AK405" t="s">
        <v>60</v>
      </c>
      <c r="AL405">
        <v>0</v>
      </c>
      <c r="AM405">
        <v>0</v>
      </c>
      <c r="AN405">
        <v>0</v>
      </c>
      <c r="AO405">
        <v>0</v>
      </c>
      <c r="AP405" t="b">
        <v>0</v>
      </c>
      <c r="AQ405" t="s">
        <v>55</v>
      </c>
      <c r="AR405" t="s">
        <v>76</v>
      </c>
      <c r="AS405" t="s">
        <v>66</v>
      </c>
      <c r="AT405">
        <v>0</v>
      </c>
      <c r="AU405">
        <v>0</v>
      </c>
      <c r="AV405">
        <v>0</v>
      </c>
      <c r="AW405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s">
        <v>77</v>
      </c>
      <c r="BF405" t="s">
        <v>57</v>
      </c>
      <c r="BG405" t="s">
        <v>74</v>
      </c>
      <c r="BH405" t="s">
        <v>75</v>
      </c>
      <c r="BI405" t="s">
        <v>55</v>
      </c>
    </row>
    <row r="406" spans="1:61" x14ac:dyDescent="0.25">
      <c r="A406" t="str" cm="1">
        <f t="array" ref="A406">_xlfn.IFS(AS406="RegularSeason",C406,AS406&lt;&gt;"RegularSeason",R406)</f>
        <v>00000000000000000000000000000000</v>
      </c>
      <c r="B406" t="str" cm="1">
        <f t="array" ref="B406">_xlfn.IFS(AS406="RegularSeason",D406,AS406&lt;&gt;"RegularSeason",K406)</f>
        <v>00000000000000000000000000000000</v>
      </c>
      <c r="C406" t="str">
        <f t="shared" si="18"/>
        <v>00000000000000000000000000011001</v>
      </c>
      <c r="D406" t="str">
        <f t="shared" si="19"/>
        <v>00000000000000000000000000100100</v>
      </c>
      <c r="E406" t="str" cm="1">
        <f t="array" ref="E406">_xlfn.XLOOKUP(_xlfn.XLOOKUP(G406,New!A:A,New!M:M,NONE),TeamIdentity!A:A,TeamIdentity!C:C,NONE)</f>
        <v>00011001</v>
      </c>
      <c r="F406" t="str" cm="1">
        <f t="array" ref="F406">_xlfn.XLOOKUP(_xlfn.XLOOKUP(G406,New!A:A,New!F:F,NONE),TeamIdentity!A:A,TeamIdentity!C:C,NONE)</f>
        <v>00100100</v>
      </c>
      <c r="G406" t="str">
        <f t="shared" si="20"/>
        <v>0-0</v>
      </c>
      <c r="H406" t="s">
        <v>115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>
        <v>-2147483648</v>
      </c>
      <c r="T406">
        <v>-2147483648</v>
      </c>
      <c r="U406">
        <v>-2147483648</v>
      </c>
      <c r="V406">
        <v>0</v>
      </c>
      <c r="W406" t="s">
        <v>59</v>
      </c>
      <c r="X406">
        <v>0</v>
      </c>
      <c r="Y406">
        <v>0</v>
      </c>
      <c r="Z406">
        <v>0</v>
      </c>
      <c r="AA406" t="s">
        <v>57</v>
      </c>
      <c r="AB406">
        <v>0</v>
      </c>
      <c r="AC406">
        <v>0</v>
      </c>
      <c r="AD406">
        <v>0</v>
      </c>
      <c r="AE406">
        <v>-100</v>
      </c>
      <c r="AF406" t="s">
        <v>67</v>
      </c>
      <c r="AG406">
        <v>0</v>
      </c>
      <c r="AH406">
        <v>0</v>
      </c>
      <c r="AI406">
        <v>0</v>
      </c>
      <c r="AJ406">
        <v>0</v>
      </c>
      <c r="AK406" t="s">
        <v>60</v>
      </c>
      <c r="AL406">
        <v>0</v>
      </c>
      <c r="AM406">
        <v>0</v>
      </c>
      <c r="AN406">
        <v>0</v>
      </c>
      <c r="AO406">
        <v>0</v>
      </c>
      <c r="AP406" t="b">
        <v>0</v>
      </c>
      <c r="AQ406" t="s">
        <v>55</v>
      </c>
      <c r="AR406" t="s">
        <v>76</v>
      </c>
      <c r="AS406" t="s">
        <v>66</v>
      </c>
      <c r="AT406">
        <v>0</v>
      </c>
      <c r="AU406">
        <v>0</v>
      </c>
      <c r="AV406">
        <v>0</v>
      </c>
      <c r="AW406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s">
        <v>77</v>
      </c>
      <c r="BF406" t="s">
        <v>57</v>
      </c>
      <c r="BG406" t="s">
        <v>74</v>
      </c>
      <c r="BH406" t="s">
        <v>75</v>
      </c>
      <c r="BI406" t="s">
        <v>55</v>
      </c>
    </row>
    <row r="407" spans="1:61" x14ac:dyDescent="0.25">
      <c r="A407" t="str" cm="1">
        <f t="array" ref="A407">_xlfn.IFS(AS407="RegularSeason",C407,AS407&lt;&gt;"RegularSeason",R407)</f>
        <v>00000000000000000000000000000000</v>
      </c>
      <c r="B407" t="str" cm="1">
        <f t="array" ref="B407">_xlfn.IFS(AS407="RegularSeason",D407,AS407&lt;&gt;"RegularSeason",K407)</f>
        <v>00000000000000000000000000000000</v>
      </c>
      <c r="C407" t="str">
        <f t="shared" si="18"/>
        <v>00000000000000000000000000011001</v>
      </c>
      <c r="D407" t="str">
        <f t="shared" si="19"/>
        <v>00000000000000000000000000100100</v>
      </c>
      <c r="E407" t="str" cm="1">
        <f t="array" ref="E407">_xlfn.XLOOKUP(_xlfn.XLOOKUP(G407,New!A:A,New!M:M,NONE),TeamIdentity!A:A,TeamIdentity!C:C,NONE)</f>
        <v>00011001</v>
      </c>
      <c r="F407" t="str" cm="1">
        <f t="array" ref="F407">_xlfn.XLOOKUP(_xlfn.XLOOKUP(G407,New!A:A,New!F:F,NONE),TeamIdentity!A:A,TeamIdentity!C:C,NONE)</f>
        <v>00100100</v>
      </c>
      <c r="G407" t="str">
        <f t="shared" si="20"/>
        <v>0-0</v>
      </c>
      <c r="H407" t="s">
        <v>116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>
        <v>-2147483648</v>
      </c>
      <c r="T407">
        <v>-2147483648</v>
      </c>
      <c r="U407">
        <v>-2147483648</v>
      </c>
      <c r="V407">
        <v>0</v>
      </c>
      <c r="W407" t="s">
        <v>59</v>
      </c>
      <c r="X407">
        <v>0</v>
      </c>
      <c r="Y407">
        <v>0</v>
      </c>
      <c r="Z407">
        <v>0</v>
      </c>
      <c r="AA407" t="s">
        <v>57</v>
      </c>
      <c r="AB407">
        <v>0</v>
      </c>
      <c r="AC407">
        <v>0</v>
      </c>
      <c r="AD407">
        <v>0</v>
      </c>
      <c r="AE407">
        <v>-100</v>
      </c>
      <c r="AF407" t="s">
        <v>67</v>
      </c>
      <c r="AG407">
        <v>0</v>
      </c>
      <c r="AH407">
        <v>0</v>
      </c>
      <c r="AI407">
        <v>0</v>
      </c>
      <c r="AJ407">
        <v>0</v>
      </c>
      <c r="AK407" t="s">
        <v>60</v>
      </c>
      <c r="AL407">
        <v>0</v>
      </c>
      <c r="AM407">
        <v>0</v>
      </c>
      <c r="AN407">
        <v>0</v>
      </c>
      <c r="AO407">
        <v>0</v>
      </c>
      <c r="AP407" t="b">
        <v>0</v>
      </c>
      <c r="AQ407" t="s">
        <v>55</v>
      </c>
      <c r="AR407" t="s">
        <v>76</v>
      </c>
      <c r="AS407" t="s">
        <v>66</v>
      </c>
      <c r="AT407">
        <v>0</v>
      </c>
      <c r="AU407">
        <v>0</v>
      </c>
      <c r="AV407">
        <v>0</v>
      </c>
      <c r="AW407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s">
        <v>77</v>
      </c>
      <c r="BF407" t="s">
        <v>57</v>
      </c>
      <c r="BG407" t="s">
        <v>74</v>
      </c>
      <c r="BH407" t="s">
        <v>75</v>
      </c>
      <c r="BI407" t="s">
        <v>55</v>
      </c>
    </row>
    <row r="408" spans="1:61" x14ac:dyDescent="0.25">
      <c r="A408" t="str" cm="1">
        <f t="array" ref="A408">_xlfn.IFS(AS408="RegularSeason",C408,AS408&lt;&gt;"RegularSeason",R408)</f>
        <v>00000000000000000000000000000000</v>
      </c>
      <c r="B408" t="str" cm="1">
        <f t="array" ref="B408">_xlfn.IFS(AS408="RegularSeason",D408,AS408&lt;&gt;"RegularSeason",K408)</f>
        <v>00000000000000000000000000000000</v>
      </c>
      <c r="C408" t="str">
        <f t="shared" si="18"/>
        <v>00000000000000000000000000011001</v>
      </c>
      <c r="D408" t="str">
        <f t="shared" si="19"/>
        <v>00000000000000000000000000100100</v>
      </c>
      <c r="E408" t="str" cm="1">
        <f t="array" ref="E408">_xlfn.XLOOKUP(_xlfn.XLOOKUP(G408,New!A:A,New!M:M,NONE),TeamIdentity!A:A,TeamIdentity!C:C,NONE)</f>
        <v>00011001</v>
      </c>
      <c r="F408" t="str" cm="1">
        <f t="array" ref="F408">_xlfn.XLOOKUP(_xlfn.XLOOKUP(G408,New!A:A,New!F:F,NONE),TeamIdentity!A:A,TeamIdentity!C:C,NONE)</f>
        <v>00100100</v>
      </c>
      <c r="G408" t="str">
        <f t="shared" si="20"/>
        <v>0-0</v>
      </c>
      <c r="H408" t="s">
        <v>117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>
        <v>-2147483648</v>
      </c>
      <c r="T408">
        <v>-2147483648</v>
      </c>
      <c r="U408">
        <v>-2147483648</v>
      </c>
      <c r="V408">
        <v>0</v>
      </c>
      <c r="W408" t="s">
        <v>59</v>
      </c>
      <c r="X408">
        <v>0</v>
      </c>
      <c r="Y408">
        <v>0</v>
      </c>
      <c r="Z408">
        <v>0</v>
      </c>
      <c r="AA408" t="s">
        <v>57</v>
      </c>
      <c r="AB408">
        <v>0</v>
      </c>
      <c r="AC408">
        <v>0</v>
      </c>
      <c r="AD408">
        <v>0</v>
      </c>
      <c r="AE408">
        <v>-100</v>
      </c>
      <c r="AF408" t="s">
        <v>67</v>
      </c>
      <c r="AG408">
        <v>0</v>
      </c>
      <c r="AH408">
        <v>0</v>
      </c>
      <c r="AI408">
        <v>0</v>
      </c>
      <c r="AJ408">
        <v>0</v>
      </c>
      <c r="AK408" t="s">
        <v>60</v>
      </c>
      <c r="AL408">
        <v>0</v>
      </c>
      <c r="AM408">
        <v>0</v>
      </c>
      <c r="AN408">
        <v>0</v>
      </c>
      <c r="AO408">
        <v>0</v>
      </c>
      <c r="AP408" t="b">
        <v>0</v>
      </c>
      <c r="AQ408" t="s">
        <v>55</v>
      </c>
      <c r="AR408" t="s">
        <v>76</v>
      </c>
      <c r="AS408" t="s">
        <v>66</v>
      </c>
      <c r="AT408">
        <v>0</v>
      </c>
      <c r="AU408">
        <v>0</v>
      </c>
      <c r="AV408">
        <v>0</v>
      </c>
      <c r="AW408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s">
        <v>77</v>
      </c>
      <c r="BF408" t="s">
        <v>57</v>
      </c>
      <c r="BG408" t="s">
        <v>74</v>
      </c>
      <c r="BH408" t="s">
        <v>75</v>
      </c>
      <c r="BI408" t="s">
        <v>55</v>
      </c>
    </row>
    <row r="409" spans="1:61" x14ac:dyDescent="0.25">
      <c r="A409" t="str" cm="1">
        <f t="array" ref="A409">_xlfn.IFS(AS409="RegularSeason",C409,AS409&lt;&gt;"RegularSeason",R409)</f>
        <v>00000000000000000000000000000000</v>
      </c>
      <c r="B409" t="str" cm="1">
        <f t="array" ref="B409">_xlfn.IFS(AS409="RegularSeason",D409,AS409&lt;&gt;"RegularSeason",K409)</f>
        <v>00000000000000000000000000000000</v>
      </c>
      <c r="C409" t="str">
        <f t="shared" si="18"/>
        <v>00000000000000000000000000011001</v>
      </c>
      <c r="D409" t="str">
        <f t="shared" si="19"/>
        <v>00000000000000000000000000100100</v>
      </c>
      <c r="E409" t="str" cm="1">
        <f t="array" ref="E409">_xlfn.XLOOKUP(_xlfn.XLOOKUP(G409,New!A:A,New!M:M,NONE),TeamIdentity!A:A,TeamIdentity!C:C,NONE)</f>
        <v>00011001</v>
      </c>
      <c r="F409" t="str" cm="1">
        <f t="array" ref="F409">_xlfn.XLOOKUP(_xlfn.XLOOKUP(G409,New!A:A,New!F:F,NONE),TeamIdentity!A:A,TeamIdentity!C:C,NONE)</f>
        <v>00100100</v>
      </c>
      <c r="G409" t="str">
        <f t="shared" si="20"/>
        <v>0-0</v>
      </c>
      <c r="H409" t="s">
        <v>118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>
        <v>-2147483648</v>
      </c>
      <c r="T409">
        <v>-2147483648</v>
      </c>
      <c r="U409">
        <v>-2147483648</v>
      </c>
      <c r="V409">
        <v>0</v>
      </c>
      <c r="W409" t="s">
        <v>59</v>
      </c>
      <c r="X409">
        <v>0</v>
      </c>
      <c r="Y409">
        <v>0</v>
      </c>
      <c r="Z409">
        <v>0</v>
      </c>
      <c r="AA409" t="s">
        <v>57</v>
      </c>
      <c r="AB409">
        <v>0</v>
      </c>
      <c r="AC409">
        <v>0</v>
      </c>
      <c r="AD409">
        <v>0</v>
      </c>
      <c r="AE409">
        <v>-100</v>
      </c>
      <c r="AF409" t="s">
        <v>67</v>
      </c>
      <c r="AG409">
        <v>0</v>
      </c>
      <c r="AH409">
        <v>0</v>
      </c>
      <c r="AI409">
        <v>0</v>
      </c>
      <c r="AJ409">
        <v>0</v>
      </c>
      <c r="AK409" t="s">
        <v>60</v>
      </c>
      <c r="AL409">
        <v>0</v>
      </c>
      <c r="AM409">
        <v>0</v>
      </c>
      <c r="AN409">
        <v>0</v>
      </c>
      <c r="AO409">
        <v>0</v>
      </c>
      <c r="AP409" t="b">
        <v>0</v>
      </c>
      <c r="AQ409" t="s">
        <v>55</v>
      </c>
      <c r="AR409" t="s">
        <v>76</v>
      </c>
      <c r="AS409" t="s">
        <v>66</v>
      </c>
      <c r="AT409">
        <v>0</v>
      </c>
      <c r="AU409">
        <v>0</v>
      </c>
      <c r="AV409">
        <v>0</v>
      </c>
      <c r="AW409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s">
        <v>77</v>
      </c>
      <c r="BF409" t="s">
        <v>57</v>
      </c>
      <c r="BG409" t="s">
        <v>74</v>
      </c>
      <c r="BH409" t="s">
        <v>75</v>
      </c>
      <c r="BI409" t="s">
        <v>55</v>
      </c>
    </row>
    <row r="410" spans="1:61" x14ac:dyDescent="0.25">
      <c r="A410" t="str" cm="1">
        <f t="array" ref="A410">_xlfn.IFS(AS410="RegularSeason",C410,AS410&lt;&gt;"RegularSeason",R410)</f>
        <v>00000000000000000000000000000000</v>
      </c>
      <c r="B410" t="str" cm="1">
        <f t="array" ref="B410">_xlfn.IFS(AS410="RegularSeason",D410,AS410&lt;&gt;"RegularSeason",K410)</f>
        <v>00000000000000000000000000000000</v>
      </c>
      <c r="C410" t="str">
        <f t="shared" si="18"/>
        <v>00000000000000000000000000011001</v>
      </c>
      <c r="D410" t="str">
        <f t="shared" si="19"/>
        <v>00000000000000000000000000100100</v>
      </c>
      <c r="E410" t="str" cm="1">
        <f t="array" ref="E410">_xlfn.XLOOKUP(_xlfn.XLOOKUP(G410,New!A:A,New!M:M,NONE),TeamIdentity!A:A,TeamIdentity!C:C,NONE)</f>
        <v>00011001</v>
      </c>
      <c r="F410" t="str" cm="1">
        <f t="array" ref="F410">_xlfn.XLOOKUP(_xlfn.XLOOKUP(G410,New!A:A,New!F:F,NONE),TeamIdentity!A:A,TeamIdentity!C:C,NONE)</f>
        <v>00100100</v>
      </c>
      <c r="G410" t="str">
        <f t="shared" si="20"/>
        <v>0-0</v>
      </c>
      <c r="H410" t="s">
        <v>119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>
        <v>-2147483648</v>
      </c>
      <c r="T410">
        <v>-2147483648</v>
      </c>
      <c r="U410">
        <v>-2147483648</v>
      </c>
      <c r="V410">
        <v>0</v>
      </c>
      <c r="W410" t="s">
        <v>59</v>
      </c>
      <c r="X410">
        <v>0</v>
      </c>
      <c r="Y410">
        <v>0</v>
      </c>
      <c r="Z410">
        <v>0</v>
      </c>
      <c r="AA410" t="s">
        <v>57</v>
      </c>
      <c r="AB410">
        <v>0</v>
      </c>
      <c r="AC410">
        <v>0</v>
      </c>
      <c r="AD410">
        <v>0</v>
      </c>
      <c r="AE410">
        <v>-100</v>
      </c>
      <c r="AF410" t="s">
        <v>67</v>
      </c>
      <c r="AG410">
        <v>0</v>
      </c>
      <c r="AH410">
        <v>0</v>
      </c>
      <c r="AI410">
        <v>0</v>
      </c>
      <c r="AJ410">
        <v>0</v>
      </c>
      <c r="AK410" t="s">
        <v>60</v>
      </c>
      <c r="AL410">
        <v>0</v>
      </c>
      <c r="AM410">
        <v>0</v>
      </c>
      <c r="AN410">
        <v>0</v>
      </c>
      <c r="AO410">
        <v>0</v>
      </c>
      <c r="AP410" t="b">
        <v>0</v>
      </c>
      <c r="AQ410" t="s">
        <v>55</v>
      </c>
      <c r="AR410" t="s">
        <v>76</v>
      </c>
      <c r="AS410" t="s">
        <v>66</v>
      </c>
      <c r="AT410">
        <v>0</v>
      </c>
      <c r="AU410">
        <v>0</v>
      </c>
      <c r="AV410">
        <v>0</v>
      </c>
      <c r="AW410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s">
        <v>77</v>
      </c>
      <c r="BF410" t="s">
        <v>57</v>
      </c>
      <c r="BG410" t="s">
        <v>74</v>
      </c>
      <c r="BH410" t="s">
        <v>75</v>
      </c>
      <c r="BI410" t="s">
        <v>55</v>
      </c>
    </row>
    <row r="411" spans="1:61" x14ac:dyDescent="0.25">
      <c r="A411" t="str" cm="1">
        <f t="array" ref="A411">_xlfn.IFS(AS411="RegularSeason",C411,AS411&lt;&gt;"RegularSeason",R411)</f>
        <v>00000000000000000000000000000000</v>
      </c>
      <c r="B411" t="str" cm="1">
        <f t="array" ref="B411">_xlfn.IFS(AS411="RegularSeason",D411,AS411&lt;&gt;"RegularSeason",K411)</f>
        <v>00000000000000000000000000000000</v>
      </c>
      <c r="C411" t="str">
        <f t="shared" si="18"/>
        <v>00000000000000000000000000011001</v>
      </c>
      <c r="D411" t="str">
        <f t="shared" si="19"/>
        <v>00000000000000000000000000100100</v>
      </c>
      <c r="E411" t="str" cm="1">
        <f t="array" ref="E411">_xlfn.XLOOKUP(_xlfn.XLOOKUP(G411,New!A:A,New!M:M,NONE),TeamIdentity!A:A,TeamIdentity!C:C,NONE)</f>
        <v>00011001</v>
      </c>
      <c r="F411" t="str" cm="1">
        <f t="array" ref="F411">_xlfn.XLOOKUP(_xlfn.XLOOKUP(G411,New!A:A,New!F:F,NONE),TeamIdentity!A:A,TeamIdentity!C:C,NONE)</f>
        <v>00100100</v>
      </c>
      <c r="G411" t="str">
        <f t="shared" si="20"/>
        <v>0-0</v>
      </c>
      <c r="H411" t="s">
        <v>120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>
        <v>-2147483648</v>
      </c>
      <c r="T411">
        <v>-2147483648</v>
      </c>
      <c r="U411">
        <v>-2147483648</v>
      </c>
      <c r="V411">
        <v>0</v>
      </c>
      <c r="W411" t="s">
        <v>59</v>
      </c>
      <c r="X411">
        <v>0</v>
      </c>
      <c r="Y411">
        <v>0</v>
      </c>
      <c r="Z411">
        <v>0</v>
      </c>
      <c r="AA411" t="s">
        <v>57</v>
      </c>
      <c r="AB411">
        <v>0</v>
      </c>
      <c r="AC411">
        <v>0</v>
      </c>
      <c r="AD411">
        <v>0</v>
      </c>
      <c r="AE411">
        <v>-100</v>
      </c>
      <c r="AF411" t="s">
        <v>67</v>
      </c>
      <c r="AG411">
        <v>0</v>
      </c>
      <c r="AH411">
        <v>0</v>
      </c>
      <c r="AI411">
        <v>0</v>
      </c>
      <c r="AJ411">
        <v>0</v>
      </c>
      <c r="AK411" t="s">
        <v>60</v>
      </c>
      <c r="AL411">
        <v>0</v>
      </c>
      <c r="AM411">
        <v>0</v>
      </c>
      <c r="AN411">
        <v>0</v>
      </c>
      <c r="AO411">
        <v>0</v>
      </c>
      <c r="AP411" t="b">
        <v>0</v>
      </c>
      <c r="AQ411" t="s">
        <v>55</v>
      </c>
      <c r="AR411" t="s">
        <v>76</v>
      </c>
      <c r="AS411" t="s">
        <v>66</v>
      </c>
      <c r="AT411">
        <v>0</v>
      </c>
      <c r="AU411">
        <v>0</v>
      </c>
      <c r="AV411">
        <v>0</v>
      </c>
      <c r="AW411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s">
        <v>77</v>
      </c>
      <c r="BF411" t="s">
        <v>57</v>
      </c>
      <c r="BG411" t="s">
        <v>74</v>
      </c>
      <c r="BH411" t="s">
        <v>75</v>
      </c>
      <c r="BI411" t="s">
        <v>55</v>
      </c>
    </row>
    <row r="412" spans="1:61" x14ac:dyDescent="0.25">
      <c r="A412" t="str" cm="1">
        <f t="array" ref="A412">_xlfn.IFS(AS412="RegularSeason",C412,AS412&lt;&gt;"RegularSeason",R412)</f>
        <v>00000000000000000000000000000000</v>
      </c>
      <c r="B412" t="str" cm="1">
        <f t="array" ref="B412">_xlfn.IFS(AS412="RegularSeason",D412,AS412&lt;&gt;"RegularSeason",K412)</f>
        <v>00000000000000000000000000000000</v>
      </c>
      <c r="C412" t="str">
        <f t="shared" si="18"/>
        <v>00000000000000000000000000011001</v>
      </c>
      <c r="D412" t="str">
        <f t="shared" si="19"/>
        <v>00000000000000000000000000100100</v>
      </c>
      <c r="E412" t="str" cm="1">
        <f t="array" ref="E412">_xlfn.XLOOKUP(_xlfn.XLOOKUP(G412,New!A:A,New!M:M,NONE),TeamIdentity!A:A,TeamIdentity!C:C,NONE)</f>
        <v>00011001</v>
      </c>
      <c r="F412" t="str" cm="1">
        <f t="array" ref="F412">_xlfn.XLOOKUP(_xlfn.XLOOKUP(G412,New!A:A,New!F:F,NONE),TeamIdentity!A:A,TeamIdentity!C:C,NONE)</f>
        <v>00100100</v>
      </c>
      <c r="G412" t="str">
        <f t="shared" si="20"/>
        <v>0-0</v>
      </c>
      <c r="H412" t="s">
        <v>121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>
        <v>-2147483648</v>
      </c>
      <c r="T412">
        <v>-2147483648</v>
      </c>
      <c r="U412">
        <v>-2147483648</v>
      </c>
      <c r="V412">
        <v>0</v>
      </c>
      <c r="W412" t="s">
        <v>59</v>
      </c>
      <c r="X412">
        <v>0</v>
      </c>
      <c r="Y412">
        <v>0</v>
      </c>
      <c r="Z412">
        <v>0</v>
      </c>
      <c r="AA412" t="s">
        <v>57</v>
      </c>
      <c r="AB412">
        <v>0</v>
      </c>
      <c r="AC412">
        <v>0</v>
      </c>
      <c r="AD412">
        <v>0</v>
      </c>
      <c r="AE412">
        <v>-100</v>
      </c>
      <c r="AF412" t="s">
        <v>67</v>
      </c>
      <c r="AG412">
        <v>0</v>
      </c>
      <c r="AH412">
        <v>0</v>
      </c>
      <c r="AI412">
        <v>0</v>
      </c>
      <c r="AJ412">
        <v>0</v>
      </c>
      <c r="AK412" t="s">
        <v>60</v>
      </c>
      <c r="AL412">
        <v>0</v>
      </c>
      <c r="AM412">
        <v>0</v>
      </c>
      <c r="AN412">
        <v>0</v>
      </c>
      <c r="AO412">
        <v>0</v>
      </c>
      <c r="AP412" t="b">
        <v>0</v>
      </c>
      <c r="AQ412" t="s">
        <v>55</v>
      </c>
      <c r="AR412" t="s">
        <v>76</v>
      </c>
      <c r="AS412" t="s">
        <v>66</v>
      </c>
      <c r="AT412">
        <v>0</v>
      </c>
      <c r="AU412">
        <v>0</v>
      </c>
      <c r="AV412">
        <v>0</v>
      </c>
      <c r="AW412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s">
        <v>77</v>
      </c>
      <c r="BF412" t="s">
        <v>57</v>
      </c>
      <c r="BG412" t="s">
        <v>74</v>
      </c>
      <c r="BH412" t="s">
        <v>75</v>
      </c>
      <c r="BI412" t="s">
        <v>55</v>
      </c>
    </row>
    <row r="413" spans="1:61" x14ac:dyDescent="0.25">
      <c r="A413" t="str" cm="1">
        <f t="array" ref="A413">_xlfn.IFS(AS413="RegularSeason",C413,AS413&lt;&gt;"RegularSeason",R413)</f>
        <v>00000000000000000000000000000000</v>
      </c>
      <c r="B413" t="str" cm="1">
        <f t="array" ref="B413">_xlfn.IFS(AS413="RegularSeason",D413,AS413&lt;&gt;"RegularSeason",K413)</f>
        <v>00000000000000000000000000000000</v>
      </c>
      <c r="C413" t="str">
        <f t="shared" si="18"/>
        <v>00000000000000000000000000011001</v>
      </c>
      <c r="D413" t="str">
        <f t="shared" si="19"/>
        <v>00000000000000000000000000100100</v>
      </c>
      <c r="E413" t="str" cm="1">
        <f t="array" ref="E413">_xlfn.XLOOKUP(_xlfn.XLOOKUP(G413,New!A:A,New!M:M,NONE),TeamIdentity!A:A,TeamIdentity!C:C,NONE)</f>
        <v>00011001</v>
      </c>
      <c r="F413" t="str" cm="1">
        <f t="array" ref="F413">_xlfn.XLOOKUP(_xlfn.XLOOKUP(G413,New!A:A,New!F:F,NONE),TeamIdentity!A:A,TeamIdentity!C:C,NONE)</f>
        <v>00100100</v>
      </c>
      <c r="G413" t="str">
        <f t="shared" si="20"/>
        <v>0-0</v>
      </c>
      <c r="H413" t="s">
        <v>122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>
        <v>-2147483648</v>
      </c>
      <c r="T413">
        <v>-2147483648</v>
      </c>
      <c r="U413">
        <v>-2147483648</v>
      </c>
      <c r="V413">
        <v>0</v>
      </c>
      <c r="W413" t="s">
        <v>59</v>
      </c>
      <c r="X413">
        <v>0</v>
      </c>
      <c r="Y413">
        <v>0</v>
      </c>
      <c r="Z413">
        <v>0</v>
      </c>
      <c r="AA413" t="s">
        <v>57</v>
      </c>
      <c r="AB413">
        <v>0</v>
      </c>
      <c r="AC413">
        <v>0</v>
      </c>
      <c r="AD413">
        <v>0</v>
      </c>
      <c r="AE413">
        <v>-100</v>
      </c>
      <c r="AF413" t="s">
        <v>67</v>
      </c>
      <c r="AG413">
        <v>0</v>
      </c>
      <c r="AH413">
        <v>0</v>
      </c>
      <c r="AI413">
        <v>0</v>
      </c>
      <c r="AJ413">
        <v>0</v>
      </c>
      <c r="AK413" t="s">
        <v>60</v>
      </c>
      <c r="AL413">
        <v>0</v>
      </c>
      <c r="AM413">
        <v>0</v>
      </c>
      <c r="AN413">
        <v>0</v>
      </c>
      <c r="AO413">
        <v>0</v>
      </c>
      <c r="AP413" t="b">
        <v>0</v>
      </c>
      <c r="AQ413" t="s">
        <v>55</v>
      </c>
      <c r="AR413" t="s">
        <v>76</v>
      </c>
      <c r="AS413" t="s">
        <v>66</v>
      </c>
      <c r="AT413">
        <v>0</v>
      </c>
      <c r="AU413">
        <v>0</v>
      </c>
      <c r="AV413">
        <v>0</v>
      </c>
      <c r="AW413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s">
        <v>77</v>
      </c>
      <c r="BF413" t="s">
        <v>57</v>
      </c>
      <c r="BG413" t="s">
        <v>74</v>
      </c>
      <c r="BH413" t="s">
        <v>75</v>
      </c>
      <c r="BI413" t="s">
        <v>55</v>
      </c>
    </row>
    <row r="414" spans="1:61" x14ac:dyDescent="0.25">
      <c r="A414" t="str" cm="1">
        <f t="array" ref="A414">_xlfn.IFS(AS414="RegularSeason",C414,AS414&lt;&gt;"RegularSeason",R414)</f>
        <v>00000000000000000000000000000000</v>
      </c>
      <c r="B414" t="str" cm="1">
        <f t="array" ref="B414">_xlfn.IFS(AS414="RegularSeason",D414,AS414&lt;&gt;"RegularSeason",K414)</f>
        <v>00000000000000000000000000000000</v>
      </c>
      <c r="C414" t="str">
        <f t="shared" si="18"/>
        <v>00000000000000000000000000011001</v>
      </c>
      <c r="D414" t="str">
        <f t="shared" si="19"/>
        <v>00000000000000000000000000100100</v>
      </c>
      <c r="E414" t="str" cm="1">
        <f t="array" ref="E414">_xlfn.XLOOKUP(_xlfn.XLOOKUP(G414,New!A:A,New!M:M,NONE),TeamIdentity!A:A,TeamIdentity!C:C,NONE)</f>
        <v>00011001</v>
      </c>
      <c r="F414" t="str" cm="1">
        <f t="array" ref="F414">_xlfn.XLOOKUP(_xlfn.XLOOKUP(G414,New!A:A,New!F:F,NONE),TeamIdentity!A:A,TeamIdentity!C:C,NONE)</f>
        <v>00100100</v>
      </c>
      <c r="G414" t="str">
        <f t="shared" si="20"/>
        <v>0-0</v>
      </c>
      <c r="H414" t="s">
        <v>123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>
        <v>-2147483648</v>
      </c>
      <c r="T414">
        <v>-2147483648</v>
      </c>
      <c r="U414">
        <v>-2147483648</v>
      </c>
      <c r="V414">
        <v>0</v>
      </c>
      <c r="W414" t="s">
        <v>59</v>
      </c>
      <c r="X414">
        <v>0</v>
      </c>
      <c r="Y414">
        <v>0</v>
      </c>
      <c r="Z414">
        <v>0</v>
      </c>
      <c r="AA414" t="s">
        <v>57</v>
      </c>
      <c r="AB414">
        <v>0</v>
      </c>
      <c r="AC414">
        <v>0</v>
      </c>
      <c r="AD414">
        <v>0</v>
      </c>
      <c r="AE414">
        <v>-100</v>
      </c>
      <c r="AF414" t="s">
        <v>67</v>
      </c>
      <c r="AG414">
        <v>0</v>
      </c>
      <c r="AH414">
        <v>0</v>
      </c>
      <c r="AI414">
        <v>0</v>
      </c>
      <c r="AJ414">
        <v>0</v>
      </c>
      <c r="AK414" t="s">
        <v>60</v>
      </c>
      <c r="AL414">
        <v>0</v>
      </c>
      <c r="AM414">
        <v>0</v>
      </c>
      <c r="AN414">
        <v>0</v>
      </c>
      <c r="AO414">
        <v>0</v>
      </c>
      <c r="AP414" t="b">
        <v>0</v>
      </c>
      <c r="AQ414" t="s">
        <v>55</v>
      </c>
      <c r="AR414" t="s">
        <v>76</v>
      </c>
      <c r="AS414" t="s">
        <v>66</v>
      </c>
      <c r="AT414">
        <v>0</v>
      </c>
      <c r="AU414">
        <v>0</v>
      </c>
      <c r="AV414">
        <v>0</v>
      </c>
      <c r="AW414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s">
        <v>77</v>
      </c>
      <c r="BF414" t="s">
        <v>57</v>
      </c>
      <c r="BG414" t="s">
        <v>74</v>
      </c>
      <c r="BH414" t="s">
        <v>75</v>
      </c>
      <c r="BI414" t="s">
        <v>55</v>
      </c>
    </row>
    <row r="415" spans="1:61" x14ac:dyDescent="0.25">
      <c r="A415" t="str" cm="1">
        <f t="array" ref="A415">_xlfn.IFS(AS415="RegularSeason",C415,AS415&lt;&gt;"RegularSeason",R415)</f>
        <v>00000000000000000000000000000000</v>
      </c>
      <c r="B415" t="str" cm="1">
        <f t="array" ref="B415">_xlfn.IFS(AS415="RegularSeason",D415,AS415&lt;&gt;"RegularSeason",K415)</f>
        <v>00000000000000000000000000000000</v>
      </c>
      <c r="C415" t="str">
        <f t="shared" si="18"/>
        <v>00000000000000000000000000011001</v>
      </c>
      <c r="D415" t="str">
        <f t="shared" si="19"/>
        <v>00000000000000000000000000100100</v>
      </c>
      <c r="E415" t="str" cm="1">
        <f t="array" ref="E415">_xlfn.XLOOKUP(_xlfn.XLOOKUP(G415,New!A:A,New!M:M,NONE),TeamIdentity!A:A,TeamIdentity!C:C,NONE)</f>
        <v>00011001</v>
      </c>
      <c r="F415" t="str" cm="1">
        <f t="array" ref="F415">_xlfn.XLOOKUP(_xlfn.XLOOKUP(G415,New!A:A,New!F:F,NONE),TeamIdentity!A:A,TeamIdentity!C:C,NONE)</f>
        <v>00100100</v>
      </c>
      <c r="G415" t="str">
        <f t="shared" si="20"/>
        <v>0-0</v>
      </c>
      <c r="H415" t="s">
        <v>124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>
        <v>-2147483648</v>
      </c>
      <c r="T415">
        <v>-2147483648</v>
      </c>
      <c r="U415">
        <v>-2147483648</v>
      </c>
      <c r="V415">
        <v>0</v>
      </c>
      <c r="W415" t="s">
        <v>59</v>
      </c>
      <c r="X415">
        <v>0</v>
      </c>
      <c r="Y415">
        <v>0</v>
      </c>
      <c r="Z415">
        <v>0</v>
      </c>
      <c r="AA415" t="s">
        <v>57</v>
      </c>
      <c r="AB415">
        <v>0</v>
      </c>
      <c r="AC415">
        <v>0</v>
      </c>
      <c r="AD415">
        <v>0</v>
      </c>
      <c r="AE415">
        <v>-100</v>
      </c>
      <c r="AF415" t="s">
        <v>67</v>
      </c>
      <c r="AG415">
        <v>0</v>
      </c>
      <c r="AH415">
        <v>0</v>
      </c>
      <c r="AI415">
        <v>0</v>
      </c>
      <c r="AJ415">
        <v>0</v>
      </c>
      <c r="AK415" t="s">
        <v>60</v>
      </c>
      <c r="AL415">
        <v>0</v>
      </c>
      <c r="AM415">
        <v>0</v>
      </c>
      <c r="AN415">
        <v>0</v>
      </c>
      <c r="AO415">
        <v>0</v>
      </c>
      <c r="AP415" t="b">
        <v>0</v>
      </c>
      <c r="AQ415" t="s">
        <v>55</v>
      </c>
      <c r="AR415" t="s">
        <v>76</v>
      </c>
      <c r="AS415" t="s">
        <v>66</v>
      </c>
      <c r="AT415">
        <v>0</v>
      </c>
      <c r="AU415">
        <v>0</v>
      </c>
      <c r="AV415">
        <v>0</v>
      </c>
      <c r="AW415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s">
        <v>77</v>
      </c>
      <c r="BF415" t="s">
        <v>57</v>
      </c>
      <c r="BG415" t="s">
        <v>74</v>
      </c>
      <c r="BH415" t="s">
        <v>75</v>
      </c>
      <c r="BI415" t="s">
        <v>55</v>
      </c>
    </row>
    <row r="416" spans="1:61" x14ac:dyDescent="0.25">
      <c r="A416" t="str" cm="1">
        <f t="array" ref="A416">_xlfn.IFS(AS416="RegularSeason",C416,AS416&lt;&gt;"RegularSeason",R416)</f>
        <v>00000000000000000000000000000000</v>
      </c>
      <c r="B416" t="str" cm="1">
        <f t="array" ref="B416">_xlfn.IFS(AS416="RegularSeason",D416,AS416&lt;&gt;"RegularSeason",K416)</f>
        <v>00000000000000000000000000000000</v>
      </c>
      <c r="C416" t="str">
        <f t="shared" si="18"/>
        <v>00000000000000000000000000011001</v>
      </c>
      <c r="D416" t="str">
        <f t="shared" si="19"/>
        <v>00000000000000000000000000100100</v>
      </c>
      <c r="E416" t="str" cm="1">
        <f t="array" ref="E416">_xlfn.XLOOKUP(_xlfn.XLOOKUP(G416,New!A:A,New!M:M,NONE),TeamIdentity!A:A,TeamIdentity!C:C,NONE)</f>
        <v>00011001</v>
      </c>
      <c r="F416" t="str" cm="1">
        <f t="array" ref="F416">_xlfn.XLOOKUP(_xlfn.XLOOKUP(G416,New!A:A,New!F:F,NONE),TeamIdentity!A:A,TeamIdentity!C:C,NONE)</f>
        <v>00100100</v>
      </c>
      <c r="G416" t="str">
        <f t="shared" si="20"/>
        <v>0-0</v>
      </c>
      <c r="H416" t="s">
        <v>125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>
        <v>-2147483648</v>
      </c>
      <c r="T416">
        <v>-2147483648</v>
      </c>
      <c r="U416">
        <v>-2147483648</v>
      </c>
      <c r="V416">
        <v>0</v>
      </c>
      <c r="W416" t="s">
        <v>59</v>
      </c>
      <c r="X416">
        <v>0</v>
      </c>
      <c r="Y416">
        <v>0</v>
      </c>
      <c r="Z416">
        <v>0</v>
      </c>
      <c r="AA416" t="s">
        <v>57</v>
      </c>
      <c r="AB416">
        <v>0</v>
      </c>
      <c r="AC416">
        <v>0</v>
      </c>
      <c r="AD416">
        <v>0</v>
      </c>
      <c r="AE416">
        <v>-100</v>
      </c>
      <c r="AF416" t="s">
        <v>67</v>
      </c>
      <c r="AG416">
        <v>0</v>
      </c>
      <c r="AH416">
        <v>0</v>
      </c>
      <c r="AI416">
        <v>0</v>
      </c>
      <c r="AJ416">
        <v>0</v>
      </c>
      <c r="AK416" t="s">
        <v>60</v>
      </c>
      <c r="AL416">
        <v>0</v>
      </c>
      <c r="AM416">
        <v>0</v>
      </c>
      <c r="AN416">
        <v>0</v>
      </c>
      <c r="AO416">
        <v>0</v>
      </c>
      <c r="AP416" t="b">
        <v>0</v>
      </c>
      <c r="AQ416" t="s">
        <v>55</v>
      </c>
      <c r="AR416" t="s">
        <v>76</v>
      </c>
      <c r="AS416" t="s">
        <v>66</v>
      </c>
      <c r="AT416">
        <v>0</v>
      </c>
      <c r="AU416">
        <v>0</v>
      </c>
      <c r="AV416">
        <v>0</v>
      </c>
      <c r="AW416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s">
        <v>77</v>
      </c>
      <c r="BF416" t="s">
        <v>57</v>
      </c>
      <c r="BG416" t="s">
        <v>74</v>
      </c>
      <c r="BH416" t="s">
        <v>75</v>
      </c>
      <c r="BI416" t="s">
        <v>55</v>
      </c>
    </row>
    <row r="417" spans="1:61" x14ac:dyDescent="0.25">
      <c r="A417" t="str" cm="1">
        <f t="array" ref="A417">_xlfn.IFS(AS417="RegularSeason",C417,AS417&lt;&gt;"RegularSeason",R417)</f>
        <v>00000000000000000000000000000000</v>
      </c>
      <c r="B417" t="str" cm="1">
        <f t="array" ref="B417">_xlfn.IFS(AS417="RegularSeason",D417,AS417&lt;&gt;"RegularSeason",K417)</f>
        <v>00000000000000000000000000000000</v>
      </c>
      <c r="C417" t="str">
        <f t="shared" si="18"/>
        <v>00000000000000000000000000011001</v>
      </c>
      <c r="D417" t="str">
        <f t="shared" si="19"/>
        <v>00000000000000000000000000100100</v>
      </c>
      <c r="E417" t="str" cm="1">
        <f t="array" ref="E417">_xlfn.XLOOKUP(_xlfn.XLOOKUP(G417,New!A:A,New!M:M,NONE),TeamIdentity!A:A,TeamIdentity!C:C,NONE)</f>
        <v>00011001</v>
      </c>
      <c r="F417" t="str" cm="1">
        <f t="array" ref="F417">_xlfn.XLOOKUP(_xlfn.XLOOKUP(G417,New!A:A,New!F:F,NONE),TeamIdentity!A:A,TeamIdentity!C:C,NONE)</f>
        <v>00100100</v>
      </c>
      <c r="G417" t="str">
        <f t="shared" si="20"/>
        <v>0-0</v>
      </c>
      <c r="H417" t="s">
        <v>126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>
        <v>-2147483648</v>
      </c>
      <c r="T417">
        <v>-2147483648</v>
      </c>
      <c r="U417">
        <v>-2147483648</v>
      </c>
      <c r="V417">
        <v>0</v>
      </c>
      <c r="W417" t="s">
        <v>59</v>
      </c>
      <c r="X417">
        <v>0</v>
      </c>
      <c r="Y417">
        <v>0</v>
      </c>
      <c r="Z417">
        <v>0</v>
      </c>
      <c r="AA417" t="s">
        <v>57</v>
      </c>
      <c r="AB417">
        <v>0</v>
      </c>
      <c r="AC417">
        <v>0</v>
      </c>
      <c r="AD417">
        <v>0</v>
      </c>
      <c r="AE417">
        <v>-100</v>
      </c>
      <c r="AF417" t="s">
        <v>67</v>
      </c>
      <c r="AG417">
        <v>0</v>
      </c>
      <c r="AH417">
        <v>0</v>
      </c>
      <c r="AI417">
        <v>0</v>
      </c>
      <c r="AJ417">
        <v>0</v>
      </c>
      <c r="AK417" t="s">
        <v>60</v>
      </c>
      <c r="AL417">
        <v>0</v>
      </c>
      <c r="AM417">
        <v>0</v>
      </c>
      <c r="AN417">
        <v>0</v>
      </c>
      <c r="AO417">
        <v>0</v>
      </c>
      <c r="AP417" t="b">
        <v>0</v>
      </c>
      <c r="AQ417" t="s">
        <v>55</v>
      </c>
      <c r="AR417" t="s">
        <v>76</v>
      </c>
      <c r="AS417" t="s">
        <v>66</v>
      </c>
      <c r="AT417">
        <v>0</v>
      </c>
      <c r="AU417">
        <v>0</v>
      </c>
      <c r="AV417">
        <v>0</v>
      </c>
      <c r="AW417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s">
        <v>77</v>
      </c>
      <c r="BF417" t="s">
        <v>57</v>
      </c>
      <c r="BG417" t="s">
        <v>74</v>
      </c>
      <c r="BH417" t="s">
        <v>75</v>
      </c>
      <c r="BI417" t="s">
        <v>55</v>
      </c>
    </row>
    <row r="418" spans="1:61" x14ac:dyDescent="0.25">
      <c r="A418" t="str" cm="1">
        <f t="array" ref="A418">_xlfn.IFS(AS418="RegularSeason",C418,AS418&lt;&gt;"RegularSeason",R418)</f>
        <v>00000000000000000000000000000000</v>
      </c>
      <c r="B418" t="str" cm="1">
        <f t="array" ref="B418">_xlfn.IFS(AS418="RegularSeason",D418,AS418&lt;&gt;"RegularSeason",K418)</f>
        <v>00000000000000000000000000000000</v>
      </c>
      <c r="C418" t="str">
        <f t="shared" si="18"/>
        <v>00000000000000000000000000011001</v>
      </c>
      <c r="D418" t="str">
        <f t="shared" si="19"/>
        <v>00000000000000000000000000100100</v>
      </c>
      <c r="E418" t="str" cm="1">
        <f t="array" ref="E418">_xlfn.XLOOKUP(_xlfn.XLOOKUP(G418,New!A:A,New!M:M,NONE),TeamIdentity!A:A,TeamIdentity!C:C,NONE)</f>
        <v>00011001</v>
      </c>
      <c r="F418" t="str" cm="1">
        <f t="array" ref="F418">_xlfn.XLOOKUP(_xlfn.XLOOKUP(G418,New!A:A,New!F:F,NONE),TeamIdentity!A:A,TeamIdentity!C:C,NONE)</f>
        <v>00100100</v>
      </c>
      <c r="G418" t="str">
        <f t="shared" si="20"/>
        <v>0-0</v>
      </c>
      <c r="H418" t="s">
        <v>127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>
        <v>-2147483648</v>
      </c>
      <c r="T418">
        <v>-2147483648</v>
      </c>
      <c r="U418">
        <v>-2147483648</v>
      </c>
      <c r="V418">
        <v>0</v>
      </c>
      <c r="W418" t="s">
        <v>59</v>
      </c>
      <c r="X418">
        <v>0</v>
      </c>
      <c r="Y418">
        <v>0</v>
      </c>
      <c r="Z418">
        <v>0</v>
      </c>
      <c r="AA418" t="s">
        <v>57</v>
      </c>
      <c r="AB418">
        <v>0</v>
      </c>
      <c r="AC418">
        <v>0</v>
      </c>
      <c r="AD418">
        <v>0</v>
      </c>
      <c r="AE418">
        <v>-100</v>
      </c>
      <c r="AF418" t="s">
        <v>67</v>
      </c>
      <c r="AG418">
        <v>0</v>
      </c>
      <c r="AH418">
        <v>0</v>
      </c>
      <c r="AI418">
        <v>0</v>
      </c>
      <c r="AJ418">
        <v>0</v>
      </c>
      <c r="AK418" t="s">
        <v>60</v>
      </c>
      <c r="AL418">
        <v>0</v>
      </c>
      <c r="AM418">
        <v>0</v>
      </c>
      <c r="AN418">
        <v>0</v>
      </c>
      <c r="AO418">
        <v>0</v>
      </c>
      <c r="AP418" t="b">
        <v>0</v>
      </c>
      <c r="AQ418" t="s">
        <v>55</v>
      </c>
      <c r="AR418" t="s">
        <v>76</v>
      </c>
      <c r="AS418" t="s">
        <v>66</v>
      </c>
      <c r="AT418">
        <v>0</v>
      </c>
      <c r="AU418">
        <v>0</v>
      </c>
      <c r="AV418">
        <v>0</v>
      </c>
      <c r="AW418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s">
        <v>77</v>
      </c>
      <c r="BF418" t="s">
        <v>57</v>
      </c>
      <c r="BG418" t="s">
        <v>74</v>
      </c>
      <c r="BH418" t="s">
        <v>75</v>
      </c>
      <c r="BI418" t="s">
        <v>55</v>
      </c>
    </row>
    <row r="419" spans="1:61" x14ac:dyDescent="0.25">
      <c r="A419" t="str" cm="1">
        <f t="array" ref="A419">_xlfn.IFS(AS419="RegularSeason",C419,AS419&lt;&gt;"RegularSeason",R419)</f>
        <v>00000000000000000000000000000000</v>
      </c>
      <c r="B419" t="str" cm="1">
        <f t="array" ref="B419">_xlfn.IFS(AS419="RegularSeason",D419,AS419&lt;&gt;"RegularSeason",K419)</f>
        <v>00000000000000000000000000000000</v>
      </c>
      <c r="C419" t="str">
        <f t="shared" si="18"/>
        <v>00000000000000000000000000011001</v>
      </c>
      <c r="D419" t="str">
        <f t="shared" si="19"/>
        <v>00000000000000000000000000100100</v>
      </c>
      <c r="E419" t="str" cm="1">
        <f t="array" ref="E419">_xlfn.XLOOKUP(_xlfn.XLOOKUP(G419,New!A:A,New!M:M,NONE),TeamIdentity!A:A,TeamIdentity!C:C,NONE)</f>
        <v>00011001</v>
      </c>
      <c r="F419" t="str" cm="1">
        <f t="array" ref="F419">_xlfn.XLOOKUP(_xlfn.XLOOKUP(G419,New!A:A,New!F:F,NONE),TeamIdentity!A:A,TeamIdentity!C:C,NONE)</f>
        <v>00100100</v>
      </c>
      <c r="G419" t="str">
        <f t="shared" si="20"/>
        <v>0-0</v>
      </c>
      <c r="H419" t="s">
        <v>128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>
        <v>-2147483648</v>
      </c>
      <c r="T419">
        <v>-2147483648</v>
      </c>
      <c r="U419">
        <v>-2147483648</v>
      </c>
      <c r="V419">
        <v>0</v>
      </c>
      <c r="W419" t="s">
        <v>59</v>
      </c>
      <c r="X419">
        <v>0</v>
      </c>
      <c r="Y419">
        <v>0</v>
      </c>
      <c r="Z419">
        <v>0</v>
      </c>
      <c r="AA419" t="s">
        <v>57</v>
      </c>
      <c r="AB419">
        <v>0</v>
      </c>
      <c r="AC419">
        <v>0</v>
      </c>
      <c r="AD419">
        <v>0</v>
      </c>
      <c r="AE419">
        <v>-100</v>
      </c>
      <c r="AF419" t="s">
        <v>67</v>
      </c>
      <c r="AG419">
        <v>0</v>
      </c>
      <c r="AH419">
        <v>0</v>
      </c>
      <c r="AI419">
        <v>0</v>
      </c>
      <c r="AJ419">
        <v>0</v>
      </c>
      <c r="AK419" t="s">
        <v>60</v>
      </c>
      <c r="AL419">
        <v>0</v>
      </c>
      <c r="AM419">
        <v>0</v>
      </c>
      <c r="AN419">
        <v>0</v>
      </c>
      <c r="AO419">
        <v>0</v>
      </c>
      <c r="AP419" t="b">
        <v>0</v>
      </c>
      <c r="AQ419" t="s">
        <v>55</v>
      </c>
      <c r="AR419" t="s">
        <v>76</v>
      </c>
      <c r="AS419" t="s">
        <v>66</v>
      </c>
      <c r="AT419">
        <v>0</v>
      </c>
      <c r="AU419">
        <v>0</v>
      </c>
      <c r="AV419">
        <v>0</v>
      </c>
      <c r="AW419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s">
        <v>77</v>
      </c>
      <c r="BF419" t="s">
        <v>57</v>
      </c>
      <c r="BG419" t="s">
        <v>74</v>
      </c>
      <c r="BH419" t="s">
        <v>75</v>
      </c>
      <c r="BI419" t="s">
        <v>55</v>
      </c>
    </row>
    <row r="420" spans="1:61" x14ac:dyDescent="0.25">
      <c r="A420" t="str" cm="1">
        <f t="array" ref="A420">_xlfn.IFS(AS420="RegularSeason",C420,AS420&lt;&gt;"RegularSeason",R420)</f>
        <v>00000000000000000000000000000000</v>
      </c>
      <c r="B420" t="str" cm="1">
        <f t="array" ref="B420">_xlfn.IFS(AS420="RegularSeason",D420,AS420&lt;&gt;"RegularSeason",K420)</f>
        <v>00000000000000000000000000000000</v>
      </c>
      <c r="C420" t="str">
        <f t="shared" si="18"/>
        <v>00000000000000000000000000011001</v>
      </c>
      <c r="D420" t="str">
        <f t="shared" si="19"/>
        <v>00000000000000000000000000100100</v>
      </c>
      <c r="E420" t="str" cm="1">
        <f t="array" ref="E420">_xlfn.XLOOKUP(_xlfn.XLOOKUP(G420,New!A:A,New!M:M,NONE),TeamIdentity!A:A,TeamIdentity!C:C,NONE)</f>
        <v>00011001</v>
      </c>
      <c r="F420" t="str" cm="1">
        <f t="array" ref="F420">_xlfn.XLOOKUP(_xlfn.XLOOKUP(G420,New!A:A,New!F:F,NONE),TeamIdentity!A:A,TeamIdentity!C:C,NONE)</f>
        <v>00100100</v>
      </c>
      <c r="G420" t="str">
        <f t="shared" si="20"/>
        <v>0-0</v>
      </c>
      <c r="H420" t="s">
        <v>129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>
        <v>-2147483648</v>
      </c>
      <c r="T420">
        <v>-2147483648</v>
      </c>
      <c r="U420">
        <v>-2147483648</v>
      </c>
      <c r="V420">
        <v>0</v>
      </c>
      <c r="W420" t="s">
        <v>59</v>
      </c>
      <c r="X420">
        <v>0</v>
      </c>
      <c r="Y420">
        <v>0</v>
      </c>
      <c r="Z420">
        <v>0</v>
      </c>
      <c r="AA420" t="s">
        <v>57</v>
      </c>
      <c r="AB420">
        <v>0</v>
      </c>
      <c r="AC420">
        <v>0</v>
      </c>
      <c r="AD420">
        <v>0</v>
      </c>
      <c r="AE420">
        <v>-100</v>
      </c>
      <c r="AF420" t="s">
        <v>67</v>
      </c>
      <c r="AG420">
        <v>0</v>
      </c>
      <c r="AH420">
        <v>0</v>
      </c>
      <c r="AI420">
        <v>0</v>
      </c>
      <c r="AJ420">
        <v>0</v>
      </c>
      <c r="AK420" t="s">
        <v>60</v>
      </c>
      <c r="AL420">
        <v>0</v>
      </c>
      <c r="AM420">
        <v>0</v>
      </c>
      <c r="AN420">
        <v>0</v>
      </c>
      <c r="AO420">
        <v>0</v>
      </c>
      <c r="AP420" t="b">
        <v>0</v>
      </c>
      <c r="AQ420" t="s">
        <v>55</v>
      </c>
      <c r="AR420" t="s">
        <v>76</v>
      </c>
      <c r="AS420" t="s">
        <v>66</v>
      </c>
      <c r="AT420">
        <v>0</v>
      </c>
      <c r="AU420">
        <v>0</v>
      </c>
      <c r="AV420">
        <v>0</v>
      </c>
      <c r="AW420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s">
        <v>77</v>
      </c>
      <c r="BF420" t="s">
        <v>57</v>
      </c>
      <c r="BG420" t="s">
        <v>74</v>
      </c>
      <c r="BH420" t="s">
        <v>75</v>
      </c>
      <c r="BI420" t="s">
        <v>55</v>
      </c>
    </row>
    <row r="421" spans="1:61" x14ac:dyDescent="0.25">
      <c r="A421" t="str" cm="1">
        <f t="array" ref="A421">_xlfn.IFS(AS421="RegularSeason",C421,AS421&lt;&gt;"RegularSeason",R421)</f>
        <v>00000000000000000000000000000000</v>
      </c>
      <c r="B421" t="str" cm="1">
        <f t="array" ref="B421">_xlfn.IFS(AS421="RegularSeason",D421,AS421&lt;&gt;"RegularSeason",K421)</f>
        <v>00000000000000000000000000000000</v>
      </c>
      <c r="C421" t="str">
        <f t="shared" si="18"/>
        <v>00000000000000000000000000011001</v>
      </c>
      <c r="D421" t="str">
        <f t="shared" si="19"/>
        <v>00000000000000000000000000100100</v>
      </c>
      <c r="E421" t="str" cm="1">
        <f t="array" ref="E421">_xlfn.XLOOKUP(_xlfn.XLOOKUP(G421,New!A:A,New!M:M,NONE),TeamIdentity!A:A,TeamIdentity!C:C,NONE)</f>
        <v>00011001</v>
      </c>
      <c r="F421" t="str" cm="1">
        <f t="array" ref="F421">_xlfn.XLOOKUP(_xlfn.XLOOKUP(G421,New!A:A,New!F:F,NONE),TeamIdentity!A:A,TeamIdentity!C:C,NONE)</f>
        <v>00100100</v>
      </c>
      <c r="G421" t="str">
        <f t="shared" si="20"/>
        <v>0-0</v>
      </c>
      <c r="H421" t="s">
        <v>130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>
        <v>-2147483648</v>
      </c>
      <c r="T421">
        <v>-2147483648</v>
      </c>
      <c r="U421">
        <v>-2147483648</v>
      </c>
      <c r="V421">
        <v>0</v>
      </c>
      <c r="W421" t="s">
        <v>59</v>
      </c>
      <c r="X421">
        <v>0</v>
      </c>
      <c r="Y421">
        <v>0</v>
      </c>
      <c r="Z421">
        <v>0</v>
      </c>
      <c r="AA421" t="s">
        <v>57</v>
      </c>
      <c r="AB421">
        <v>0</v>
      </c>
      <c r="AC421">
        <v>0</v>
      </c>
      <c r="AD421">
        <v>0</v>
      </c>
      <c r="AE421">
        <v>-100</v>
      </c>
      <c r="AF421" t="s">
        <v>67</v>
      </c>
      <c r="AG421">
        <v>0</v>
      </c>
      <c r="AH421">
        <v>0</v>
      </c>
      <c r="AI421">
        <v>0</v>
      </c>
      <c r="AJ421">
        <v>0</v>
      </c>
      <c r="AK421" t="s">
        <v>60</v>
      </c>
      <c r="AL421">
        <v>0</v>
      </c>
      <c r="AM421">
        <v>0</v>
      </c>
      <c r="AN421">
        <v>0</v>
      </c>
      <c r="AO421">
        <v>0</v>
      </c>
      <c r="AP421" t="b">
        <v>0</v>
      </c>
      <c r="AQ421" t="s">
        <v>55</v>
      </c>
      <c r="AR421" t="s">
        <v>76</v>
      </c>
      <c r="AS421" t="s">
        <v>66</v>
      </c>
      <c r="AT421">
        <v>0</v>
      </c>
      <c r="AU421">
        <v>0</v>
      </c>
      <c r="AV421">
        <v>0</v>
      </c>
      <c r="AW421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s">
        <v>77</v>
      </c>
      <c r="BF421" t="s">
        <v>57</v>
      </c>
      <c r="BG421" t="s">
        <v>74</v>
      </c>
      <c r="BH421" t="s">
        <v>75</v>
      </c>
      <c r="BI421" t="s">
        <v>55</v>
      </c>
    </row>
    <row r="422" spans="1:61" x14ac:dyDescent="0.25">
      <c r="A422" t="str" cm="1">
        <f t="array" ref="A422">_xlfn.IFS(AS422="RegularSeason",C422,AS422&lt;&gt;"RegularSeason",R422)</f>
        <v>00000000000000000000000000000000</v>
      </c>
      <c r="B422" t="str" cm="1">
        <f t="array" ref="B422">_xlfn.IFS(AS422="RegularSeason",D422,AS422&lt;&gt;"RegularSeason",K422)</f>
        <v>00000000000000000000000000000000</v>
      </c>
      <c r="C422" t="str">
        <f t="shared" si="18"/>
        <v>00000000000000000000000000011001</v>
      </c>
      <c r="D422" t="str">
        <f t="shared" si="19"/>
        <v>00000000000000000000000000100100</v>
      </c>
      <c r="E422" t="str" cm="1">
        <f t="array" ref="E422">_xlfn.XLOOKUP(_xlfn.XLOOKUP(G422,New!A:A,New!M:M,NONE),TeamIdentity!A:A,TeamIdentity!C:C,NONE)</f>
        <v>00011001</v>
      </c>
      <c r="F422" t="str" cm="1">
        <f t="array" ref="F422">_xlfn.XLOOKUP(_xlfn.XLOOKUP(G422,New!A:A,New!F:F,NONE),TeamIdentity!A:A,TeamIdentity!C:C,NONE)</f>
        <v>00100100</v>
      </c>
      <c r="G422" t="str">
        <f t="shared" si="20"/>
        <v>0-0</v>
      </c>
      <c r="H422" t="s">
        <v>131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>
        <v>-2147483648</v>
      </c>
      <c r="T422">
        <v>-2147483648</v>
      </c>
      <c r="U422">
        <v>-2147483648</v>
      </c>
      <c r="V422">
        <v>0</v>
      </c>
      <c r="W422" t="s">
        <v>59</v>
      </c>
      <c r="X422">
        <v>0</v>
      </c>
      <c r="Y422">
        <v>0</v>
      </c>
      <c r="Z422">
        <v>0</v>
      </c>
      <c r="AA422" t="s">
        <v>57</v>
      </c>
      <c r="AB422">
        <v>0</v>
      </c>
      <c r="AC422">
        <v>0</v>
      </c>
      <c r="AD422">
        <v>0</v>
      </c>
      <c r="AE422">
        <v>-100</v>
      </c>
      <c r="AF422" t="s">
        <v>67</v>
      </c>
      <c r="AG422">
        <v>0</v>
      </c>
      <c r="AH422">
        <v>0</v>
      </c>
      <c r="AI422">
        <v>0</v>
      </c>
      <c r="AJ422">
        <v>0</v>
      </c>
      <c r="AK422" t="s">
        <v>60</v>
      </c>
      <c r="AL422">
        <v>0</v>
      </c>
      <c r="AM422">
        <v>0</v>
      </c>
      <c r="AN422">
        <v>0</v>
      </c>
      <c r="AO422">
        <v>0</v>
      </c>
      <c r="AP422" t="b">
        <v>0</v>
      </c>
      <c r="AQ422" t="s">
        <v>55</v>
      </c>
      <c r="AR422" t="s">
        <v>76</v>
      </c>
      <c r="AS422" t="s">
        <v>66</v>
      </c>
      <c r="AT422">
        <v>0</v>
      </c>
      <c r="AU422">
        <v>0</v>
      </c>
      <c r="AV422">
        <v>0</v>
      </c>
      <c r="AW422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s">
        <v>77</v>
      </c>
      <c r="BF422" t="s">
        <v>57</v>
      </c>
      <c r="BG422" t="s">
        <v>74</v>
      </c>
      <c r="BH422" t="s">
        <v>75</v>
      </c>
      <c r="BI422" t="s">
        <v>55</v>
      </c>
    </row>
    <row r="423" spans="1:61" x14ac:dyDescent="0.25">
      <c r="A423" t="str" cm="1">
        <f t="array" ref="A423">_xlfn.IFS(AS423="RegularSeason",C423,AS423&lt;&gt;"RegularSeason",R423)</f>
        <v>00000000000000000000000000000000</v>
      </c>
      <c r="B423" t="str" cm="1">
        <f t="array" ref="B423">_xlfn.IFS(AS423="RegularSeason",D423,AS423&lt;&gt;"RegularSeason",K423)</f>
        <v>00000000000000000000000000000000</v>
      </c>
      <c r="C423" t="str">
        <f t="shared" si="18"/>
        <v>00000000000000000000000000011001</v>
      </c>
      <c r="D423" t="str">
        <f t="shared" si="19"/>
        <v>00000000000000000000000000100100</v>
      </c>
      <c r="E423" t="str" cm="1">
        <f t="array" ref="E423">_xlfn.XLOOKUP(_xlfn.XLOOKUP(G423,New!A:A,New!M:M,NONE),TeamIdentity!A:A,TeamIdentity!C:C,NONE)</f>
        <v>00011001</v>
      </c>
      <c r="F423" t="str" cm="1">
        <f t="array" ref="F423">_xlfn.XLOOKUP(_xlfn.XLOOKUP(G423,New!A:A,New!F:F,NONE),TeamIdentity!A:A,TeamIdentity!C:C,NONE)</f>
        <v>00100100</v>
      </c>
      <c r="G423" t="str">
        <f t="shared" si="20"/>
        <v>0-0</v>
      </c>
      <c r="H423" t="s">
        <v>132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>
        <v>-2147483648</v>
      </c>
      <c r="T423">
        <v>-2147483648</v>
      </c>
      <c r="U423">
        <v>-2147483648</v>
      </c>
      <c r="V423">
        <v>0</v>
      </c>
      <c r="W423" t="s">
        <v>59</v>
      </c>
      <c r="X423">
        <v>0</v>
      </c>
      <c r="Y423">
        <v>0</v>
      </c>
      <c r="Z423">
        <v>0</v>
      </c>
      <c r="AA423" t="s">
        <v>57</v>
      </c>
      <c r="AB423">
        <v>0</v>
      </c>
      <c r="AC423">
        <v>0</v>
      </c>
      <c r="AD423">
        <v>0</v>
      </c>
      <c r="AE423">
        <v>-100</v>
      </c>
      <c r="AF423" t="s">
        <v>67</v>
      </c>
      <c r="AG423">
        <v>0</v>
      </c>
      <c r="AH423">
        <v>0</v>
      </c>
      <c r="AI423">
        <v>0</v>
      </c>
      <c r="AJ423">
        <v>0</v>
      </c>
      <c r="AK423" t="s">
        <v>60</v>
      </c>
      <c r="AL423">
        <v>0</v>
      </c>
      <c r="AM423">
        <v>0</v>
      </c>
      <c r="AN423">
        <v>0</v>
      </c>
      <c r="AO423">
        <v>0</v>
      </c>
      <c r="AP423" t="b">
        <v>0</v>
      </c>
      <c r="AQ423" t="s">
        <v>55</v>
      </c>
      <c r="AR423" t="s">
        <v>76</v>
      </c>
      <c r="AS423" t="s">
        <v>66</v>
      </c>
      <c r="AT423">
        <v>0</v>
      </c>
      <c r="AU423">
        <v>0</v>
      </c>
      <c r="AV423">
        <v>0</v>
      </c>
      <c r="AW423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s">
        <v>77</v>
      </c>
      <c r="BF423" t="s">
        <v>57</v>
      </c>
      <c r="BG423" t="s">
        <v>74</v>
      </c>
      <c r="BH423" t="s">
        <v>75</v>
      </c>
      <c r="BI423" t="s">
        <v>55</v>
      </c>
    </row>
    <row r="424" spans="1:61" x14ac:dyDescent="0.25">
      <c r="A424" t="str" cm="1">
        <f t="array" ref="A424">_xlfn.IFS(AS424="RegularSeason",C424,AS424&lt;&gt;"RegularSeason",R424)</f>
        <v>00000000000000000000000000000000</v>
      </c>
      <c r="B424" t="str" cm="1">
        <f t="array" ref="B424">_xlfn.IFS(AS424="RegularSeason",D424,AS424&lt;&gt;"RegularSeason",K424)</f>
        <v>00000000000000000000000000000000</v>
      </c>
      <c r="C424" t="str">
        <f t="shared" si="18"/>
        <v>00000000000000000000000000011001</v>
      </c>
      <c r="D424" t="str">
        <f t="shared" si="19"/>
        <v>00000000000000000000000000100100</v>
      </c>
      <c r="E424" t="str" cm="1">
        <f t="array" ref="E424">_xlfn.XLOOKUP(_xlfn.XLOOKUP(G424,New!A:A,New!M:M,NONE),TeamIdentity!A:A,TeamIdentity!C:C,NONE)</f>
        <v>00011001</v>
      </c>
      <c r="F424" t="str" cm="1">
        <f t="array" ref="F424">_xlfn.XLOOKUP(_xlfn.XLOOKUP(G424,New!A:A,New!F:F,NONE),TeamIdentity!A:A,TeamIdentity!C:C,NONE)</f>
        <v>00100100</v>
      </c>
      <c r="G424" t="str">
        <f t="shared" si="20"/>
        <v>0-0</v>
      </c>
      <c r="H424" t="s">
        <v>133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>
        <v>-2147483648</v>
      </c>
      <c r="T424">
        <v>-2147483648</v>
      </c>
      <c r="U424">
        <v>-2147483648</v>
      </c>
      <c r="V424">
        <v>0</v>
      </c>
      <c r="W424" t="s">
        <v>59</v>
      </c>
      <c r="X424">
        <v>0</v>
      </c>
      <c r="Y424">
        <v>0</v>
      </c>
      <c r="Z424">
        <v>0</v>
      </c>
      <c r="AA424" t="s">
        <v>57</v>
      </c>
      <c r="AB424">
        <v>0</v>
      </c>
      <c r="AC424">
        <v>0</v>
      </c>
      <c r="AD424">
        <v>0</v>
      </c>
      <c r="AE424">
        <v>-100</v>
      </c>
      <c r="AF424" t="s">
        <v>67</v>
      </c>
      <c r="AG424">
        <v>0</v>
      </c>
      <c r="AH424">
        <v>0</v>
      </c>
      <c r="AI424">
        <v>0</v>
      </c>
      <c r="AJ424">
        <v>0</v>
      </c>
      <c r="AK424" t="s">
        <v>60</v>
      </c>
      <c r="AL424">
        <v>0</v>
      </c>
      <c r="AM424">
        <v>0</v>
      </c>
      <c r="AN424">
        <v>0</v>
      </c>
      <c r="AO424">
        <v>0</v>
      </c>
      <c r="AP424" t="b">
        <v>0</v>
      </c>
      <c r="AQ424" t="s">
        <v>55</v>
      </c>
      <c r="AR424" t="s">
        <v>76</v>
      </c>
      <c r="AS424" t="s">
        <v>66</v>
      </c>
      <c r="AT424">
        <v>0</v>
      </c>
      <c r="AU424">
        <v>0</v>
      </c>
      <c r="AV424">
        <v>0</v>
      </c>
      <c r="AW424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s">
        <v>77</v>
      </c>
      <c r="BF424" t="s">
        <v>57</v>
      </c>
      <c r="BG424" t="s">
        <v>74</v>
      </c>
      <c r="BH424" t="s">
        <v>75</v>
      </c>
      <c r="BI424" t="s">
        <v>55</v>
      </c>
    </row>
    <row r="425" spans="1:61" x14ac:dyDescent="0.25">
      <c r="A425" t="str" cm="1">
        <f t="array" ref="A425">_xlfn.IFS(AS425="RegularSeason",C425,AS425&lt;&gt;"RegularSeason",R425)</f>
        <v>00000000000000000000000000000000</v>
      </c>
      <c r="B425" t="str" cm="1">
        <f t="array" ref="B425">_xlfn.IFS(AS425="RegularSeason",D425,AS425&lt;&gt;"RegularSeason",K425)</f>
        <v>00000000000000000000000000000000</v>
      </c>
      <c r="C425" t="str">
        <f t="shared" si="18"/>
        <v>00000000000000000000000000011001</v>
      </c>
      <c r="D425" t="str">
        <f t="shared" si="19"/>
        <v>00000000000000000000000000100100</v>
      </c>
      <c r="E425" t="str" cm="1">
        <f t="array" ref="E425">_xlfn.XLOOKUP(_xlfn.XLOOKUP(G425,New!A:A,New!M:M,NONE),TeamIdentity!A:A,TeamIdentity!C:C,NONE)</f>
        <v>00011001</v>
      </c>
      <c r="F425" t="str" cm="1">
        <f t="array" ref="F425">_xlfn.XLOOKUP(_xlfn.XLOOKUP(G425,New!A:A,New!F:F,NONE),TeamIdentity!A:A,TeamIdentity!C:C,NONE)</f>
        <v>00100100</v>
      </c>
      <c r="G425" t="str">
        <f t="shared" si="20"/>
        <v>0-0</v>
      </c>
      <c r="H425" t="s">
        <v>134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>
        <v>-2147483648</v>
      </c>
      <c r="T425">
        <v>-2147483648</v>
      </c>
      <c r="U425">
        <v>-2147483648</v>
      </c>
      <c r="V425">
        <v>0</v>
      </c>
      <c r="W425" t="s">
        <v>59</v>
      </c>
      <c r="X425">
        <v>0</v>
      </c>
      <c r="Y425">
        <v>0</v>
      </c>
      <c r="Z425">
        <v>0</v>
      </c>
      <c r="AA425" t="s">
        <v>57</v>
      </c>
      <c r="AB425">
        <v>0</v>
      </c>
      <c r="AC425">
        <v>0</v>
      </c>
      <c r="AD425">
        <v>0</v>
      </c>
      <c r="AE425">
        <v>-100</v>
      </c>
      <c r="AF425" t="s">
        <v>67</v>
      </c>
      <c r="AG425">
        <v>0</v>
      </c>
      <c r="AH425">
        <v>0</v>
      </c>
      <c r="AI425">
        <v>0</v>
      </c>
      <c r="AJ425">
        <v>0</v>
      </c>
      <c r="AK425" t="s">
        <v>60</v>
      </c>
      <c r="AL425">
        <v>0</v>
      </c>
      <c r="AM425">
        <v>0</v>
      </c>
      <c r="AN425">
        <v>0</v>
      </c>
      <c r="AO425">
        <v>0</v>
      </c>
      <c r="AP425" t="b">
        <v>0</v>
      </c>
      <c r="AQ425" t="s">
        <v>55</v>
      </c>
      <c r="AR425" t="s">
        <v>76</v>
      </c>
      <c r="AS425" t="s">
        <v>66</v>
      </c>
      <c r="AT425">
        <v>0</v>
      </c>
      <c r="AU425">
        <v>0</v>
      </c>
      <c r="AV425">
        <v>0</v>
      </c>
      <c r="AW425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s">
        <v>77</v>
      </c>
      <c r="BF425" t="s">
        <v>57</v>
      </c>
      <c r="BG425" t="s">
        <v>74</v>
      </c>
      <c r="BH425" t="s">
        <v>75</v>
      </c>
      <c r="BI425" t="s">
        <v>55</v>
      </c>
    </row>
    <row r="426" spans="1:61" x14ac:dyDescent="0.25">
      <c r="A426" t="str" cm="1">
        <f t="array" ref="A426">_xlfn.IFS(AS426="RegularSeason",C426,AS426&lt;&gt;"RegularSeason",R426)</f>
        <v>00000000000000000000000000000000</v>
      </c>
      <c r="B426" t="str" cm="1">
        <f t="array" ref="B426">_xlfn.IFS(AS426="RegularSeason",D426,AS426&lt;&gt;"RegularSeason",K426)</f>
        <v>00000000000000000000000000000000</v>
      </c>
      <c r="C426" t="str">
        <f t="shared" si="18"/>
        <v>00000000000000000000000000011001</v>
      </c>
      <c r="D426" t="str">
        <f t="shared" si="19"/>
        <v>00000000000000000000000000100100</v>
      </c>
      <c r="E426" t="str" cm="1">
        <f t="array" ref="E426">_xlfn.XLOOKUP(_xlfn.XLOOKUP(G426,New!A:A,New!M:M,NONE),TeamIdentity!A:A,TeamIdentity!C:C,NONE)</f>
        <v>00011001</v>
      </c>
      <c r="F426" t="str" cm="1">
        <f t="array" ref="F426">_xlfn.XLOOKUP(_xlfn.XLOOKUP(G426,New!A:A,New!F:F,NONE),TeamIdentity!A:A,TeamIdentity!C:C,NONE)</f>
        <v>00100100</v>
      </c>
      <c r="G426" t="str">
        <f t="shared" si="20"/>
        <v>0-0</v>
      </c>
      <c r="H426" t="s">
        <v>135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>
        <v>-2147483648</v>
      </c>
      <c r="T426">
        <v>-2147483648</v>
      </c>
      <c r="U426">
        <v>-2147483648</v>
      </c>
      <c r="V426">
        <v>0</v>
      </c>
      <c r="W426" t="s">
        <v>59</v>
      </c>
      <c r="X426">
        <v>0</v>
      </c>
      <c r="Y426">
        <v>0</v>
      </c>
      <c r="Z426">
        <v>0</v>
      </c>
      <c r="AA426" t="s">
        <v>57</v>
      </c>
      <c r="AB426">
        <v>0</v>
      </c>
      <c r="AC426">
        <v>0</v>
      </c>
      <c r="AD426">
        <v>0</v>
      </c>
      <c r="AE426">
        <v>-100</v>
      </c>
      <c r="AF426" t="s">
        <v>67</v>
      </c>
      <c r="AG426">
        <v>0</v>
      </c>
      <c r="AH426">
        <v>0</v>
      </c>
      <c r="AI426">
        <v>0</v>
      </c>
      <c r="AJ426">
        <v>0</v>
      </c>
      <c r="AK426" t="s">
        <v>60</v>
      </c>
      <c r="AL426">
        <v>0</v>
      </c>
      <c r="AM426">
        <v>0</v>
      </c>
      <c r="AN426">
        <v>0</v>
      </c>
      <c r="AO426">
        <v>0</v>
      </c>
      <c r="AP426" t="b">
        <v>0</v>
      </c>
      <c r="AQ426" t="s">
        <v>55</v>
      </c>
      <c r="AR426" t="s">
        <v>76</v>
      </c>
      <c r="AS426" t="s">
        <v>66</v>
      </c>
      <c r="AT426">
        <v>0</v>
      </c>
      <c r="AU426">
        <v>0</v>
      </c>
      <c r="AV426">
        <v>0</v>
      </c>
      <c r="AW426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s">
        <v>77</v>
      </c>
      <c r="BF426" t="s">
        <v>57</v>
      </c>
      <c r="BG426" t="s">
        <v>74</v>
      </c>
      <c r="BH426" t="s">
        <v>75</v>
      </c>
      <c r="BI426" t="s">
        <v>55</v>
      </c>
    </row>
    <row r="427" spans="1:61" x14ac:dyDescent="0.25">
      <c r="A427" t="str" cm="1">
        <f t="array" ref="A427">_xlfn.IFS(AS427="RegularSeason",C427,AS427&lt;&gt;"RegularSeason",R427)</f>
        <v>00000000000000000000000000000000</v>
      </c>
      <c r="B427" t="str" cm="1">
        <f t="array" ref="B427">_xlfn.IFS(AS427="RegularSeason",D427,AS427&lt;&gt;"RegularSeason",K427)</f>
        <v>00000000000000000000000000000000</v>
      </c>
      <c r="C427" t="str">
        <f t="shared" si="18"/>
        <v>00000000000000000000000000011001</v>
      </c>
      <c r="D427" t="str">
        <f t="shared" si="19"/>
        <v>00000000000000000000000000100100</v>
      </c>
      <c r="E427" t="str" cm="1">
        <f t="array" ref="E427">_xlfn.XLOOKUP(_xlfn.XLOOKUP(G427,New!A:A,New!M:M,NONE),TeamIdentity!A:A,TeamIdentity!C:C,NONE)</f>
        <v>00011001</v>
      </c>
      <c r="F427" t="str" cm="1">
        <f t="array" ref="F427">_xlfn.XLOOKUP(_xlfn.XLOOKUP(G427,New!A:A,New!F:F,NONE),TeamIdentity!A:A,TeamIdentity!C:C,NONE)</f>
        <v>00100100</v>
      </c>
      <c r="G427" t="str">
        <f t="shared" si="20"/>
        <v>0-0</v>
      </c>
      <c r="H427" t="s">
        <v>136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>
        <v>-2147483648</v>
      </c>
      <c r="T427">
        <v>-2147483648</v>
      </c>
      <c r="U427">
        <v>-2147483648</v>
      </c>
      <c r="V427">
        <v>0</v>
      </c>
      <c r="W427" t="s">
        <v>59</v>
      </c>
      <c r="X427">
        <v>0</v>
      </c>
      <c r="Y427">
        <v>0</v>
      </c>
      <c r="Z427">
        <v>0</v>
      </c>
      <c r="AA427" t="s">
        <v>57</v>
      </c>
      <c r="AB427">
        <v>0</v>
      </c>
      <c r="AC427">
        <v>0</v>
      </c>
      <c r="AD427">
        <v>0</v>
      </c>
      <c r="AE427">
        <v>-100</v>
      </c>
      <c r="AF427" t="s">
        <v>67</v>
      </c>
      <c r="AG427">
        <v>0</v>
      </c>
      <c r="AH427">
        <v>0</v>
      </c>
      <c r="AI427">
        <v>0</v>
      </c>
      <c r="AJ427">
        <v>0</v>
      </c>
      <c r="AK427" t="s">
        <v>60</v>
      </c>
      <c r="AL427">
        <v>0</v>
      </c>
      <c r="AM427">
        <v>0</v>
      </c>
      <c r="AN427">
        <v>0</v>
      </c>
      <c r="AO427">
        <v>0</v>
      </c>
      <c r="AP427" t="b">
        <v>0</v>
      </c>
      <c r="AQ427" t="s">
        <v>55</v>
      </c>
      <c r="AR427" t="s">
        <v>76</v>
      </c>
      <c r="AS427" t="s">
        <v>66</v>
      </c>
      <c r="AT427">
        <v>0</v>
      </c>
      <c r="AU427">
        <v>0</v>
      </c>
      <c r="AV427">
        <v>0</v>
      </c>
      <c r="AW427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s">
        <v>77</v>
      </c>
      <c r="BF427" t="s">
        <v>57</v>
      </c>
      <c r="BG427" t="s">
        <v>74</v>
      </c>
      <c r="BH427" t="s">
        <v>75</v>
      </c>
      <c r="BI427" t="s">
        <v>55</v>
      </c>
    </row>
    <row r="428" spans="1:61" x14ac:dyDescent="0.25">
      <c r="A428" t="str" cm="1">
        <f t="array" ref="A428">_xlfn.IFS(AS428="RegularSeason",C428,AS428&lt;&gt;"RegularSeason",R428)</f>
        <v>00000000000000000000000000000000</v>
      </c>
      <c r="B428" t="str" cm="1">
        <f t="array" ref="B428">_xlfn.IFS(AS428="RegularSeason",D428,AS428&lt;&gt;"RegularSeason",K428)</f>
        <v>00000000000000000000000000000000</v>
      </c>
      <c r="C428" t="str">
        <f t="shared" si="18"/>
        <v>00000000000000000000000000011001</v>
      </c>
      <c r="D428" t="str">
        <f t="shared" si="19"/>
        <v>00000000000000000000000000100100</v>
      </c>
      <c r="E428" t="str" cm="1">
        <f t="array" ref="E428">_xlfn.XLOOKUP(_xlfn.XLOOKUP(G428,New!A:A,New!M:M,NONE),TeamIdentity!A:A,TeamIdentity!C:C,NONE)</f>
        <v>00011001</v>
      </c>
      <c r="F428" t="str" cm="1">
        <f t="array" ref="F428">_xlfn.XLOOKUP(_xlfn.XLOOKUP(G428,New!A:A,New!F:F,NONE),TeamIdentity!A:A,TeamIdentity!C:C,NONE)</f>
        <v>00100100</v>
      </c>
      <c r="G428" t="str">
        <f t="shared" si="20"/>
        <v>0-0</v>
      </c>
      <c r="H428" t="s">
        <v>137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>
        <v>-2147483648</v>
      </c>
      <c r="T428">
        <v>-2147483648</v>
      </c>
      <c r="U428">
        <v>-2147483648</v>
      </c>
      <c r="V428">
        <v>0</v>
      </c>
      <c r="W428" t="s">
        <v>59</v>
      </c>
      <c r="X428">
        <v>0</v>
      </c>
      <c r="Y428">
        <v>0</v>
      </c>
      <c r="Z428">
        <v>0</v>
      </c>
      <c r="AA428" t="s">
        <v>57</v>
      </c>
      <c r="AB428">
        <v>0</v>
      </c>
      <c r="AC428">
        <v>0</v>
      </c>
      <c r="AD428">
        <v>0</v>
      </c>
      <c r="AE428">
        <v>-100</v>
      </c>
      <c r="AF428" t="s">
        <v>67</v>
      </c>
      <c r="AG428">
        <v>0</v>
      </c>
      <c r="AH428">
        <v>0</v>
      </c>
      <c r="AI428">
        <v>0</v>
      </c>
      <c r="AJ428">
        <v>0</v>
      </c>
      <c r="AK428" t="s">
        <v>60</v>
      </c>
      <c r="AL428">
        <v>0</v>
      </c>
      <c r="AM428">
        <v>0</v>
      </c>
      <c r="AN428">
        <v>0</v>
      </c>
      <c r="AO428">
        <v>0</v>
      </c>
      <c r="AP428" t="b">
        <v>0</v>
      </c>
      <c r="AQ428" t="s">
        <v>55</v>
      </c>
      <c r="AR428" t="s">
        <v>76</v>
      </c>
      <c r="AS428" t="s">
        <v>66</v>
      </c>
      <c r="AT428">
        <v>0</v>
      </c>
      <c r="AU428">
        <v>0</v>
      </c>
      <c r="AV428">
        <v>0</v>
      </c>
      <c r="AW428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s">
        <v>77</v>
      </c>
      <c r="BF428" t="s">
        <v>57</v>
      </c>
      <c r="BG428" t="s">
        <v>74</v>
      </c>
      <c r="BH428" t="s">
        <v>75</v>
      </c>
      <c r="BI428" t="s">
        <v>55</v>
      </c>
    </row>
    <row r="429" spans="1:61" x14ac:dyDescent="0.25">
      <c r="A429" t="str" cm="1">
        <f t="array" ref="A429">_xlfn.IFS(AS429="RegularSeason",C429,AS429&lt;&gt;"RegularSeason",R429)</f>
        <v>00000000000000000000000000000000</v>
      </c>
      <c r="B429" t="str" cm="1">
        <f t="array" ref="B429">_xlfn.IFS(AS429="RegularSeason",D429,AS429&lt;&gt;"RegularSeason",K429)</f>
        <v>00000000000000000000000000000000</v>
      </c>
      <c r="C429" t="str">
        <f t="shared" si="18"/>
        <v>00000000000000000000000000011001</v>
      </c>
      <c r="D429" t="str">
        <f t="shared" si="19"/>
        <v>00000000000000000000000000100100</v>
      </c>
      <c r="E429" t="str" cm="1">
        <f t="array" ref="E429">_xlfn.XLOOKUP(_xlfn.XLOOKUP(G429,New!A:A,New!M:M,NONE),TeamIdentity!A:A,TeamIdentity!C:C,NONE)</f>
        <v>00011001</v>
      </c>
      <c r="F429" t="str" cm="1">
        <f t="array" ref="F429">_xlfn.XLOOKUP(_xlfn.XLOOKUP(G429,New!A:A,New!F:F,NONE),TeamIdentity!A:A,TeamIdentity!C:C,NONE)</f>
        <v>00100100</v>
      </c>
      <c r="G429" t="str">
        <f t="shared" si="20"/>
        <v>0-0</v>
      </c>
      <c r="H429" t="s">
        <v>138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>
        <v>-2147483648</v>
      </c>
      <c r="T429">
        <v>-2147483648</v>
      </c>
      <c r="U429">
        <v>-2147483648</v>
      </c>
      <c r="V429">
        <v>0</v>
      </c>
      <c r="W429" t="s">
        <v>59</v>
      </c>
      <c r="X429">
        <v>0</v>
      </c>
      <c r="Y429">
        <v>0</v>
      </c>
      <c r="Z429">
        <v>0</v>
      </c>
      <c r="AA429" t="s">
        <v>57</v>
      </c>
      <c r="AB429">
        <v>0</v>
      </c>
      <c r="AC429">
        <v>0</v>
      </c>
      <c r="AD429">
        <v>0</v>
      </c>
      <c r="AE429">
        <v>-100</v>
      </c>
      <c r="AF429" t="s">
        <v>67</v>
      </c>
      <c r="AG429">
        <v>0</v>
      </c>
      <c r="AH429">
        <v>0</v>
      </c>
      <c r="AI429">
        <v>0</v>
      </c>
      <c r="AJ429">
        <v>0</v>
      </c>
      <c r="AK429" t="s">
        <v>60</v>
      </c>
      <c r="AL429">
        <v>0</v>
      </c>
      <c r="AM429">
        <v>0</v>
      </c>
      <c r="AN429">
        <v>0</v>
      </c>
      <c r="AO429">
        <v>0</v>
      </c>
      <c r="AP429" t="b">
        <v>0</v>
      </c>
      <c r="AQ429" t="s">
        <v>55</v>
      </c>
      <c r="AR429" t="s">
        <v>76</v>
      </c>
      <c r="AS429" t="s">
        <v>66</v>
      </c>
      <c r="AT429">
        <v>0</v>
      </c>
      <c r="AU429">
        <v>0</v>
      </c>
      <c r="AV429">
        <v>0</v>
      </c>
      <c r="AW429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s">
        <v>77</v>
      </c>
      <c r="BF429" t="s">
        <v>57</v>
      </c>
      <c r="BG429" t="s">
        <v>74</v>
      </c>
      <c r="BH429" t="s">
        <v>75</v>
      </c>
      <c r="BI429" t="s">
        <v>55</v>
      </c>
    </row>
    <row r="430" spans="1:61" x14ac:dyDescent="0.25">
      <c r="A430" t="str" cm="1">
        <f t="array" ref="A430">_xlfn.IFS(AS430="RegularSeason",C430,AS430&lt;&gt;"RegularSeason",R430)</f>
        <v>00000000000000000000000000000000</v>
      </c>
      <c r="B430" t="str" cm="1">
        <f t="array" ref="B430">_xlfn.IFS(AS430="RegularSeason",D430,AS430&lt;&gt;"RegularSeason",K430)</f>
        <v>00000000000000000000000000000000</v>
      </c>
      <c r="C430" t="str">
        <f t="shared" si="18"/>
        <v>00000000000000000000000000011001</v>
      </c>
      <c r="D430" t="str">
        <f t="shared" si="19"/>
        <v>00000000000000000000000000100100</v>
      </c>
      <c r="E430" t="str" cm="1">
        <f t="array" ref="E430">_xlfn.XLOOKUP(_xlfn.XLOOKUP(G430,New!A:A,New!M:M,NONE),TeamIdentity!A:A,TeamIdentity!C:C,NONE)</f>
        <v>00011001</v>
      </c>
      <c r="F430" t="str" cm="1">
        <f t="array" ref="F430">_xlfn.XLOOKUP(_xlfn.XLOOKUP(G430,New!A:A,New!F:F,NONE),TeamIdentity!A:A,TeamIdentity!C:C,NONE)</f>
        <v>00100100</v>
      </c>
      <c r="G430" t="str">
        <f t="shared" si="20"/>
        <v>0-0</v>
      </c>
      <c r="H430" t="s">
        <v>139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>
        <v>-2147483648</v>
      </c>
      <c r="T430">
        <v>-2147483648</v>
      </c>
      <c r="U430">
        <v>-2147483648</v>
      </c>
      <c r="V430">
        <v>0</v>
      </c>
      <c r="W430" t="s">
        <v>59</v>
      </c>
      <c r="X430">
        <v>0</v>
      </c>
      <c r="Y430">
        <v>0</v>
      </c>
      <c r="Z430">
        <v>0</v>
      </c>
      <c r="AA430" t="s">
        <v>57</v>
      </c>
      <c r="AB430">
        <v>0</v>
      </c>
      <c r="AC430">
        <v>0</v>
      </c>
      <c r="AD430">
        <v>0</v>
      </c>
      <c r="AE430">
        <v>-100</v>
      </c>
      <c r="AF430" t="s">
        <v>67</v>
      </c>
      <c r="AG430">
        <v>0</v>
      </c>
      <c r="AH430">
        <v>0</v>
      </c>
      <c r="AI430">
        <v>0</v>
      </c>
      <c r="AJ430">
        <v>0</v>
      </c>
      <c r="AK430" t="s">
        <v>60</v>
      </c>
      <c r="AL430">
        <v>0</v>
      </c>
      <c r="AM430">
        <v>0</v>
      </c>
      <c r="AN430">
        <v>0</v>
      </c>
      <c r="AO430">
        <v>0</v>
      </c>
      <c r="AP430" t="b">
        <v>0</v>
      </c>
      <c r="AQ430" t="s">
        <v>55</v>
      </c>
      <c r="AR430" t="s">
        <v>76</v>
      </c>
      <c r="AS430" t="s">
        <v>66</v>
      </c>
      <c r="AT430">
        <v>0</v>
      </c>
      <c r="AU430">
        <v>0</v>
      </c>
      <c r="AV430">
        <v>0</v>
      </c>
      <c r="AW430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s">
        <v>77</v>
      </c>
      <c r="BF430" t="s">
        <v>57</v>
      </c>
      <c r="BG430" t="s">
        <v>74</v>
      </c>
      <c r="BH430" t="s">
        <v>75</v>
      </c>
      <c r="BI430" t="s">
        <v>55</v>
      </c>
    </row>
  </sheetData>
  <autoFilter ref="A1:BI430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CC05-1366-46BB-85D0-091A82DC50DF}">
  <dimension ref="A1:BE273"/>
  <sheetViews>
    <sheetView workbookViewId="0">
      <pane xSplit="14" ySplit="1" topLeftCell="AU2" activePane="bottomRight" state="frozen"/>
      <selection pane="topRight" activeCell="O1" sqref="O1"/>
      <selection pane="bottomLeft" activeCell="A2" sqref="A2"/>
      <selection pane="bottomRight"/>
    </sheetView>
  </sheetViews>
  <sheetFormatPr defaultRowHeight="15.75" x14ac:dyDescent="0.25"/>
  <cols>
    <col min="13" max="13" width="9.75" customWidth="1"/>
  </cols>
  <sheetData>
    <row r="1" spans="1:57" x14ac:dyDescent="0.25">
      <c r="A1" t="s">
        <v>140</v>
      </c>
      <c r="B1" t="s">
        <v>141</v>
      </c>
      <c r="C1" t="s">
        <v>9</v>
      </c>
      <c r="D1" t="s">
        <v>10</v>
      </c>
      <c r="E1" t="s">
        <v>8</v>
      </c>
      <c r="F1" t="s">
        <v>7</v>
      </c>
      <c r="G1" t="s">
        <v>6</v>
      </c>
      <c r="H1" t="s">
        <v>0</v>
      </c>
      <c r="I1" t="s">
        <v>1</v>
      </c>
      <c r="J1" t="s">
        <v>2</v>
      </c>
      <c r="K1" t="s">
        <v>5</v>
      </c>
      <c r="L1" t="s">
        <v>4</v>
      </c>
      <c r="M1" t="s">
        <v>3</v>
      </c>
      <c r="N1" t="s">
        <v>14</v>
      </c>
      <c r="O1" t="s">
        <v>11</v>
      </c>
      <c r="P1" t="s">
        <v>12</v>
      </c>
      <c r="Q1" t="s">
        <v>13</v>
      </c>
      <c r="R1" t="s">
        <v>41</v>
      </c>
      <c r="S1" t="s">
        <v>22</v>
      </c>
      <c r="T1" t="s">
        <v>16</v>
      </c>
      <c r="U1" t="s">
        <v>17</v>
      </c>
      <c r="V1" t="s">
        <v>36</v>
      </c>
      <c r="W1" t="s">
        <v>25</v>
      </c>
      <c r="X1" t="s">
        <v>19</v>
      </c>
      <c r="Y1" t="s">
        <v>21</v>
      </c>
      <c r="Z1" t="s">
        <v>20</v>
      </c>
      <c r="AA1" t="s">
        <v>26</v>
      </c>
      <c r="AB1" t="s">
        <v>28</v>
      </c>
      <c r="AC1" t="s">
        <v>29</v>
      </c>
      <c r="AD1" t="s">
        <v>30</v>
      </c>
      <c r="AE1" t="s">
        <v>24</v>
      </c>
      <c r="AF1" t="s">
        <v>42</v>
      </c>
      <c r="AG1" t="s">
        <v>35</v>
      </c>
      <c r="AH1" t="s">
        <v>34</v>
      </c>
      <c r="AI1" t="s">
        <v>33</v>
      </c>
      <c r="AJ1" t="s">
        <v>27</v>
      </c>
      <c r="AK1" t="s">
        <v>50</v>
      </c>
      <c r="AL1" t="s">
        <v>39</v>
      </c>
      <c r="AM1" t="s">
        <v>40</v>
      </c>
      <c r="AN1" t="s">
        <v>23</v>
      </c>
      <c r="AO1" t="s">
        <v>43</v>
      </c>
      <c r="AP1" t="s">
        <v>31</v>
      </c>
      <c r="AQ1" t="s">
        <v>44</v>
      </c>
      <c r="AR1" t="s">
        <v>32</v>
      </c>
      <c r="AS1" t="s">
        <v>45</v>
      </c>
      <c r="AT1" t="s">
        <v>51</v>
      </c>
      <c r="AU1" t="s">
        <v>46</v>
      </c>
      <c r="AV1" t="s">
        <v>47</v>
      </c>
      <c r="AW1" t="s">
        <v>18</v>
      </c>
      <c r="AX1" t="s">
        <v>48</v>
      </c>
      <c r="AY1" t="s">
        <v>49</v>
      </c>
      <c r="AZ1" t="s">
        <v>52</v>
      </c>
      <c r="BA1" t="s">
        <v>53</v>
      </c>
      <c r="BB1" t="s">
        <v>15</v>
      </c>
      <c r="BC1" t="s">
        <v>37</v>
      </c>
      <c r="BD1" t="s">
        <v>38</v>
      </c>
      <c r="BE1" t="s">
        <v>142</v>
      </c>
    </row>
    <row r="2" spans="1:57" x14ac:dyDescent="0.25">
      <c r="A2" t="s">
        <v>175</v>
      </c>
      <c r="B2">
        <v>185</v>
      </c>
      <c r="C2">
        <v>0</v>
      </c>
      <c r="D2">
        <v>0</v>
      </c>
      <c r="E2">
        <v>0</v>
      </c>
      <c r="F2" t="s">
        <v>158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160</v>
      </c>
      <c r="N2">
        <v>-1</v>
      </c>
      <c r="O2">
        <v>0</v>
      </c>
      <c r="P2">
        <v>-1</v>
      </c>
      <c r="Q2">
        <v>0</v>
      </c>
      <c r="R2" t="s">
        <v>70</v>
      </c>
      <c r="S2">
        <v>0</v>
      </c>
      <c r="T2">
        <v>0</v>
      </c>
      <c r="U2">
        <v>1220</v>
      </c>
      <c r="V2" t="s">
        <v>57</v>
      </c>
      <c r="W2">
        <v>0</v>
      </c>
      <c r="X2">
        <v>0</v>
      </c>
      <c r="Y2">
        <v>0</v>
      </c>
      <c r="Z2">
        <v>0</v>
      </c>
      <c r="AA2" t="s">
        <v>68</v>
      </c>
      <c r="AB2">
        <v>0</v>
      </c>
      <c r="AC2">
        <v>0</v>
      </c>
      <c r="AD2">
        <v>0</v>
      </c>
      <c r="AE2">
        <v>0</v>
      </c>
      <c r="AF2" t="s">
        <v>68</v>
      </c>
      <c r="AG2">
        <v>0</v>
      </c>
      <c r="AH2">
        <v>0</v>
      </c>
      <c r="AI2">
        <v>0</v>
      </c>
      <c r="AJ2">
        <v>0</v>
      </c>
      <c r="AK2" t="b">
        <v>0</v>
      </c>
      <c r="AL2" t="s">
        <v>58</v>
      </c>
      <c r="AM2" t="s">
        <v>58</v>
      </c>
      <c r="AN2" t="s">
        <v>71</v>
      </c>
      <c r="AO2">
        <v>14</v>
      </c>
      <c r="AP2">
        <v>2</v>
      </c>
      <c r="AQ2">
        <v>15</v>
      </c>
      <c r="AR2">
        <v>11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s">
        <v>61</v>
      </c>
      <c r="BA2" t="s">
        <v>57</v>
      </c>
      <c r="BC2" t="s">
        <v>58</v>
      </c>
      <c r="BD2" t="s">
        <v>58</v>
      </c>
      <c r="BE2">
        <v>0</v>
      </c>
    </row>
    <row r="3" spans="1:57" x14ac:dyDescent="0.25">
      <c r="A3" t="s">
        <v>176</v>
      </c>
      <c r="B3">
        <v>321</v>
      </c>
      <c r="C3">
        <v>0</v>
      </c>
      <c r="D3">
        <v>0</v>
      </c>
      <c r="E3">
        <v>0</v>
      </c>
      <c r="F3" t="s">
        <v>163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152</v>
      </c>
      <c r="N3">
        <v>-1</v>
      </c>
      <c r="O3">
        <v>0</v>
      </c>
      <c r="P3">
        <v>-1</v>
      </c>
      <c r="Q3">
        <v>0</v>
      </c>
      <c r="R3" t="s">
        <v>70</v>
      </c>
      <c r="S3">
        <v>0</v>
      </c>
      <c r="T3">
        <v>0</v>
      </c>
      <c r="U3">
        <v>965</v>
      </c>
      <c r="V3" t="s">
        <v>57</v>
      </c>
      <c r="W3">
        <v>0</v>
      </c>
      <c r="X3">
        <v>0</v>
      </c>
      <c r="Y3">
        <v>0</v>
      </c>
      <c r="Z3">
        <v>0</v>
      </c>
      <c r="AA3" t="s">
        <v>67</v>
      </c>
      <c r="AB3">
        <v>0</v>
      </c>
      <c r="AC3">
        <v>0</v>
      </c>
      <c r="AD3">
        <v>0</v>
      </c>
      <c r="AE3">
        <v>0</v>
      </c>
      <c r="AF3" t="s">
        <v>60</v>
      </c>
      <c r="AG3">
        <v>0</v>
      </c>
      <c r="AH3">
        <v>0</v>
      </c>
      <c r="AI3">
        <v>0</v>
      </c>
      <c r="AJ3">
        <v>0</v>
      </c>
      <c r="AK3" t="b">
        <v>0</v>
      </c>
      <c r="AL3" t="s">
        <v>58</v>
      </c>
      <c r="AM3" t="s">
        <v>58</v>
      </c>
      <c r="AN3" t="s">
        <v>71</v>
      </c>
      <c r="AO3">
        <v>14</v>
      </c>
      <c r="AP3">
        <v>2</v>
      </c>
      <c r="AQ3">
        <v>11</v>
      </c>
      <c r="AR3">
        <v>11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s">
        <v>61</v>
      </c>
      <c r="BA3" t="s">
        <v>57</v>
      </c>
      <c r="BC3" t="s">
        <v>58</v>
      </c>
      <c r="BD3" t="s">
        <v>58</v>
      </c>
      <c r="BE3">
        <v>0</v>
      </c>
    </row>
    <row r="4" spans="1:57" x14ac:dyDescent="0.25">
      <c r="A4" t="s">
        <v>177</v>
      </c>
      <c r="B4">
        <v>164</v>
      </c>
      <c r="C4">
        <v>0</v>
      </c>
      <c r="D4">
        <v>0</v>
      </c>
      <c r="E4">
        <v>0</v>
      </c>
      <c r="F4" t="s">
        <v>154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148</v>
      </c>
      <c r="N4">
        <v>-1</v>
      </c>
      <c r="O4">
        <v>0</v>
      </c>
      <c r="P4">
        <v>-1</v>
      </c>
      <c r="Q4">
        <v>0</v>
      </c>
      <c r="R4" t="s">
        <v>70</v>
      </c>
      <c r="S4">
        <v>0</v>
      </c>
      <c r="T4">
        <v>0</v>
      </c>
      <c r="U4">
        <v>780</v>
      </c>
      <c r="V4" t="s">
        <v>57</v>
      </c>
      <c r="W4">
        <v>0</v>
      </c>
      <c r="X4">
        <v>0</v>
      </c>
      <c r="Y4">
        <v>0</v>
      </c>
      <c r="Z4">
        <v>0</v>
      </c>
      <c r="AA4" t="s">
        <v>67</v>
      </c>
      <c r="AB4">
        <v>0</v>
      </c>
      <c r="AC4">
        <v>0</v>
      </c>
      <c r="AD4">
        <v>0</v>
      </c>
      <c r="AE4">
        <v>0</v>
      </c>
      <c r="AF4" t="s">
        <v>60</v>
      </c>
      <c r="AG4">
        <v>0</v>
      </c>
      <c r="AH4">
        <v>0</v>
      </c>
      <c r="AI4">
        <v>0</v>
      </c>
      <c r="AJ4">
        <v>0</v>
      </c>
      <c r="AK4" t="b">
        <v>0</v>
      </c>
      <c r="AL4" t="s">
        <v>58</v>
      </c>
      <c r="AM4" t="s">
        <v>58</v>
      </c>
      <c r="AN4" t="s">
        <v>71</v>
      </c>
      <c r="AO4">
        <v>14</v>
      </c>
      <c r="AP4">
        <v>3</v>
      </c>
      <c r="AQ4">
        <v>4</v>
      </c>
      <c r="AR4">
        <v>11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s">
        <v>61</v>
      </c>
      <c r="BA4" t="s">
        <v>57</v>
      </c>
      <c r="BC4" t="s">
        <v>58</v>
      </c>
      <c r="BD4" t="s">
        <v>58</v>
      </c>
      <c r="BE4">
        <v>0</v>
      </c>
    </row>
    <row r="5" spans="1:57" x14ac:dyDescent="0.25">
      <c r="A5" t="s">
        <v>178</v>
      </c>
      <c r="B5">
        <v>294</v>
      </c>
      <c r="C5">
        <v>0</v>
      </c>
      <c r="D5">
        <v>0</v>
      </c>
      <c r="E5">
        <v>0</v>
      </c>
      <c r="F5" t="s">
        <v>172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168</v>
      </c>
      <c r="N5">
        <v>-1</v>
      </c>
      <c r="O5">
        <v>0</v>
      </c>
      <c r="P5">
        <v>-1</v>
      </c>
      <c r="Q5">
        <v>0</v>
      </c>
      <c r="R5" t="s">
        <v>70</v>
      </c>
      <c r="S5">
        <v>0</v>
      </c>
      <c r="T5">
        <v>0</v>
      </c>
      <c r="U5">
        <v>965</v>
      </c>
      <c r="V5" t="s">
        <v>57</v>
      </c>
      <c r="W5">
        <v>0</v>
      </c>
      <c r="X5">
        <v>0</v>
      </c>
      <c r="Y5">
        <v>0</v>
      </c>
      <c r="Z5">
        <v>0</v>
      </c>
      <c r="AA5" t="s">
        <v>67</v>
      </c>
      <c r="AB5">
        <v>0</v>
      </c>
      <c r="AC5">
        <v>0</v>
      </c>
      <c r="AD5">
        <v>0</v>
      </c>
      <c r="AE5">
        <v>0</v>
      </c>
      <c r="AF5" t="s">
        <v>60</v>
      </c>
      <c r="AG5">
        <v>0</v>
      </c>
      <c r="AH5">
        <v>0</v>
      </c>
      <c r="AI5">
        <v>0</v>
      </c>
      <c r="AJ5">
        <v>0</v>
      </c>
      <c r="AK5" t="b">
        <v>0</v>
      </c>
      <c r="AL5" t="s">
        <v>58</v>
      </c>
      <c r="AM5" t="s">
        <v>58</v>
      </c>
      <c r="AN5" t="s">
        <v>71</v>
      </c>
      <c r="AO5">
        <v>14</v>
      </c>
      <c r="AP5">
        <v>2</v>
      </c>
      <c r="AQ5">
        <v>12</v>
      </c>
      <c r="AR5">
        <v>11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s">
        <v>61</v>
      </c>
      <c r="BA5" t="s">
        <v>57</v>
      </c>
      <c r="BC5" t="s">
        <v>58</v>
      </c>
      <c r="BD5" t="s">
        <v>58</v>
      </c>
      <c r="BE5">
        <v>0</v>
      </c>
    </row>
    <row r="6" spans="1:57" x14ac:dyDescent="0.25">
      <c r="A6" t="s">
        <v>179</v>
      </c>
      <c r="B6">
        <v>263</v>
      </c>
      <c r="C6">
        <v>0</v>
      </c>
      <c r="D6">
        <v>0</v>
      </c>
      <c r="E6">
        <v>0</v>
      </c>
      <c r="F6" t="s">
        <v>144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146</v>
      </c>
      <c r="N6">
        <v>-1</v>
      </c>
      <c r="O6">
        <v>0</v>
      </c>
      <c r="P6">
        <v>-1</v>
      </c>
      <c r="Q6">
        <v>0</v>
      </c>
      <c r="R6" t="s">
        <v>70</v>
      </c>
      <c r="S6">
        <v>0</v>
      </c>
      <c r="T6">
        <v>0</v>
      </c>
      <c r="U6">
        <v>1220</v>
      </c>
      <c r="V6" t="s">
        <v>57</v>
      </c>
      <c r="W6">
        <v>0</v>
      </c>
      <c r="X6">
        <v>0</v>
      </c>
      <c r="Y6">
        <v>0</v>
      </c>
      <c r="Z6">
        <v>0</v>
      </c>
      <c r="AA6" t="s">
        <v>60</v>
      </c>
      <c r="AB6">
        <v>0</v>
      </c>
      <c r="AC6">
        <v>0</v>
      </c>
      <c r="AD6">
        <v>0</v>
      </c>
      <c r="AE6">
        <v>0</v>
      </c>
      <c r="AF6" t="s">
        <v>60</v>
      </c>
      <c r="AG6">
        <v>0</v>
      </c>
      <c r="AH6">
        <v>0</v>
      </c>
      <c r="AI6">
        <v>0</v>
      </c>
      <c r="AJ6">
        <v>0</v>
      </c>
      <c r="AK6" t="b">
        <v>0</v>
      </c>
      <c r="AL6" t="s">
        <v>58</v>
      </c>
      <c r="AM6" t="s">
        <v>58</v>
      </c>
      <c r="AN6" t="s">
        <v>71</v>
      </c>
      <c r="AO6">
        <v>14</v>
      </c>
      <c r="AP6">
        <v>5</v>
      </c>
      <c r="AQ6">
        <v>11</v>
      </c>
      <c r="AR6">
        <v>11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s">
        <v>61</v>
      </c>
      <c r="BA6" t="s">
        <v>57</v>
      </c>
      <c r="BC6" t="s">
        <v>58</v>
      </c>
      <c r="BD6" t="s">
        <v>58</v>
      </c>
      <c r="BE6">
        <v>0</v>
      </c>
    </row>
    <row r="7" spans="1:57" x14ac:dyDescent="0.25">
      <c r="A7" t="s">
        <v>180</v>
      </c>
      <c r="B7">
        <v>300</v>
      </c>
      <c r="C7">
        <v>0</v>
      </c>
      <c r="D7">
        <v>0</v>
      </c>
      <c r="E7">
        <v>0</v>
      </c>
      <c r="F7" t="s">
        <v>165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155</v>
      </c>
      <c r="N7">
        <v>-1</v>
      </c>
      <c r="O7">
        <v>0</v>
      </c>
      <c r="P7">
        <v>-1</v>
      </c>
      <c r="Q7">
        <v>0</v>
      </c>
      <c r="R7" t="s">
        <v>70</v>
      </c>
      <c r="S7">
        <v>0</v>
      </c>
      <c r="T7">
        <v>0</v>
      </c>
      <c r="U7">
        <v>780</v>
      </c>
      <c r="V7" t="s">
        <v>57</v>
      </c>
      <c r="W7">
        <v>0</v>
      </c>
      <c r="X7">
        <v>0</v>
      </c>
      <c r="Y7">
        <v>0</v>
      </c>
      <c r="Z7">
        <v>0</v>
      </c>
      <c r="AA7" t="s">
        <v>67</v>
      </c>
      <c r="AB7">
        <v>0</v>
      </c>
      <c r="AC7">
        <v>0</v>
      </c>
      <c r="AD7">
        <v>0</v>
      </c>
      <c r="AE7">
        <v>0</v>
      </c>
      <c r="AF7" t="s">
        <v>60</v>
      </c>
      <c r="AG7">
        <v>0</v>
      </c>
      <c r="AH7">
        <v>0</v>
      </c>
      <c r="AI7">
        <v>0</v>
      </c>
      <c r="AJ7">
        <v>0</v>
      </c>
      <c r="AK7" t="b">
        <v>0</v>
      </c>
      <c r="AL7" t="s">
        <v>58</v>
      </c>
      <c r="AM7" t="s">
        <v>58</v>
      </c>
      <c r="AN7" t="s">
        <v>71</v>
      </c>
      <c r="AO7">
        <v>14</v>
      </c>
      <c r="AP7">
        <v>5</v>
      </c>
      <c r="AQ7">
        <v>5</v>
      </c>
      <c r="AR7">
        <v>11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s">
        <v>61</v>
      </c>
      <c r="BA7" t="s">
        <v>57</v>
      </c>
      <c r="BC7" t="s">
        <v>58</v>
      </c>
      <c r="BD7" t="s">
        <v>58</v>
      </c>
      <c r="BE7">
        <v>0</v>
      </c>
    </row>
    <row r="8" spans="1:57" x14ac:dyDescent="0.25">
      <c r="A8" t="s">
        <v>181</v>
      </c>
      <c r="B8">
        <v>67</v>
      </c>
      <c r="C8">
        <v>0</v>
      </c>
      <c r="D8">
        <v>0</v>
      </c>
      <c r="E8">
        <v>0</v>
      </c>
      <c r="F8" t="s">
        <v>161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156</v>
      </c>
      <c r="N8">
        <v>-1</v>
      </c>
      <c r="O8">
        <v>0</v>
      </c>
      <c r="P8">
        <v>-1</v>
      </c>
      <c r="Q8">
        <v>0</v>
      </c>
      <c r="R8" t="s">
        <v>70</v>
      </c>
      <c r="S8">
        <v>0</v>
      </c>
      <c r="T8">
        <v>0</v>
      </c>
      <c r="U8">
        <v>780</v>
      </c>
      <c r="V8" t="s">
        <v>57</v>
      </c>
      <c r="W8">
        <v>0</v>
      </c>
      <c r="X8">
        <v>0</v>
      </c>
      <c r="Y8">
        <v>0</v>
      </c>
      <c r="Z8">
        <v>0</v>
      </c>
      <c r="AA8" t="s">
        <v>67</v>
      </c>
      <c r="AB8">
        <v>0</v>
      </c>
      <c r="AC8">
        <v>0</v>
      </c>
      <c r="AD8">
        <v>0</v>
      </c>
      <c r="AE8">
        <v>0</v>
      </c>
      <c r="AF8" t="s">
        <v>60</v>
      </c>
      <c r="AG8">
        <v>0</v>
      </c>
      <c r="AH8">
        <v>0</v>
      </c>
      <c r="AI8">
        <v>0</v>
      </c>
      <c r="AJ8">
        <v>0</v>
      </c>
      <c r="AK8" t="b">
        <v>0</v>
      </c>
      <c r="AL8" t="s">
        <v>58</v>
      </c>
      <c r="AM8" t="s">
        <v>58</v>
      </c>
      <c r="AN8" t="s">
        <v>71</v>
      </c>
      <c r="AO8">
        <v>14</v>
      </c>
      <c r="AP8">
        <v>6</v>
      </c>
      <c r="AQ8">
        <v>2</v>
      </c>
      <c r="AR8">
        <v>11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s">
        <v>61</v>
      </c>
      <c r="BA8" t="s">
        <v>57</v>
      </c>
      <c r="BC8" t="s">
        <v>58</v>
      </c>
      <c r="BD8" t="s">
        <v>58</v>
      </c>
      <c r="BE8">
        <v>0</v>
      </c>
    </row>
    <row r="9" spans="1:57" x14ac:dyDescent="0.25">
      <c r="A9" t="s">
        <v>182</v>
      </c>
      <c r="B9">
        <v>273</v>
      </c>
      <c r="C9">
        <v>0</v>
      </c>
      <c r="D9">
        <v>0</v>
      </c>
      <c r="E9">
        <v>0</v>
      </c>
      <c r="F9" t="s">
        <v>151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173</v>
      </c>
      <c r="N9">
        <v>-1</v>
      </c>
      <c r="O9">
        <v>0</v>
      </c>
      <c r="P9">
        <v>-1</v>
      </c>
      <c r="Q9">
        <v>0</v>
      </c>
      <c r="R9" t="s">
        <v>70</v>
      </c>
      <c r="S9">
        <v>0</v>
      </c>
      <c r="T9">
        <v>0</v>
      </c>
      <c r="U9">
        <v>965</v>
      </c>
      <c r="V9" t="s">
        <v>57</v>
      </c>
      <c r="W9">
        <v>0</v>
      </c>
      <c r="X9">
        <v>0</v>
      </c>
      <c r="Y9">
        <v>0</v>
      </c>
      <c r="Z9">
        <v>0</v>
      </c>
      <c r="AA9" t="s">
        <v>67</v>
      </c>
      <c r="AB9">
        <v>0</v>
      </c>
      <c r="AC9">
        <v>0</v>
      </c>
      <c r="AD9">
        <v>0</v>
      </c>
      <c r="AE9">
        <v>0</v>
      </c>
      <c r="AF9" t="s">
        <v>60</v>
      </c>
      <c r="AG9">
        <v>0</v>
      </c>
      <c r="AH9">
        <v>0</v>
      </c>
      <c r="AI9">
        <v>0</v>
      </c>
      <c r="AJ9">
        <v>0</v>
      </c>
      <c r="AK9" t="b">
        <v>0</v>
      </c>
      <c r="AL9" t="s">
        <v>58</v>
      </c>
      <c r="AM9" t="s">
        <v>58</v>
      </c>
      <c r="AN9" t="s">
        <v>71</v>
      </c>
      <c r="AO9">
        <v>14</v>
      </c>
      <c r="AP9">
        <v>6</v>
      </c>
      <c r="AQ9">
        <v>7</v>
      </c>
      <c r="AR9">
        <v>11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s">
        <v>61</v>
      </c>
      <c r="BA9" t="s">
        <v>57</v>
      </c>
      <c r="BC9" t="s">
        <v>58</v>
      </c>
      <c r="BD9" t="s">
        <v>58</v>
      </c>
      <c r="BE9">
        <v>0</v>
      </c>
    </row>
    <row r="10" spans="1:57" x14ac:dyDescent="0.25">
      <c r="A10" t="s">
        <v>183</v>
      </c>
      <c r="B10">
        <v>230</v>
      </c>
      <c r="C10">
        <v>0</v>
      </c>
      <c r="D10">
        <v>0</v>
      </c>
      <c r="E10">
        <v>0</v>
      </c>
      <c r="F10" t="s">
        <v>159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162</v>
      </c>
      <c r="N10">
        <v>-1</v>
      </c>
      <c r="O10">
        <v>0</v>
      </c>
      <c r="P10">
        <v>-1</v>
      </c>
      <c r="Q10">
        <v>0</v>
      </c>
      <c r="R10" t="s">
        <v>70</v>
      </c>
      <c r="S10">
        <v>0</v>
      </c>
      <c r="T10">
        <v>0</v>
      </c>
      <c r="U10">
        <v>780</v>
      </c>
      <c r="V10" t="s">
        <v>57</v>
      </c>
      <c r="W10">
        <v>0</v>
      </c>
      <c r="X10">
        <v>0</v>
      </c>
      <c r="Y10">
        <v>0</v>
      </c>
      <c r="Z10">
        <v>0</v>
      </c>
      <c r="AA10" t="s">
        <v>67</v>
      </c>
      <c r="AB10">
        <v>0</v>
      </c>
      <c r="AC10">
        <v>0</v>
      </c>
      <c r="AD10">
        <v>0</v>
      </c>
      <c r="AE10">
        <v>0</v>
      </c>
      <c r="AF10" t="s">
        <v>60</v>
      </c>
      <c r="AG10">
        <v>0</v>
      </c>
      <c r="AH10">
        <v>0</v>
      </c>
      <c r="AI10">
        <v>0</v>
      </c>
      <c r="AJ10">
        <v>0</v>
      </c>
      <c r="AK10" t="b">
        <v>0</v>
      </c>
      <c r="AL10" t="s">
        <v>58</v>
      </c>
      <c r="AM10" t="s">
        <v>58</v>
      </c>
      <c r="AN10" t="s">
        <v>71</v>
      </c>
      <c r="AO10">
        <v>14</v>
      </c>
      <c r="AP10">
        <v>7</v>
      </c>
      <c r="AQ10">
        <v>6</v>
      </c>
      <c r="AR10">
        <v>11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s">
        <v>61</v>
      </c>
      <c r="BA10" t="s">
        <v>57</v>
      </c>
      <c r="BC10" t="s">
        <v>58</v>
      </c>
      <c r="BD10" t="s">
        <v>58</v>
      </c>
      <c r="BE10">
        <v>0</v>
      </c>
    </row>
    <row r="11" spans="1:57" x14ac:dyDescent="0.25">
      <c r="A11" t="s">
        <v>184</v>
      </c>
      <c r="B11">
        <v>82</v>
      </c>
      <c r="C11">
        <v>0</v>
      </c>
      <c r="D11">
        <v>0</v>
      </c>
      <c r="E11">
        <v>0</v>
      </c>
      <c r="F11" t="s">
        <v>147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149</v>
      </c>
      <c r="N11">
        <v>-1</v>
      </c>
      <c r="O11">
        <v>0</v>
      </c>
      <c r="P11">
        <v>-1</v>
      </c>
      <c r="Q11">
        <v>0</v>
      </c>
      <c r="R11" t="s">
        <v>70</v>
      </c>
      <c r="S11">
        <v>0</v>
      </c>
      <c r="T11">
        <v>0</v>
      </c>
      <c r="U11">
        <v>780</v>
      </c>
      <c r="V11" t="s">
        <v>57</v>
      </c>
      <c r="W11">
        <v>0</v>
      </c>
      <c r="X11">
        <v>0</v>
      </c>
      <c r="Y11">
        <v>0</v>
      </c>
      <c r="Z11">
        <v>0</v>
      </c>
      <c r="AA11" t="s">
        <v>67</v>
      </c>
      <c r="AB11">
        <v>0</v>
      </c>
      <c r="AC11">
        <v>0</v>
      </c>
      <c r="AD11">
        <v>0</v>
      </c>
      <c r="AE11">
        <v>0</v>
      </c>
      <c r="AF11" t="s">
        <v>60</v>
      </c>
      <c r="AG11">
        <v>0</v>
      </c>
      <c r="AH11">
        <v>0</v>
      </c>
      <c r="AI11">
        <v>0</v>
      </c>
      <c r="AJ11">
        <v>0</v>
      </c>
      <c r="AK11" t="b">
        <v>0</v>
      </c>
      <c r="AL11" t="s">
        <v>58</v>
      </c>
      <c r="AM11" t="s">
        <v>58</v>
      </c>
      <c r="AN11" t="s">
        <v>71</v>
      </c>
      <c r="AO11">
        <v>14</v>
      </c>
      <c r="AP11">
        <v>9</v>
      </c>
      <c r="AQ11">
        <v>5</v>
      </c>
      <c r="AR11">
        <v>11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s">
        <v>61</v>
      </c>
      <c r="BA11" t="s">
        <v>57</v>
      </c>
      <c r="BC11" t="s">
        <v>58</v>
      </c>
      <c r="BD11" t="s">
        <v>58</v>
      </c>
      <c r="BE11">
        <v>0</v>
      </c>
    </row>
    <row r="12" spans="1:57" x14ac:dyDescent="0.25">
      <c r="A12" t="s">
        <v>185</v>
      </c>
      <c r="B12">
        <v>71</v>
      </c>
      <c r="C12">
        <v>0</v>
      </c>
      <c r="D12">
        <v>0</v>
      </c>
      <c r="E12">
        <v>0</v>
      </c>
      <c r="F12" t="s">
        <v>166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157</v>
      </c>
      <c r="N12">
        <v>-1</v>
      </c>
      <c r="O12">
        <v>0</v>
      </c>
      <c r="P12">
        <v>-1</v>
      </c>
      <c r="Q12">
        <v>0</v>
      </c>
      <c r="R12" t="s">
        <v>70</v>
      </c>
      <c r="S12">
        <v>0</v>
      </c>
      <c r="T12">
        <v>0</v>
      </c>
      <c r="U12">
        <v>1220</v>
      </c>
      <c r="V12" t="s">
        <v>57</v>
      </c>
      <c r="W12">
        <v>0</v>
      </c>
      <c r="X12">
        <v>0</v>
      </c>
      <c r="Y12">
        <v>0</v>
      </c>
      <c r="Z12">
        <v>0</v>
      </c>
      <c r="AA12" t="s">
        <v>68</v>
      </c>
      <c r="AB12">
        <v>0</v>
      </c>
      <c r="AC12">
        <v>0</v>
      </c>
      <c r="AD12">
        <v>0</v>
      </c>
      <c r="AE12">
        <v>0</v>
      </c>
      <c r="AF12" t="s">
        <v>68</v>
      </c>
      <c r="AG12">
        <v>0</v>
      </c>
      <c r="AH12">
        <v>0</v>
      </c>
      <c r="AI12">
        <v>0</v>
      </c>
      <c r="AJ12">
        <v>0</v>
      </c>
      <c r="AK12" t="b">
        <v>0</v>
      </c>
      <c r="AL12" t="s">
        <v>58</v>
      </c>
      <c r="AM12" t="s">
        <v>58</v>
      </c>
      <c r="AN12" t="s">
        <v>71</v>
      </c>
      <c r="AO12">
        <v>14</v>
      </c>
      <c r="AP12">
        <v>9</v>
      </c>
      <c r="AQ12">
        <v>13</v>
      </c>
      <c r="AR12">
        <v>11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s">
        <v>61</v>
      </c>
      <c r="BA12" t="s">
        <v>57</v>
      </c>
      <c r="BC12" t="s">
        <v>58</v>
      </c>
      <c r="BD12" t="s">
        <v>58</v>
      </c>
      <c r="BE12">
        <v>0</v>
      </c>
    </row>
    <row r="13" spans="1:57" x14ac:dyDescent="0.25">
      <c r="A13" t="s">
        <v>186</v>
      </c>
      <c r="B13">
        <v>192</v>
      </c>
      <c r="C13">
        <v>0</v>
      </c>
      <c r="D13">
        <v>0</v>
      </c>
      <c r="E13">
        <v>0</v>
      </c>
      <c r="F13" t="s">
        <v>169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174</v>
      </c>
      <c r="N13">
        <v>-1</v>
      </c>
      <c r="O13">
        <v>0</v>
      </c>
      <c r="P13">
        <v>-1</v>
      </c>
      <c r="Q13">
        <v>0</v>
      </c>
      <c r="R13" t="s">
        <v>70</v>
      </c>
      <c r="S13">
        <v>0</v>
      </c>
      <c r="T13">
        <v>0</v>
      </c>
      <c r="U13">
        <v>965</v>
      </c>
      <c r="V13" t="s">
        <v>57</v>
      </c>
      <c r="W13">
        <v>0</v>
      </c>
      <c r="X13">
        <v>0</v>
      </c>
      <c r="Y13">
        <v>0</v>
      </c>
      <c r="Z13">
        <v>0</v>
      </c>
      <c r="AA13" t="s">
        <v>67</v>
      </c>
      <c r="AB13">
        <v>0</v>
      </c>
      <c r="AC13">
        <v>0</v>
      </c>
      <c r="AD13">
        <v>0</v>
      </c>
      <c r="AE13">
        <v>0</v>
      </c>
      <c r="AF13" t="s">
        <v>60</v>
      </c>
      <c r="AG13">
        <v>0</v>
      </c>
      <c r="AH13">
        <v>0</v>
      </c>
      <c r="AI13">
        <v>0</v>
      </c>
      <c r="AJ13">
        <v>0</v>
      </c>
      <c r="AK13" t="b">
        <v>0</v>
      </c>
      <c r="AL13" t="s">
        <v>58</v>
      </c>
      <c r="AM13" t="s">
        <v>58</v>
      </c>
      <c r="AN13" t="s">
        <v>71</v>
      </c>
      <c r="AO13">
        <v>14</v>
      </c>
      <c r="AP13">
        <v>8</v>
      </c>
      <c r="AQ13">
        <v>8</v>
      </c>
      <c r="AR13">
        <v>11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s">
        <v>61</v>
      </c>
      <c r="BA13" t="s">
        <v>57</v>
      </c>
      <c r="BC13" t="s">
        <v>58</v>
      </c>
      <c r="BD13" t="s">
        <v>58</v>
      </c>
      <c r="BE13">
        <v>0</v>
      </c>
    </row>
    <row r="14" spans="1:57" x14ac:dyDescent="0.25">
      <c r="A14" t="s">
        <v>187</v>
      </c>
      <c r="B14">
        <v>76</v>
      </c>
      <c r="C14">
        <v>0</v>
      </c>
      <c r="D14">
        <v>0</v>
      </c>
      <c r="E14">
        <v>0</v>
      </c>
      <c r="F14" t="s">
        <v>145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153</v>
      </c>
      <c r="N14">
        <v>-1</v>
      </c>
      <c r="O14">
        <v>0</v>
      </c>
      <c r="P14">
        <v>-1</v>
      </c>
      <c r="Q14">
        <v>0</v>
      </c>
      <c r="R14" t="s">
        <v>70</v>
      </c>
      <c r="S14">
        <v>0</v>
      </c>
      <c r="T14">
        <v>0</v>
      </c>
      <c r="U14">
        <v>965</v>
      </c>
      <c r="V14" t="s">
        <v>57</v>
      </c>
      <c r="W14">
        <v>0</v>
      </c>
      <c r="X14">
        <v>0</v>
      </c>
      <c r="Y14">
        <v>0</v>
      </c>
      <c r="Z14">
        <v>0</v>
      </c>
      <c r="AA14" t="s">
        <v>67</v>
      </c>
      <c r="AB14">
        <v>0</v>
      </c>
      <c r="AC14">
        <v>0</v>
      </c>
      <c r="AD14">
        <v>0</v>
      </c>
      <c r="AE14">
        <v>0</v>
      </c>
      <c r="AF14" t="s">
        <v>60</v>
      </c>
      <c r="AG14">
        <v>0</v>
      </c>
      <c r="AH14">
        <v>0</v>
      </c>
      <c r="AI14">
        <v>0</v>
      </c>
      <c r="AJ14">
        <v>0</v>
      </c>
      <c r="AK14" t="b">
        <v>0</v>
      </c>
      <c r="AL14" t="s">
        <v>58</v>
      </c>
      <c r="AM14" t="s">
        <v>58</v>
      </c>
      <c r="AN14" t="s">
        <v>71</v>
      </c>
      <c r="AO14">
        <v>14</v>
      </c>
      <c r="AP14">
        <v>11</v>
      </c>
      <c r="AQ14">
        <v>7</v>
      </c>
      <c r="AR14">
        <v>11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s">
        <v>61</v>
      </c>
      <c r="BA14" t="s">
        <v>57</v>
      </c>
      <c r="BC14" t="s">
        <v>58</v>
      </c>
      <c r="BD14" t="s">
        <v>58</v>
      </c>
      <c r="BE14">
        <v>0</v>
      </c>
    </row>
    <row r="15" spans="1:57" x14ac:dyDescent="0.25">
      <c r="A15" t="s">
        <v>188</v>
      </c>
      <c r="B15">
        <v>165</v>
      </c>
      <c r="C15">
        <v>0</v>
      </c>
      <c r="D15">
        <v>0</v>
      </c>
      <c r="E15">
        <v>0</v>
      </c>
      <c r="F15" t="s">
        <v>170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150</v>
      </c>
      <c r="N15">
        <v>-1</v>
      </c>
      <c r="O15">
        <v>0</v>
      </c>
      <c r="P15">
        <v>-1</v>
      </c>
      <c r="Q15">
        <v>0</v>
      </c>
      <c r="R15" t="s">
        <v>70</v>
      </c>
      <c r="S15">
        <v>0</v>
      </c>
      <c r="T15">
        <v>0</v>
      </c>
      <c r="U15">
        <v>975</v>
      </c>
      <c r="V15" t="s">
        <v>57</v>
      </c>
      <c r="W15">
        <v>0</v>
      </c>
      <c r="X15">
        <v>0</v>
      </c>
      <c r="Y15">
        <v>0</v>
      </c>
      <c r="Z15">
        <v>0</v>
      </c>
      <c r="AA15" t="s">
        <v>67</v>
      </c>
      <c r="AB15">
        <v>0</v>
      </c>
      <c r="AC15">
        <v>0</v>
      </c>
      <c r="AD15">
        <v>0</v>
      </c>
      <c r="AE15">
        <v>0</v>
      </c>
      <c r="AF15" t="s">
        <v>60</v>
      </c>
      <c r="AG15">
        <v>0</v>
      </c>
      <c r="AH15">
        <v>0</v>
      </c>
      <c r="AI15">
        <v>0</v>
      </c>
      <c r="AJ15">
        <v>0</v>
      </c>
      <c r="AK15" t="b">
        <v>0</v>
      </c>
      <c r="AL15" t="s">
        <v>58</v>
      </c>
      <c r="AM15" t="s">
        <v>58</v>
      </c>
      <c r="AN15" t="s">
        <v>71</v>
      </c>
      <c r="AO15">
        <v>14</v>
      </c>
      <c r="AP15">
        <v>12</v>
      </c>
      <c r="AQ15">
        <v>10</v>
      </c>
      <c r="AR15">
        <v>11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s">
        <v>61</v>
      </c>
      <c r="BA15" t="s">
        <v>57</v>
      </c>
      <c r="BC15" t="s">
        <v>58</v>
      </c>
      <c r="BD15" t="s">
        <v>58</v>
      </c>
      <c r="BE15">
        <v>0</v>
      </c>
    </row>
    <row r="16" spans="1:57" x14ac:dyDescent="0.25">
      <c r="A16" t="s">
        <v>189</v>
      </c>
      <c r="B16">
        <v>141</v>
      </c>
      <c r="C16">
        <v>0</v>
      </c>
      <c r="D16">
        <v>0</v>
      </c>
      <c r="E16">
        <v>0</v>
      </c>
      <c r="F16" t="s">
        <v>143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167</v>
      </c>
      <c r="N16">
        <v>-1</v>
      </c>
      <c r="O16">
        <v>0</v>
      </c>
      <c r="P16">
        <v>-1</v>
      </c>
      <c r="Q16">
        <v>0</v>
      </c>
      <c r="R16" t="s">
        <v>70</v>
      </c>
      <c r="S16">
        <v>0</v>
      </c>
      <c r="T16">
        <v>0</v>
      </c>
      <c r="U16">
        <v>975</v>
      </c>
      <c r="V16" t="s">
        <v>57</v>
      </c>
      <c r="W16">
        <v>0</v>
      </c>
      <c r="X16">
        <v>0</v>
      </c>
      <c r="Y16">
        <v>0</v>
      </c>
      <c r="Z16">
        <v>0</v>
      </c>
      <c r="AA16" t="s">
        <v>67</v>
      </c>
      <c r="AB16">
        <v>0</v>
      </c>
      <c r="AC16">
        <v>0</v>
      </c>
      <c r="AD16">
        <v>0</v>
      </c>
      <c r="AE16">
        <v>0</v>
      </c>
      <c r="AF16" t="s">
        <v>60</v>
      </c>
      <c r="AG16">
        <v>0</v>
      </c>
      <c r="AH16">
        <v>0</v>
      </c>
      <c r="AI16">
        <v>0</v>
      </c>
      <c r="AJ16">
        <v>0</v>
      </c>
      <c r="AK16" t="b">
        <v>0</v>
      </c>
      <c r="AL16" t="s">
        <v>58</v>
      </c>
      <c r="AM16" t="s">
        <v>58</v>
      </c>
      <c r="AN16" t="s">
        <v>71</v>
      </c>
      <c r="AO16">
        <v>14</v>
      </c>
      <c r="AP16">
        <v>15</v>
      </c>
      <c r="AQ16">
        <v>10</v>
      </c>
      <c r="AR16">
        <v>11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s">
        <v>61</v>
      </c>
      <c r="BA16" t="s">
        <v>57</v>
      </c>
      <c r="BC16" t="s">
        <v>58</v>
      </c>
      <c r="BD16" t="s">
        <v>58</v>
      </c>
      <c r="BE16">
        <v>0</v>
      </c>
    </row>
    <row r="17" spans="1:57" x14ac:dyDescent="0.25">
      <c r="A17" t="s">
        <v>190</v>
      </c>
      <c r="B17">
        <v>142</v>
      </c>
      <c r="C17">
        <v>0</v>
      </c>
      <c r="D17">
        <v>0</v>
      </c>
      <c r="E17">
        <v>0</v>
      </c>
      <c r="F17" t="s">
        <v>164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171</v>
      </c>
      <c r="N17">
        <v>-1</v>
      </c>
      <c r="O17">
        <v>0</v>
      </c>
      <c r="P17">
        <v>-1</v>
      </c>
      <c r="Q17">
        <v>0</v>
      </c>
      <c r="R17" t="s">
        <v>70</v>
      </c>
      <c r="S17">
        <v>0</v>
      </c>
      <c r="T17">
        <v>0</v>
      </c>
      <c r="U17">
        <v>780</v>
      </c>
      <c r="V17" t="s">
        <v>57</v>
      </c>
      <c r="W17">
        <v>0</v>
      </c>
      <c r="X17">
        <v>0</v>
      </c>
      <c r="Y17">
        <v>0</v>
      </c>
      <c r="Z17">
        <v>0</v>
      </c>
      <c r="AA17" t="s">
        <v>67</v>
      </c>
      <c r="AB17">
        <v>0</v>
      </c>
      <c r="AC17">
        <v>0</v>
      </c>
      <c r="AD17">
        <v>0</v>
      </c>
      <c r="AE17">
        <v>0</v>
      </c>
      <c r="AF17" t="s">
        <v>60</v>
      </c>
      <c r="AG17">
        <v>0</v>
      </c>
      <c r="AH17">
        <v>0</v>
      </c>
      <c r="AI17">
        <v>0</v>
      </c>
      <c r="AJ17">
        <v>0</v>
      </c>
      <c r="AK17" t="b">
        <v>0</v>
      </c>
      <c r="AL17" t="s">
        <v>58</v>
      </c>
      <c r="AM17" t="s">
        <v>58</v>
      </c>
      <c r="AN17" t="s">
        <v>71</v>
      </c>
      <c r="AO17">
        <v>14</v>
      </c>
      <c r="AP17">
        <v>15</v>
      </c>
      <c r="AQ17">
        <v>6</v>
      </c>
      <c r="AR17">
        <v>11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s">
        <v>61</v>
      </c>
      <c r="BA17" t="s">
        <v>57</v>
      </c>
      <c r="BC17" t="s">
        <v>58</v>
      </c>
      <c r="BD17" t="s">
        <v>58</v>
      </c>
      <c r="BE17">
        <v>0</v>
      </c>
    </row>
    <row r="18" spans="1:57" x14ac:dyDescent="0.25">
      <c r="A18" t="s">
        <v>191</v>
      </c>
      <c r="B18">
        <v>193</v>
      </c>
      <c r="C18">
        <v>0</v>
      </c>
      <c r="D18">
        <v>0</v>
      </c>
      <c r="E18">
        <v>0</v>
      </c>
      <c r="F18" t="s">
        <v>157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162</v>
      </c>
      <c r="N18">
        <v>-1</v>
      </c>
      <c r="O18">
        <v>0</v>
      </c>
      <c r="P18">
        <v>-1</v>
      </c>
      <c r="Q18">
        <v>0</v>
      </c>
      <c r="R18" t="s">
        <v>70</v>
      </c>
      <c r="S18">
        <v>0</v>
      </c>
      <c r="T18">
        <v>0</v>
      </c>
      <c r="U18">
        <v>975</v>
      </c>
      <c r="V18" t="s">
        <v>57</v>
      </c>
      <c r="W18">
        <v>0</v>
      </c>
      <c r="X18">
        <v>0</v>
      </c>
      <c r="Y18">
        <v>0</v>
      </c>
      <c r="Z18">
        <v>0</v>
      </c>
      <c r="AA18" t="s">
        <v>67</v>
      </c>
      <c r="AB18">
        <v>0</v>
      </c>
      <c r="AC18">
        <v>0</v>
      </c>
      <c r="AD18">
        <v>0</v>
      </c>
      <c r="AE18">
        <v>0</v>
      </c>
      <c r="AF18" t="s">
        <v>60</v>
      </c>
      <c r="AG18">
        <v>0</v>
      </c>
      <c r="AH18">
        <v>0</v>
      </c>
      <c r="AI18">
        <v>0</v>
      </c>
      <c r="AJ18">
        <v>0</v>
      </c>
      <c r="AK18" t="b">
        <v>0</v>
      </c>
      <c r="AL18" t="s">
        <v>58</v>
      </c>
      <c r="AM18" t="s">
        <v>58</v>
      </c>
      <c r="AN18" t="s">
        <v>71</v>
      </c>
      <c r="AO18">
        <v>14</v>
      </c>
      <c r="AP18">
        <v>0</v>
      </c>
      <c r="AQ18">
        <v>9</v>
      </c>
      <c r="AR18">
        <v>11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s">
        <v>61</v>
      </c>
      <c r="BA18" t="s">
        <v>57</v>
      </c>
      <c r="BC18" t="s">
        <v>58</v>
      </c>
      <c r="BD18" t="s">
        <v>58</v>
      </c>
      <c r="BE18">
        <v>1</v>
      </c>
    </row>
    <row r="19" spans="1:57" x14ac:dyDescent="0.25">
      <c r="A19" t="s">
        <v>192</v>
      </c>
      <c r="B19">
        <v>139</v>
      </c>
      <c r="C19">
        <v>0</v>
      </c>
      <c r="D19">
        <v>0</v>
      </c>
      <c r="E19">
        <v>0</v>
      </c>
      <c r="F19" t="s">
        <v>155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143</v>
      </c>
      <c r="N19">
        <v>-1</v>
      </c>
      <c r="O19">
        <v>0</v>
      </c>
      <c r="P19">
        <v>-1</v>
      </c>
      <c r="Q19">
        <v>0</v>
      </c>
      <c r="R19" t="s">
        <v>70</v>
      </c>
      <c r="S19">
        <v>0</v>
      </c>
      <c r="T19">
        <v>0</v>
      </c>
      <c r="U19">
        <v>780</v>
      </c>
      <c r="V19" t="s">
        <v>57</v>
      </c>
      <c r="W19">
        <v>0</v>
      </c>
      <c r="X19">
        <v>0</v>
      </c>
      <c r="Y19">
        <v>0</v>
      </c>
      <c r="Z19">
        <v>0</v>
      </c>
      <c r="AA19" t="s">
        <v>67</v>
      </c>
      <c r="AB19">
        <v>0</v>
      </c>
      <c r="AC19">
        <v>0</v>
      </c>
      <c r="AD19">
        <v>0</v>
      </c>
      <c r="AE19">
        <v>0</v>
      </c>
      <c r="AF19" t="s">
        <v>60</v>
      </c>
      <c r="AG19">
        <v>0</v>
      </c>
      <c r="AH19">
        <v>0</v>
      </c>
      <c r="AI19">
        <v>0</v>
      </c>
      <c r="AJ19">
        <v>0</v>
      </c>
      <c r="AK19" t="b">
        <v>0</v>
      </c>
      <c r="AL19" t="s">
        <v>58</v>
      </c>
      <c r="AM19" t="s">
        <v>58</v>
      </c>
      <c r="AN19" t="s">
        <v>71</v>
      </c>
      <c r="AO19">
        <v>14</v>
      </c>
      <c r="AP19">
        <v>0</v>
      </c>
      <c r="AQ19">
        <v>5</v>
      </c>
      <c r="AR19">
        <v>11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s">
        <v>61</v>
      </c>
      <c r="BA19" t="s">
        <v>57</v>
      </c>
      <c r="BC19" t="s">
        <v>58</v>
      </c>
      <c r="BD19" t="s">
        <v>58</v>
      </c>
      <c r="BE19">
        <v>1</v>
      </c>
    </row>
    <row r="20" spans="1:57" x14ac:dyDescent="0.25">
      <c r="A20" t="s">
        <v>193</v>
      </c>
      <c r="B20">
        <v>169</v>
      </c>
      <c r="C20">
        <v>0</v>
      </c>
      <c r="D20">
        <v>0</v>
      </c>
      <c r="E20">
        <v>0</v>
      </c>
      <c r="F20" t="s">
        <v>171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172</v>
      </c>
      <c r="N20">
        <v>-1</v>
      </c>
      <c r="O20">
        <v>0</v>
      </c>
      <c r="P20">
        <v>-1</v>
      </c>
      <c r="Q20">
        <v>0</v>
      </c>
      <c r="R20" t="s">
        <v>70</v>
      </c>
      <c r="S20">
        <v>0</v>
      </c>
      <c r="T20">
        <v>0</v>
      </c>
      <c r="U20">
        <v>780</v>
      </c>
      <c r="V20" t="s">
        <v>57</v>
      </c>
      <c r="W20">
        <v>0</v>
      </c>
      <c r="X20">
        <v>0</v>
      </c>
      <c r="Y20">
        <v>0</v>
      </c>
      <c r="Z20">
        <v>0</v>
      </c>
      <c r="AA20" t="s">
        <v>67</v>
      </c>
      <c r="AB20">
        <v>0</v>
      </c>
      <c r="AC20">
        <v>0</v>
      </c>
      <c r="AD20">
        <v>0</v>
      </c>
      <c r="AE20">
        <v>0</v>
      </c>
      <c r="AF20" t="s">
        <v>60</v>
      </c>
      <c r="AG20">
        <v>0</v>
      </c>
      <c r="AH20">
        <v>0</v>
      </c>
      <c r="AI20">
        <v>0</v>
      </c>
      <c r="AJ20">
        <v>0</v>
      </c>
      <c r="AK20" t="b">
        <v>0</v>
      </c>
      <c r="AL20" t="s">
        <v>58</v>
      </c>
      <c r="AM20" t="s">
        <v>58</v>
      </c>
      <c r="AN20" t="s">
        <v>71</v>
      </c>
      <c r="AO20">
        <v>14</v>
      </c>
      <c r="AP20">
        <v>1</v>
      </c>
      <c r="AQ20">
        <v>5</v>
      </c>
      <c r="AR20">
        <v>11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s">
        <v>61</v>
      </c>
      <c r="BA20" t="s">
        <v>57</v>
      </c>
      <c r="BC20" t="s">
        <v>58</v>
      </c>
      <c r="BD20" t="s">
        <v>58</v>
      </c>
      <c r="BE20">
        <v>1</v>
      </c>
    </row>
    <row r="21" spans="1:57" x14ac:dyDescent="0.25">
      <c r="A21" t="s">
        <v>194</v>
      </c>
      <c r="B21">
        <v>323</v>
      </c>
      <c r="C21">
        <v>0</v>
      </c>
      <c r="D21">
        <v>0</v>
      </c>
      <c r="E21">
        <v>0</v>
      </c>
      <c r="F21" t="s">
        <v>167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150</v>
      </c>
      <c r="N21">
        <v>-1</v>
      </c>
      <c r="O21">
        <v>0</v>
      </c>
      <c r="P21">
        <v>-1</v>
      </c>
      <c r="Q21">
        <v>0</v>
      </c>
      <c r="R21" t="s">
        <v>70</v>
      </c>
      <c r="S21">
        <v>0</v>
      </c>
      <c r="T21">
        <v>0</v>
      </c>
      <c r="U21">
        <v>965</v>
      </c>
      <c r="V21" t="s">
        <v>57</v>
      </c>
      <c r="W21">
        <v>0</v>
      </c>
      <c r="X21">
        <v>0</v>
      </c>
      <c r="Y21">
        <v>0</v>
      </c>
      <c r="Z21">
        <v>0</v>
      </c>
      <c r="AA21" t="s">
        <v>67</v>
      </c>
      <c r="AB21">
        <v>0</v>
      </c>
      <c r="AC21">
        <v>0</v>
      </c>
      <c r="AD21">
        <v>0</v>
      </c>
      <c r="AE21">
        <v>0</v>
      </c>
      <c r="AF21" t="s">
        <v>60</v>
      </c>
      <c r="AG21">
        <v>0</v>
      </c>
      <c r="AH21">
        <v>0</v>
      </c>
      <c r="AI21">
        <v>0</v>
      </c>
      <c r="AJ21">
        <v>0</v>
      </c>
      <c r="AK21" t="b">
        <v>0</v>
      </c>
      <c r="AL21" t="s">
        <v>58</v>
      </c>
      <c r="AM21" t="s">
        <v>58</v>
      </c>
      <c r="AN21" t="s">
        <v>71</v>
      </c>
      <c r="AO21">
        <v>14</v>
      </c>
      <c r="AP21">
        <v>1</v>
      </c>
      <c r="AQ21">
        <v>9</v>
      </c>
      <c r="AR21">
        <v>11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s">
        <v>61</v>
      </c>
      <c r="BA21" t="s">
        <v>57</v>
      </c>
      <c r="BC21" t="s">
        <v>58</v>
      </c>
      <c r="BD21" t="s">
        <v>58</v>
      </c>
      <c r="BE21">
        <v>1</v>
      </c>
    </row>
    <row r="22" spans="1:57" x14ac:dyDescent="0.25">
      <c r="A22" t="s">
        <v>195</v>
      </c>
      <c r="B22">
        <v>333</v>
      </c>
      <c r="C22">
        <v>0</v>
      </c>
      <c r="D22">
        <v>0</v>
      </c>
      <c r="E22">
        <v>0</v>
      </c>
      <c r="F22" t="s">
        <v>170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147</v>
      </c>
      <c r="N22">
        <v>-1</v>
      </c>
      <c r="O22">
        <v>0</v>
      </c>
      <c r="P22">
        <v>-1</v>
      </c>
      <c r="Q22">
        <v>0</v>
      </c>
      <c r="R22" t="s">
        <v>70</v>
      </c>
      <c r="S22">
        <v>0</v>
      </c>
      <c r="T22">
        <v>0</v>
      </c>
      <c r="U22">
        <v>780</v>
      </c>
      <c r="V22" t="s">
        <v>57</v>
      </c>
      <c r="W22">
        <v>0</v>
      </c>
      <c r="X22">
        <v>0</v>
      </c>
      <c r="Y22">
        <v>0</v>
      </c>
      <c r="Z22">
        <v>0</v>
      </c>
      <c r="AA22" t="s">
        <v>67</v>
      </c>
      <c r="AB22">
        <v>0</v>
      </c>
      <c r="AC22">
        <v>0</v>
      </c>
      <c r="AD22">
        <v>0</v>
      </c>
      <c r="AE22">
        <v>0</v>
      </c>
      <c r="AF22" t="s">
        <v>60</v>
      </c>
      <c r="AG22">
        <v>0</v>
      </c>
      <c r="AH22">
        <v>0</v>
      </c>
      <c r="AI22">
        <v>0</v>
      </c>
      <c r="AJ22">
        <v>0</v>
      </c>
      <c r="AK22" t="b">
        <v>0</v>
      </c>
      <c r="AL22" t="s">
        <v>58</v>
      </c>
      <c r="AM22" t="s">
        <v>58</v>
      </c>
      <c r="AN22" t="s">
        <v>71</v>
      </c>
      <c r="AO22">
        <v>14</v>
      </c>
      <c r="AP22">
        <v>6</v>
      </c>
      <c r="AQ22">
        <v>0</v>
      </c>
      <c r="AR22">
        <v>11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s">
        <v>61</v>
      </c>
      <c r="BA22" t="s">
        <v>57</v>
      </c>
      <c r="BC22" t="s">
        <v>58</v>
      </c>
      <c r="BD22" t="s">
        <v>58</v>
      </c>
      <c r="BE22">
        <v>1</v>
      </c>
    </row>
    <row r="23" spans="1:57" x14ac:dyDescent="0.25">
      <c r="A23" t="s">
        <v>196</v>
      </c>
      <c r="B23">
        <v>92</v>
      </c>
      <c r="C23">
        <v>0</v>
      </c>
      <c r="D23">
        <v>0</v>
      </c>
      <c r="E23">
        <v>0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159</v>
      </c>
      <c r="N23">
        <v>-1</v>
      </c>
      <c r="O23">
        <v>0</v>
      </c>
      <c r="P23">
        <v>-1</v>
      </c>
      <c r="Q23">
        <v>0</v>
      </c>
      <c r="R23" t="s">
        <v>70</v>
      </c>
      <c r="S23">
        <v>0</v>
      </c>
      <c r="T23">
        <v>0</v>
      </c>
      <c r="U23">
        <v>780</v>
      </c>
      <c r="V23" t="s">
        <v>57</v>
      </c>
      <c r="W23">
        <v>0</v>
      </c>
      <c r="X23">
        <v>0</v>
      </c>
      <c r="Y23">
        <v>0</v>
      </c>
      <c r="Z23">
        <v>0</v>
      </c>
      <c r="AA23" t="s">
        <v>67</v>
      </c>
      <c r="AB23">
        <v>0</v>
      </c>
      <c r="AC23">
        <v>0</v>
      </c>
      <c r="AD23">
        <v>0</v>
      </c>
      <c r="AE23">
        <v>0</v>
      </c>
      <c r="AF23" t="s">
        <v>60</v>
      </c>
      <c r="AG23">
        <v>0</v>
      </c>
      <c r="AH23">
        <v>0</v>
      </c>
      <c r="AI23">
        <v>0</v>
      </c>
      <c r="AJ23">
        <v>0</v>
      </c>
      <c r="AK23" t="b">
        <v>0</v>
      </c>
      <c r="AL23" t="s">
        <v>58</v>
      </c>
      <c r="AM23" t="s">
        <v>58</v>
      </c>
      <c r="AN23" t="s">
        <v>71</v>
      </c>
      <c r="AO23">
        <v>14</v>
      </c>
      <c r="AP23">
        <v>6</v>
      </c>
      <c r="AQ23">
        <v>1</v>
      </c>
      <c r="AR23">
        <v>11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s">
        <v>61</v>
      </c>
      <c r="BA23" t="s">
        <v>57</v>
      </c>
      <c r="BC23" t="s">
        <v>58</v>
      </c>
      <c r="BD23" t="s">
        <v>58</v>
      </c>
      <c r="BE23">
        <v>1</v>
      </c>
    </row>
    <row r="24" spans="1:57" x14ac:dyDescent="0.25">
      <c r="A24" t="s">
        <v>197</v>
      </c>
      <c r="B24">
        <v>146</v>
      </c>
      <c r="C24">
        <v>0</v>
      </c>
      <c r="D24">
        <v>0</v>
      </c>
      <c r="E24">
        <v>0</v>
      </c>
      <c r="F24" t="s">
        <v>153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144</v>
      </c>
      <c r="N24">
        <v>-1</v>
      </c>
      <c r="O24">
        <v>0</v>
      </c>
      <c r="P24">
        <v>-1</v>
      </c>
      <c r="Q24">
        <v>0</v>
      </c>
      <c r="R24" t="s">
        <v>70</v>
      </c>
      <c r="S24">
        <v>0</v>
      </c>
      <c r="T24">
        <v>0</v>
      </c>
      <c r="U24">
        <v>1220</v>
      </c>
      <c r="V24" t="s">
        <v>57</v>
      </c>
      <c r="W24">
        <v>0</v>
      </c>
      <c r="X24">
        <v>0</v>
      </c>
      <c r="Y24">
        <v>0</v>
      </c>
      <c r="Z24">
        <v>0</v>
      </c>
      <c r="AA24" t="s">
        <v>68</v>
      </c>
      <c r="AB24">
        <v>0</v>
      </c>
      <c r="AC24">
        <v>0</v>
      </c>
      <c r="AD24">
        <v>0</v>
      </c>
      <c r="AE24">
        <v>0</v>
      </c>
      <c r="AF24" t="s">
        <v>68</v>
      </c>
      <c r="AG24">
        <v>0</v>
      </c>
      <c r="AH24">
        <v>0</v>
      </c>
      <c r="AI24">
        <v>0</v>
      </c>
      <c r="AJ24">
        <v>0</v>
      </c>
      <c r="AK24" t="b">
        <v>0</v>
      </c>
      <c r="AL24" t="s">
        <v>58</v>
      </c>
      <c r="AM24" t="s">
        <v>58</v>
      </c>
      <c r="AN24" t="s">
        <v>71</v>
      </c>
      <c r="AO24">
        <v>14</v>
      </c>
      <c r="AP24">
        <v>6</v>
      </c>
      <c r="AQ24">
        <v>12</v>
      </c>
      <c r="AR24">
        <v>11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s">
        <v>61</v>
      </c>
      <c r="BA24" t="s">
        <v>57</v>
      </c>
      <c r="BC24" t="s">
        <v>58</v>
      </c>
      <c r="BD24" t="s">
        <v>58</v>
      </c>
      <c r="BE24">
        <v>1</v>
      </c>
    </row>
    <row r="25" spans="1:57" x14ac:dyDescent="0.25">
      <c r="A25" t="s">
        <v>198</v>
      </c>
      <c r="B25">
        <v>201</v>
      </c>
      <c r="C25">
        <v>0</v>
      </c>
      <c r="D25">
        <v>0</v>
      </c>
      <c r="E25">
        <v>0</v>
      </c>
      <c r="F25" t="s">
        <v>169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149</v>
      </c>
      <c r="N25">
        <v>-1</v>
      </c>
      <c r="O25">
        <v>0</v>
      </c>
      <c r="P25">
        <v>-1</v>
      </c>
      <c r="Q25">
        <v>0</v>
      </c>
      <c r="R25" t="s">
        <v>70</v>
      </c>
      <c r="S25">
        <v>0</v>
      </c>
      <c r="T25">
        <v>0</v>
      </c>
      <c r="U25">
        <v>1220</v>
      </c>
      <c r="V25" t="s">
        <v>57</v>
      </c>
      <c r="W25">
        <v>0</v>
      </c>
      <c r="X25">
        <v>0</v>
      </c>
      <c r="Y25">
        <v>0</v>
      </c>
      <c r="Z25">
        <v>0</v>
      </c>
      <c r="AA25" t="s">
        <v>60</v>
      </c>
      <c r="AB25">
        <v>0</v>
      </c>
      <c r="AC25">
        <v>0</v>
      </c>
      <c r="AD25">
        <v>0</v>
      </c>
      <c r="AE25">
        <v>0</v>
      </c>
      <c r="AF25" t="s">
        <v>60</v>
      </c>
      <c r="AG25">
        <v>0</v>
      </c>
      <c r="AH25">
        <v>0</v>
      </c>
      <c r="AI25">
        <v>0</v>
      </c>
      <c r="AJ25">
        <v>0</v>
      </c>
      <c r="AK25" t="b">
        <v>0</v>
      </c>
      <c r="AL25" t="s">
        <v>58</v>
      </c>
      <c r="AM25" t="s">
        <v>58</v>
      </c>
      <c r="AN25" t="s">
        <v>71</v>
      </c>
      <c r="AO25">
        <v>14</v>
      </c>
      <c r="AP25">
        <v>7</v>
      </c>
      <c r="AQ25">
        <v>12</v>
      </c>
      <c r="AR25">
        <v>11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s">
        <v>61</v>
      </c>
      <c r="BA25" t="s">
        <v>57</v>
      </c>
      <c r="BC25" t="s">
        <v>58</v>
      </c>
      <c r="BD25" t="s">
        <v>58</v>
      </c>
      <c r="BE25">
        <v>1</v>
      </c>
    </row>
    <row r="26" spans="1:57" x14ac:dyDescent="0.25">
      <c r="A26" t="s">
        <v>199</v>
      </c>
      <c r="B26">
        <v>63</v>
      </c>
      <c r="C26">
        <v>0</v>
      </c>
      <c r="D26">
        <v>0</v>
      </c>
      <c r="E26">
        <v>0</v>
      </c>
      <c r="F26" t="s">
        <v>156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145</v>
      </c>
      <c r="N26">
        <v>-1</v>
      </c>
      <c r="O26">
        <v>0</v>
      </c>
      <c r="P26">
        <v>-1</v>
      </c>
      <c r="Q26">
        <v>0</v>
      </c>
      <c r="R26" t="s">
        <v>70</v>
      </c>
      <c r="S26">
        <v>0</v>
      </c>
      <c r="T26">
        <v>0</v>
      </c>
      <c r="U26">
        <v>780</v>
      </c>
      <c r="V26" t="s">
        <v>57</v>
      </c>
      <c r="W26">
        <v>0</v>
      </c>
      <c r="X26">
        <v>0</v>
      </c>
      <c r="Y26">
        <v>0</v>
      </c>
      <c r="Z26">
        <v>0</v>
      </c>
      <c r="AA26" t="s">
        <v>67</v>
      </c>
      <c r="AB26">
        <v>0</v>
      </c>
      <c r="AC26">
        <v>0</v>
      </c>
      <c r="AD26">
        <v>0</v>
      </c>
      <c r="AE26">
        <v>0</v>
      </c>
      <c r="AF26" t="s">
        <v>60</v>
      </c>
      <c r="AG26">
        <v>0</v>
      </c>
      <c r="AH26">
        <v>0</v>
      </c>
      <c r="AI26">
        <v>0</v>
      </c>
      <c r="AJ26">
        <v>0</v>
      </c>
      <c r="AK26" t="b">
        <v>0</v>
      </c>
      <c r="AL26" t="s">
        <v>58</v>
      </c>
      <c r="AM26" t="s">
        <v>58</v>
      </c>
      <c r="AN26" t="s">
        <v>71</v>
      </c>
      <c r="AO26">
        <v>14</v>
      </c>
      <c r="AP26">
        <v>7</v>
      </c>
      <c r="AQ26">
        <v>2</v>
      </c>
      <c r="AR26">
        <v>11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s">
        <v>61</v>
      </c>
      <c r="BA26" t="s">
        <v>57</v>
      </c>
      <c r="BC26" t="s">
        <v>58</v>
      </c>
      <c r="BD26" t="s">
        <v>58</v>
      </c>
      <c r="BE26">
        <v>1</v>
      </c>
    </row>
    <row r="27" spans="1:57" x14ac:dyDescent="0.25">
      <c r="A27" t="s">
        <v>200</v>
      </c>
      <c r="B27">
        <v>108</v>
      </c>
      <c r="C27">
        <v>0</v>
      </c>
      <c r="D27">
        <v>0</v>
      </c>
      <c r="E27">
        <v>0</v>
      </c>
      <c r="F27" t="s">
        <v>161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154</v>
      </c>
      <c r="N27">
        <v>-1</v>
      </c>
      <c r="O27">
        <v>0</v>
      </c>
      <c r="P27">
        <v>-1</v>
      </c>
      <c r="Q27">
        <v>0</v>
      </c>
      <c r="R27" t="s">
        <v>70</v>
      </c>
      <c r="S27">
        <v>0</v>
      </c>
      <c r="T27">
        <v>0</v>
      </c>
      <c r="U27">
        <v>1230</v>
      </c>
      <c r="V27" t="s">
        <v>57</v>
      </c>
      <c r="W27">
        <v>0</v>
      </c>
      <c r="X27">
        <v>0</v>
      </c>
      <c r="Y27">
        <v>0</v>
      </c>
      <c r="Z27">
        <v>0</v>
      </c>
      <c r="AA27" t="s">
        <v>65</v>
      </c>
      <c r="AB27">
        <v>0</v>
      </c>
      <c r="AC27">
        <v>0</v>
      </c>
      <c r="AD27">
        <v>0</v>
      </c>
      <c r="AE27">
        <v>0</v>
      </c>
      <c r="AF27" t="s">
        <v>65</v>
      </c>
      <c r="AG27">
        <v>0</v>
      </c>
      <c r="AH27">
        <v>0</v>
      </c>
      <c r="AI27">
        <v>0</v>
      </c>
      <c r="AJ27">
        <v>0</v>
      </c>
      <c r="AK27" t="b">
        <v>0</v>
      </c>
      <c r="AL27" t="s">
        <v>58</v>
      </c>
      <c r="AM27" t="s">
        <v>58</v>
      </c>
      <c r="AN27" t="s">
        <v>71</v>
      </c>
      <c r="AO27">
        <v>14</v>
      </c>
      <c r="AP27">
        <v>7</v>
      </c>
      <c r="AQ27">
        <v>13</v>
      </c>
      <c r="AR27">
        <v>11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s">
        <v>61</v>
      </c>
      <c r="BA27" t="s">
        <v>57</v>
      </c>
      <c r="BC27" t="s">
        <v>58</v>
      </c>
      <c r="BD27" t="s">
        <v>58</v>
      </c>
      <c r="BE27">
        <v>1</v>
      </c>
    </row>
    <row r="28" spans="1:57" x14ac:dyDescent="0.25">
      <c r="A28" t="s">
        <v>201</v>
      </c>
      <c r="B28">
        <v>237</v>
      </c>
      <c r="C28">
        <v>0</v>
      </c>
      <c r="D28">
        <v>0</v>
      </c>
      <c r="E28">
        <v>0</v>
      </c>
      <c r="F28" t="s">
        <v>168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158</v>
      </c>
      <c r="N28">
        <v>-1</v>
      </c>
      <c r="O28">
        <v>0</v>
      </c>
      <c r="P28">
        <v>-1</v>
      </c>
      <c r="Q28">
        <v>0</v>
      </c>
      <c r="R28" t="s">
        <v>70</v>
      </c>
      <c r="S28">
        <v>0</v>
      </c>
      <c r="T28">
        <v>0</v>
      </c>
      <c r="U28">
        <v>780</v>
      </c>
      <c r="V28" t="s">
        <v>57</v>
      </c>
      <c r="W28">
        <v>0</v>
      </c>
      <c r="X28">
        <v>0</v>
      </c>
      <c r="Y28">
        <v>0</v>
      </c>
      <c r="Z28">
        <v>0</v>
      </c>
      <c r="AA28" t="s">
        <v>67</v>
      </c>
      <c r="AB28">
        <v>0</v>
      </c>
      <c r="AC28">
        <v>0</v>
      </c>
      <c r="AD28">
        <v>0</v>
      </c>
      <c r="AE28">
        <v>0</v>
      </c>
      <c r="AF28" t="s">
        <v>60</v>
      </c>
      <c r="AG28">
        <v>0</v>
      </c>
      <c r="AH28">
        <v>0</v>
      </c>
      <c r="AI28">
        <v>0</v>
      </c>
      <c r="AJ28">
        <v>0</v>
      </c>
      <c r="AK28" t="b">
        <v>0</v>
      </c>
      <c r="AL28" t="s">
        <v>58</v>
      </c>
      <c r="AM28" t="s">
        <v>58</v>
      </c>
      <c r="AN28" t="s">
        <v>71</v>
      </c>
      <c r="AO28">
        <v>14</v>
      </c>
      <c r="AP28">
        <v>8</v>
      </c>
      <c r="AQ28">
        <v>2</v>
      </c>
      <c r="AR28">
        <v>11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s">
        <v>61</v>
      </c>
      <c r="BA28" t="s">
        <v>57</v>
      </c>
      <c r="BC28" t="s">
        <v>58</v>
      </c>
      <c r="BD28" t="s">
        <v>58</v>
      </c>
      <c r="BE28">
        <v>1</v>
      </c>
    </row>
    <row r="29" spans="1:57" x14ac:dyDescent="0.25">
      <c r="A29" t="s">
        <v>202</v>
      </c>
      <c r="B29">
        <v>177</v>
      </c>
      <c r="C29">
        <v>0</v>
      </c>
      <c r="D29">
        <v>0</v>
      </c>
      <c r="E29">
        <v>0</v>
      </c>
      <c r="F29" t="s">
        <v>160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148</v>
      </c>
      <c r="N29">
        <v>-1</v>
      </c>
      <c r="O29">
        <v>0</v>
      </c>
      <c r="P29">
        <v>-1</v>
      </c>
      <c r="Q29">
        <v>0</v>
      </c>
      <c r="R29" t="s">
        <v>70</v>
      </c>
      <c r="S29">
        <v>0</v>
      </c>
      <c r="T29">
        <v>0</v>
      </c>
      <c r="U29">
        <v>780</v>
      </c>
      <c r="V29" t="s">
        <v>57</v>
      </c>
      <c r="W29">
        <v>0</v>
      </c>
      <c r="X29">
        <v>0</v>
      </c>
      <c r="Y29">
        <v>0</v>
      </c>
      <c r="Z29">
        <v>0</v>
      </c>
      <c r="AA29" t="s">
        <v>67</v>
      </c>
      <c r="AB29">
        <v>0</v>
      </c>
      <c r="AC29">
        <v>0</v>
      </c>
      <c r="AD29">
        <v>0</v>
      </c>
      <c r="AE29">
        <v>0</v>
      </c>
      <c r="AF29" t="s">
        <v>60</v>
      </c>
      <c r="AG29">
        <v>0</v>
      </c>
      <c r="AH29">
        <v>0</v>
      </c>
      <c r="AI29">
        <v>0</v>
      </c>
      <c r="AJ29">
        <v>0</v>
      </c>
      <c r="AK29" t="b">
        <v>0</v>
      </c>
      <c r="AL29" t="s">
        <v>58</v>
      </c>
      <c r="AM29" t="s">
        <v>58</v>
      </c>
      <c r="AN29" t="s">
        <v>71</v>
      </c>
      <c r="AO29">
        <v>14</v>
      </c>
      <c r="AP29">
        <v>6</v>
      </c>
      <c r="AQ29">
        <v>6</v>
      </c>
      <c r="AR29">
        <v>11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s">
        <v>61</v>
      </c>
      <c r="BA29" t="s">
        <v>57</v>
      </c>
      <c r="BC29" t="s">
        <v>58</v>
      </c>
      <c r="BD29" t="s">
        <v>58</v>
      </c>
      <c r="BE29">
        <v>1</v>
      </c>
    </row>
    <row r="30" spans="1:57" x14ac:dyDescent="0.25">
      <c r="A30" t="s">
        <v>203</v>
      </c>
      <c r="B30">
        <v>256</v>
      </c>
      <c r="C30">
        <v>0</v>
      </c>
      <c r="D30">
        <v>0</v>
      </c>
      <c r="E30">
        <v>0</v>
      </c>
      <c r="F30" t="s">
        <v>173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146</v>
      </c>
      <c r="N30">
        <v>-1</v>
      </c>
      <c r="O30">
        <v>0</v>
      </c>
      <c r="P30">
        <v>-1</v>
      </c>
      <c r="Q30">
        <v>0</v>
      </c>
      <c r="R30" t="s">
        <v>70</v>
      </c>
      <c r="S30">
        <v>0</v>
      </c>
      <c r="T30">
        <v>0</v>
      </c>
      <c r="U30">
        <v>780</v>
      </c>
      <c r="V30" t="s">
        <v>57</v>
      </c>
      <c r="W30">
        <v>0</v>
      </c>
      <c r="X30">
        <v>0</v>
      </c>
      <c r="Y30">
        <v>0</v>
      </c>
      <c r="Z30">
        <v>0</v>
      </c>
      <c r="AA30" t="s">
        <v>67</v>
      </c>
      <c r="AB30">
        <v>0</v>
      </c>
      <c r="AC30">
        <v>0</v>
      </c>
      <c r="AD30">
        <v>0</v>
      </c>
      <c r="AE30">
        <v>0</v>
      </c>
      <c r="AF30" t="s">
        <v>60</v>
      </c>
      <c r="AG30">
        <v>0</v>
      </c>
      <c r="AH30">
        <v>0</v>
      </c>
      <c r="AI30">
        <v>0</v>
      </c>
      <c r="AJ30">
        <v>0</v>
      </c>
      <c r="AK30" t="b">
        <v>0</v>
      </c>
      <c r="AL30" t="s">
        <v>58</v>
      </c>
      <c r="AM30" t="s">
        <v>58</v>
      </c>
      <c r="AN30" t="s">
        <v>71</v>
      </c>
      <c r="AO30">
        <v>14</v>
      </c>
      <c r="AP30">
        <v>9</v>
      </c>
      <c r="AQ30">
        <v>1</v>
      </c>
      <c r="AR30">
        <v>11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s">
        <v>61</v>
      </c>
      <c r="BA30" t="s">
        <v>57</v>
      </c>
      <c r="BC30" t="s">
        <v>58</v>
      </c>
      <c r="BD30" t="s">
        <v>58</v>
      </c>
      <c r="BE30">
        <v>1</v>
      </c>
    </row>
    <row r="31" spans="1:57" x14ac:dyDescent="0.25">
      <c r="A31" t="s">
        <v>204</v>
      </c>
      <c r="B31">
        <v>316</v>
      </c>
      <c r="C31">
        <v>0</v>
      </c>
      <c r="D31">
        <v>0</v>
      </c>
      <c r="E31">
        <v>0</v>
      </c>
      <c r="F31" t="s">
        <v>165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151</v>
      </c>
      <c r="N31">
        <v>-1</v>
      </c>
      <c r="O31">
        <v>0</v>
      </c>
      <c r="P31">
        <v>-1</v>
      </c>
      <c r="Q31">
        <v>0</v>
      </c>
      <c r="R31" t="s">
        <v>70</v>
      </c>
      <c r="S31">
        <v>0</v>
      </c>
      <c r="T31">
        <v>0</v>
      </c>
      <c r="U31">
        <v>1200</v>
      </c>
      <c r="V31" t="s">
        <v>57</v>
      </c>
      <c r="W31">
        <v>0</v>
      </c>
      <c r="X31">
        <v>0</v>
      </c>
      <c r="Y31">
        <v>0</v>
      </c>
      <c r="Z31">
        <v>0</v>
      </c>
      <c r="AA31" t="s">
        <v>68</v>
      </c>
      <c r="AB31">
        <v>0</v>
      </c>
      <c r="AC31">
        <v>0</v>
      </c>
      <c r="AD31">
        <v>0</v>
      </c>
      <c r="AE31">
        <v>0</v>
      </c>
      <c r="AF31" t="s">
        <v>68</v>
      </c>
      <c r="AG31">
        <v>0</v>
      </c>
      <c r="AH31">
        <v>0</v>
      </c>
      <c r="AI31">
        <v>0</v>
      </c>
      <c r="AJ31">
        <v>0</v>
      </c>
      <c r="AK31" t="b">
        <v>0</v>
      </c>
      <c r="AL31" t="s">
        <v>58</v>
      </c>
      <c r="AM31" t="s">
        <v>58</v>
      </c>
      <c r="AN31" t="s">
        <v>71</v>
      </c>
      <c r="AO31">
        <v>14</v>
      </c>
      <c r="AP31">
        <v>11</v>
      </c>
      <c r="AQ31">
        <v>14</v>
      </c>
      <c r="AR31">
        <v>11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s">
        <v>61</v>
      </c>
      <c r="BA31" t="s">
        <v>57</v>
      </c>
      <c r="BC31" t="s">
        <v>58</v>
      </c>
      <c r="BD31" t="s">
        <v>58</v>
      </c>
      <c r="BE31">
        <v>1</v>
      </c>
    </row>
    <row r="32" spans="1:57" x14ac:dyDescent="0.25">
      <c r="A32" t="s">
        <v>205</v>
      </c>
      <c r="B32">
        <v>200</v>
      </c>
      <c r="C32">
        <v>0</v>
      </c>
      <c r="D32">
        <v>0</v>
      </c>
      <c r="E32">
        <v>0</v>
      </c>
      <c r="F32" t="s">
        <v>163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164</v>
      </c>
      <c r="N32">
        <v>-1</v>
      </c>
      <c r="O32">
        <v>0</v>
      </c>
      <c r="P32">
        <v>-1</v>
      </c>
      <c r="Q32">
        <v>0</v>
      </c>
      <c r="R32" t="s">
        <v>70</v>
      </c>
      <c r="S32">
        <v>0</v>
      </c>
      <c r="T32">
        <v>0</v>
      </c>
      <c r="U32">
        <v>780</v>
      </c>
      <c r="V32" t="s">
        <v>57</v>
      </c>
      <c r="W32">
        <v>0</v>
      </c>
      <c r="X32">
        <v>0</v>
      </c>
      <c r="Y32">
        <v>0</v>
      </c>
      <c r="Z32">
        <v>0</v>
      </c>
      <c r="AA32" t="s">
        <v>67</v>
      </c>
      <c r="AB32">
        <v>0</v>
      </c>
      <c r="AC32">
        <v>0</v>
      </c>
      <c r="AD32">
        <v>0</v>
      </c>
      <c r="AE32">
        <v>0</v>
      </c>
      <c r="AF32" t="s">
        <v>60</v>
      </c>
      <c r="AG32">
        <v>0</v>
      </c>
      <c r="AH32">
        <v>0</v>
      </c>
      <c r="AI32">
        <v>0</v>
      </c>
      <c r="AJ32">
        <v>0</v>
      </c>
      <c r="AK32" t="b">
        <v>0</v>
      </c>
      <c r="AL32" t="s">
        <v>58</v>
      </c>
      <c r="AM32" t="s">
        <v>58</v>
      </c>
      <c r="AN32" t="s">
        <v>71</v>
      </c>
      <c r="AO32">
        <v>14</v>
      </c>
      <c r="AP32">
        <v>11</v>
      </c>
      <c r="AQ32">
        <v>6</v>
      </c>
      <c r="AR32">
        <v>11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s">
        <v>61</v>
      </c>
      <c r="BA32" t="s">
        <v>57</v>
      </c>
      <c r="BC32" t="s">
        <v>58</v>
      </c>
      <c r="BD32" t="s">
        <v>58</v>
      </c>
      <c r="BE32">
        <v>1</v>
      </c>
    </row>
    <row r="33" spans="1:57" x14ac:dyDescent="0.25">
      <c r="A33" t="s">
        <v>206</v>
      </c>
      <c r="B33">
        <v>310</v>
      </c>
      <c r="C33">
        <v>0</v>
      </c>
      <c r="D33">
        <v>0</v>
      </c>
      <c r="E33">
        <v>0</v>
      </c>
      <c r="F33" t="s">
        <v>174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152</v>
      </c>
      <c r="N33">
        <v>-1</v>
      </c>
      <c r="O33">
        <v>0</v>
      </c>
      <c r="P33">
        <v>-1</v>
      </c>
      <c r="Q33">
        <v>0</v>
      </c>
      <c r="R33" t="s">
        <v>70</v>
      </c>
      <c r="S33">
        <v>0</v>
      </c>
      <c r="T33">
        <v>0</v>
      </c>
      <c r="U33">
        <v>975</v>
      </c>
      <c r="V33" t="s">
        <v>57</v>
      </c>
      <c r="W33">
        <v>0</v>
      </c>
      <c r="X33">
        <v>0</v>
      </c>
      <c r="Y33">
        <v>0</v>
      </c>
      <c r="Z33">
        <v>0</v>
      </c>
      <c r="AA33" t="s">
        <v>67</v>
      </c>
      <c r="AB33">
        <v>0</v>
      </c>
      <c r="AC33">
        <v>0</v>
      </c>
      <c r="AD33">
        <v>0</v>
      </c>
      <c r="AE33">
        <v>0</v>
      </c>
      <c r="AF33" t="s">
        <v>60</v>
      </c>
      <c r="AG33">
        <v>0</v>
      </c>
      <c r="AH33">
        <v>0</v>
      </c>
      <c r="AI33">
        <v>0</v>
      </c>
      <c r="AJ33">
        <v>0</v>
      </c>
      <c r="AK33" t="b">
        <v>0</v>
      </c>
      <c r="AL33" t="s">
        <v>58</v>
      </c>
      <c r="AM33" t="s">
        <v>58</v>
      </c>
      <c r="AN33" t="s">
        <v>71</v>
      </c>
      <c r="AO33">
        <v>14</v>
      </c>
      <c r="AP33">
        <v>15</v>
      </c>
      <c r="AQ33">
        <v>11</v>
      </c>
      <c r="AR33">
        <v>11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s">
        <v>61</v>
      </c>
      <c r="BA33" t="s">
        <v>57</v>
      </c>
      <c r="BC33" t="s">
        <v>58</v>
      </c>
      <c r="BD33" t="s">
        <v>58</v>
      </c>
      <c r="BE33">
        <v>1</v>
      </c>
    </row>
    <row r="34" spans="1:57" x14ac:dyDescent="0.25">
      <c r="A34" t="s">
        <v>207</v>
      </c>
      <c r="B34">
        <v>121</v>
      </c>
      <c r="C34">
        <v>0</v>
      </c>
      <c r="D34">
        <v>0</v>
      </c>
      <c r="E34">
        <v>0</v>
      </c>
      <c r="F34" t="s">
        <v>145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170</v>
      </c>
      <c r="N34">
        <v>-1</v>
      </c>
      <c r="O34">
        <v>0</v>
      </c>
      <c r="P34">
        <v>-1</v>
      </c>
      <c r="Q34">
        <v>0</v>
      </c>
      <c r="R34" t="s">
        <v>70</v>
      </c>
      <c r="S34">
        <v>0</v>
      </c>
      <c r="T34">
        <v>0</v>
      </c>
      <c r="U34">
        <v>780</v>
      </c>
      <c r="V34" t="s">
        <v>57</v>
      </c>
      <c r="W34">
        <v>0</v>
      </c>
      <c r="X34">
        <v>0</v>
      </c>
      <c r="Y34">
        <v>0</v>
      </c>
      <c r="Z34">
        <v>0</v>
      </c>
      <c r="AA34" t="s">
        <v>67</v>
      </c>
      <c r="AB34">
        <v>0</v>
      </c>
      <c r="AC34">
        <v>0</v>
      </c>
      <c r="AD34">
        <v>0</v>
      </c>
      <c r="AE34">
        <v>0</v>
      </c>
      <c r="AF34" t="s">
        <v>60</v>
      </c>
      <c r="AG34">
        <v>0</v>
      </c>
      <c r="AH34">
        <v>0</v>
      </c>
      <c r="AI34">
        <v>0</v>
      </c>
      <c r="AJ34">
        <v>0</v>
      </c>
      <c r="AK34" t="b">
        <v>0</v>
      </c>
      <c r="AL34" t="s">
        <v>58</v>
      </c>
      <c r="AM34" t="s">
        <v>58</v>
      </c>
      <c r="AN34" t="s">
        <v>71</v>
      </c>
      <c r="AO34">
        <v>14</v>
      </c>
      <c r="AP34">
        <v>0</v>
      </c>
      <c r="AQ34">
        <v>6</v>
      </c>
      <c r="AR34">
        <v>11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s">
        <v>61</v>
      </c>
      <c r="BA34" t="s">
        <v>57</v>
      </c>
      <c r="BC34" t="s">
        <v>58</v>
      </c>
      <c r="BD34" t="s">
        <v>58</v>
      </c>
      <c r="BE34">
        <v>2</v>
      </c>
    </row>
    <row r="35" spans="1:57" x14ac:dyDescent="0.25">
      <c r="A35" t="s">
        <v>208</v>
      </c>
      <c r="B35">
        <v>254</v>
      </c>
      <c r="C35">
        <v>0</v>
      </c>
      <c r="D35">
        <v>0</v>
      </c>
      <c r="E35">
        <v>0</v>
      </c>
      <c r="F35" t="s">
        <v>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164</v>
      </c>
      <c r="N35">
        <v>-1</v>
      </c>
      <c r="O35">
        <v>0</v>
      </c>
      <c r="P35">
        <v>-1</v>
      </c>
      <c r="Q35">
        <v>0</v>
      </c>
      <c r="R35" t="s">
        <v>70</v>
      </c>
      <c r="S35">
        <v>0</v>
      </c>
      <c r="T35">
        <v>0</v>
      </c>
      <c r="U35">
        <v>780</v>
      </c>
      <c r="V35" t="s">
        <v>57</v>
      </c>
      <c r="W35">
        <v>0</v>
      </c>
      <c r="X35">
        <v>0</v>
      </c>
      <c r="Y35">
        <v>0</v>
      </c>
      <c r="Z35">
        <v>0</v>
      </c>
      <c r="AA35" t="s">
        <v>67</v>
      </c>
      <c r="AB35">
        <v>0</v>
      </c>
      <c r="AC35">
        <v>0</v>
      </c>
      <c r="AD35">
        <v>0</v>
      </c>
      <c r="AE35">
        <v>0</v>
      </c>
      <c r="AF35" t="s">
        <v>60</v>
      </c>
      <c r="AG35">
        <v>0</v>
      </c>
      <c r="AH35">
        <v>0</v>
      </c>
      <c r="AI35">
        <v>0</v>
      </c>
      <c r="AJ35">
        <v>0</v>
      </c>
      <c r="AK35" t="b">
        <v>0</v>
      </c>
      <c r="AL35" t="s">
        <v>58</v>
      </c>
      <c r="AM35" t="s">
        <v>58</v>
      </c>
      <c r="AN35" t="s">
        <v>71</v>
      </c>
      <c r="AO35">
        <v>14</v>
      </c>
      <c r="AP35">
        <v>2</v>
      </c>
      <c r="AQ35">
        <v>2</v>
      </c>
      <c r="AR35">
        <v>11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s">
        <v>61</v>
      </c>
      <c r="BA35" t="s">
        <v>57</v>
      </c>
      <c r="BC35" t="s">
        <v>58</v>
      </c>
      <c r="BD35" t="s">
        <v>58</v>
      </c>
      <c r="BE35">
        <v>2</v>
      </c>
    </row>
    <row r="36" spans="1:57" x14ac:dyDescent="0.25">
      <c r="A36" t="s">
        <v>209</v>
      </c>
      <c r="B36">
        <v>168</v>
      </c>
      <c r="C36">
        <v>0</v>
      </c>
      <c r="D36">
        <v>0</v>
      </c>
      <c r="E36">
        <v>0</v>
      </c>
      <c r="F36" t="s">
        <v>162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169</v>
      </c>
      <c r="N36">
        <v>-1</v>
      </c>
      <c r="O36">
        <v>0</v>
      </c>
      <c r="P36">
        <v>-1</v>
      </c>
      <c r="Q36">
        <v>0</v>
      </c>
      <c r="R36" t="s">
        <v>70</v>
      </c>
      <c r="S36">
        <v>0</v>
      </c>
      <c r="T36">
        <v>0</v>
      </c>
      <c r="U36">
        <v>780</v>
      </c>
      <c r="V36" t="s">
        <v>57</v>
      </c>
      <c r="W36">
        <v>0</v>
      </c>
      <c r="X36">
        <v>0</v>
      </c>
      <c r="Y36">
        <v>0</v>
      </c>
      <c r="Z36">
        <v>0</v>
      </c>
      <c r="AA36" t="s">
        <v>67</v>
      </c>
      <c r="AB36">
        <v>0</v>
      </c>
      <c r="AC36">
        <v>0</v>
      </c>
      <c r="AD36">
        <v>0</v>
      </c>
      <c r="AE36">
        <v>0</v>
      </c>
      <c r="AF36" t="s">
        <v>60</v>
      </c>
      <c r="AG36">
        <v>0</v>
      </c>
      <c r="AH36">
        <v>0</v>
      </c>
      <c r="AI36">
        <v>0</v>
      </c>
      <c r="AJ36">
        <v>0</v>
      </c>
      <c r="AK36" t="b">
        <v>0</v>
      </c>
      <c r="AL36" t="s">
        <v>58</v>
      </c>
      <c r="AM36" t="s">
        <v>58</v>
      </c>
      <c r="AN36" t="s">
        <v>71</v>
      </c>
      <c r="AO36">
        <v>14</v>
      </c>
      <c r="AP36">
        <v>5</v>
      </c>
      <c r="AQ36">
        <v>0</v>
      </c>
      <c r="AR36">
        <v>11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s">
        <v>61</v>
      </c>
      <c r="BA36" t="s">
        <v>57</v>
      </c>
      <c r="BC36" t="s">
        <v>58</v>
      </c>
      <c r="BD36" t="s">
        <v>58</v>
      </c>
      <c r="BE36">
        <v>2</v>
      </c>
    </row>
    <row r="37" spans="1:57" x14ac:dyDescent="0.25">
      <c r="A37" t="s">
        <v>210</v>
      </c>
      <c r="B37">
        <v>75</v>
      </c>
      <c r="C37">
        <v>0</v>
      </c>
      <c r="D37">
        <v>0</v>
      </c>
      <c r="E37">
        <v>0</v>
      </c>
      <c r="F37" t="s">
        <v>150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156</v>
      </c>
      <c r="N37">
        <v>-1</v>
      </c>
      <c r="O37">
        <v>0</v>
      </c>
      <c r="P37">
        <v>-1</v>
      </c>
      <c r="Q37">
        <v>0</v>
      </c>
      <c r="R37" t="s">
        <v>70</v>
      </c>
      <c r="S37">
        <v>0</v>
      </c>
      <c r="T37">
        <v>0</v>
      </c>
      <c r="U37">
        <v>1230</v>
      </c>
      <c r="V37" t="s">
        <v>57</v>
      </c>
      <c r="W37">
        <v>0</v>
      </c>
      <c r="X37">
        <v>0</v>
      </c>
      <c r="Y37">
        <v>0</v>
      </c>
      <c r="Z37">
        <v>0</v>
      </c>
      <c r="AA37" t="s">
        <v>65</v>
      </c>
      <c r="AB37">
        <v>0</v>
      </c>
      <c r="AC37">
        <v>0</v>
      </c>
      <c r="AD37">
        <v>0</v>
      </c>
      <c r="AE37">
        <v>0</v>
      </c>
      <c r="AF37" t="s">
        <v>65</v>
      </c>
      <c r="AG37">
        <v>0</v>
      </c>
      <c r="AH37">
        <v>0</v>
      </c>
      <c r="AI37">
        <v>0</v>
      </c>
      <c r="AJ37">
        <v>0</v>
      </c>
      <c r="AK37" t="b">
        <v>0</v>
      </c>
      <c r="AL37" t="s">
        <v>58</v>
      </c>
      <c r="AM37" t="s">
        <v>58</v>
      </c>
      <c r="AN37" t="s">
        <v>71</v>
      </c>
      <c r="AO37">
        <v>14</v>
      </c>
      <c r="AP37">
        <v>4</v>
      </c>
      <c r="AQ37">
        <v>14</v>
      </c>
      <c r="AR37">
        <v>11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s">
        <v>61</v>
      </c>
      <c r="BA37" t="s">
        <v>57</v>
      </c>
      <c r="BC37" t="s">
        <v>58</v>
      </c>
      <c r="BD37" t="s">
        <v>58</v>
      </c>
      <c r="BE37">
        <v>2</v>
      </c>
    </row>
    <row r="38" spans="1:57" x14ac:dyDescent="0.25">
      <c r="A38" t="s">
        <v>211</v>
      </c>
      <c r="B38">
        <v>246</v>
      </c>
      <c r="C38">
        <v>0</v>
      </c>
      <c r="D38">
        <v>0</v>
      </c>
      <c r="E38">
        <v>0</v>
      </c>
      <c r="F38" t="s">
        <v>168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149</v>
      </c>
      <c r="N38">
        <v>-1</v>
      </c>
      <c r="O38">
        <v>0</v>
      </c>
      <c r="P38">
        <v>-1</v>
      </c>
      <c r="Q38">
        <v>0</v>
      </c>
      <c r="R38" t="s">
        <v>70</v>
      </c>
      <c r="S38">
        <v>0</v>
      </c>
      <c r="T38">
        <v>0</v>
      </c>
      <c r="U38">
        <v>780</v>
      </c>
      <c r="V38" t="s">
        <v>57</v>
      </c>
      <c r="W38">
        <v>0</v>
      </c>
      <c r="X38">
        <v>0</v>
      </c>
      <c r="Y38">
        <v>0</v>
      </c>
      <c r="Z38">
        <v>0</v>
      </c>
      <c r="AA38" t="s">
        <v>67</v>
      </c>
      <c r="AB38">
        <v>0</v>
      </c>
      <c r="AC38">
        <v>0</v>
      </c>
      <c r="AD38">
        <v>0</v>
      </c>
      <c r="AE38">
        <v>0</v>
      </c>
      <c r="AF38" t="s">
        <v>60</v>
      </c>
      <c r="AG38">
        <v>0</v>
      </c>
      <c r="AH38">
        <v>0</v>
      </c>
      <c r="AI38">
        <v>0</v>
      </c>
      <c r="AJ38">
        <v>0</v>
      </c>
      <c r="AK38" t="b">
        <v>0</v>
      </c>
      <c r="AL38" t="s">
        <v>58</v>
      </c>
      <c r="AM38" t="s">
        <v>58</v>
      </c>
      <c r="AN38" t="s">
        <v>71</v>
      </c>
      <c r="AO38">
        <v>14</v>
      </c>
      <c r="AP38">
        <v>5</v>
      </c>
      <c r="AQ38">
        <v>6</v>
      </c>
      <c r="AR38">
        <v>11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s">
        <v>61</v>
      </c>
      <c r="BA38" t="s">
        <v>57</v>
      </c>
      <c r="BC38" t="s">
        <v>58</v>
      </c>
      <c r="BD38" t="s">
        <v>58</v>
      </c>
      <c r="BE38">
        <v>2</v>
      </c>
    </row>
    <row r="39" spans="1:57" x14ac:dyDescent="0.25">
      <c r="A39" t="s">
        <v>212</v>
      </c>
      <c r="B39">
        <v>282</v>
      </c>
      <c r="C39">
        <v>0</v>
      </c>
      <c r="D39">
        <v>0</v>
      </c>
      <c r="E39">
        <v>0</v>
      </c>
      <c r="F39" t="s">
        <v>148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166</v>
      </c>
      <c r="N39">
        <v>-1</v>
      </c>
      <c r="O39">
        <v>0</v>
      </c>
      <c r="P39">
        <v>-1</v>
      </c>
      <c r="Q39">
        <v>0</v>
      </c>
      <c r="R39" t="s">
        <v>70</v>
      </c>
      <c r="S39">
        <v>0</v>
      </c>
      <c r="T39">
        <v>0</v>
      </c>
      <c r="U39">
        <v>780</v>
      </c>
      <c r="V39" t="s">
        <v>57</v>
      </c>
      <c r="W39">
        <v>0</v>
      </c>
      <c r="X39">
        <v>0</v>
      </c>
      <c r="Y39">
        <v>0</v>
      </c>
      <c r="Z39">
        <v>0</v>
      </c>
      <c r="AA39" t="s">
        <v>67</v>
      </c>
      <c r="AB39">
        <v>0</v>
      </c>
      <c r="AC39">
        <v>0</v>
      </c>
      <c r="AD39">
        <v>0</v>
      </c>
      <c r="AE39">
        <v>0</v>
      </c>
      <c r="AF39" t="s">
        <v>60</v>
      </c>
      <c r="AG39">
        <v>0</v>
      </c>
      <c r="AH39">
        <v>0</v>
      </c>
      <c r="AI39">
        <v>0</v>
      </c>
      <c r="AJ39">
        <v>0</v>
      </c>
      <c r="AK39" t="b">
        <v>0</v>
      </c>
      <c r="AL39" t="s">
        <v>58</v>
      </c>
      <c r="AM39" t="s">
        <v>58</v>
      </c>
      <c r="AN39" t="s">
        <v>71</v>
      </c>
      <c r="AO39">
        <v>14</v>
      </c>
      <c r="AP39">
        <v>7</v>
      </c>
      <c r="AQ39">
        <v>7</v>
      </c>
      <c r="AR39">
        <v>11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s">
        <v>61</v>
      </c>
      <c r="BA39" t="s">
        <v>57</v>
      </c>
      <c r="BC39" t="s">
        <v>58</v>
      </c>
      <c r="BD39" t="s">
        <v>58</v>
      </c>
      <c r="BE39">
        <v>2</v>
      </c>
    </row>
    <row r="40" spans="1:57" x14ac:dyDescent="0.25">
      <c r="A40" t="s">
        <v>213</v>
      </c>
      <c r="B40">
        <v>259</v>
      </c>
      <c r="C40">
        <v>0</v>
      </c>
      <c r="D40">
        <v>0</v>
      </c>
      <c r="E40">
        <v>0</v>
      </c>
      <c r="F40" t="s">
        <v>144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167</v>
      </c>
      <c r="N40">
        <v>-1</v>
      </c>
      <c r="O40">
        <v>0</v>
      </c>
      <c r="P40">
        <v>-1</v>
      </c>
      <c r="Q40">
        <v>0</v>
      </c>
      <c r="R40" t="s">
        <v>70</v>
      </c>
      <c r="S40">
        <v>0</v>
      </c>
      <c r="T40">
        <v>0</v>
      </c>
      <c r="U40">
        <v>1230</v>
      </c>
      <c r="V40" t="s">
        <v>57</v>
      </c>
      <c r="W40">
        <v>0</v>
      </c>
      <c r="X40">
        <v>0</v>
      </c>
      <c r="Y40">
        <v>0</v>
      </c>
      <c r="Z40">
        <v>0</v>
      </c>
      <c r="AA40" t="s">
        <v>65</v>
      </c>
      <c r="AB40">
        <v>0</v>
      </c>
      <c r="AC40">
        <v>0</v>
      </c>
      <c r="AD40">
        <v>0</v>
      </c>
      <c r="AE40">
        <v>0</v>
      </c>
      <c r="AF40" t="s">
        <v>65</v>
      </c>
      <c r="AG40">
        <v>0</v>
      </c>
      <c r="AH40">
        <v>0</v>
      </c>
      <c r="AI40">
        <v>0</v>
      </c>
      <c r="AJ40">
        <v>0</v>
      </c>
      <c r="AK40" t="b">
        <v>0</v>
      </c>
      <c r="AL40" t="s">
        <v>58</v>
      </c>
      <c r="AM40" t="s">
        <v>58</v>
      </c>
      <c r="AN40" t="s">
        <v>71</v>
      </c>
      <c r="AO40">
        <v>14</v>
      </c>
      <c r="AP40">
        <v>10</v>
      </c>
      <c r="AQ40">
        <v>13</v>
      </c>
      <c r="AR40">
        <v>11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s">
        <v>61</v>
      </c>
      <c r="BA40" t="s">
        <v>57</v>
      </c>
      <c r="BC40" t="s">
        <v>58</v>
      </c>
      <c r="BD40" t="s">
        <v>58</v>
      </c>
      <c r="BE40">
        <v>2</v>
      </c>
    </row>
    <row r="41" spans="1:57" x14ac:dyDescent="0.25">
      <c r="A41" t="s">
        <v>214</v>
      </c>
      <c r="B41">
        <v>238</v>
      </c>
      <c r="C41">
        <v>0</v>
      </c>
      <c r="D41">
        <v>0</v>
      </c>
      <c r="E41">
        <v>0</v>
      </c>
      <c r="F41" t="s">
        <v>146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158</v>
      </c>
      <c r="N41">
        <v>-1</v>
      </c>
      <c r="O41">
        <v>0</v>
      </c>
      <c r="P41">
        <v>-1</v>
      </c>
      <c r="Q41">
        <v>0</v>
      </c>
      <c r="R41" t="s">
        <v>70</v>
      </c>
      <c r="S41">
        <v>0</v>
      </c>
      <c r="T41">
        <v>0</v>
      </c>
      <c r="U41">
        <v>1220</v>
      </c>
      <c r="V41" t="s">
        <v>57</v>
      </c>
      <c r="W41">
        <v>0</v>
      </c>
      <c r="X41">
        <v>0</v>
      </c>
      <c r="Y41">
        <v>0</v>
      </c>
      <c r="Z41">
        <v>0</v>
      </c>
      <c r="AA41" t="s">
        <v>68</v>
      </c>
      <c r="AB41">
        <v>0</v>
      </c>
      <c r="AC41">
        <v>0</v>
      </c>
      <c r="AD41">
        <v>0</v>
      </c>
      <c r="AE41">
        <v>0</v>
      </c>
      <c r="AF41" t="s">
        <v>68</v>
      </c>
      <c r="AG41">
        <v>0</v>
      </c>
      <c r="AH41">
        <v>0</v>
      </c>
      <c r="AI41">
        <v>0</v>
      </c>
      <c r="AJ41">
        <v>0</v>
      </c>
      <c r="AK41" t="b">
        <v>0</v>
      </c>
      <c r="AL41" t="s">
        <v>58</v>
      </c>
      <c r="AM41" t="s">
        <v>58</v>
      </c>
      <c r="AN41" t="s">
        <v>71</v>
      </c>
      <c r="AO41">
        <v>14</v>
      </c>
      <c r="AP41">
        <v>12</v>
      </c>
      <c r="AQ41">
        <v>13</v>
      </c>
      <c r="AR41">
        <v>11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s">
        <v>61</v>
      </c>
      <c r="BA41" t="s">
        <v>57</v>
      </c>
      <c r="BC41" t="s">
        <v>58</v>
      </c>
      <c r="BD41" t="s">
        <v>58</v>
      </c>
      <c r="BE41">
        <v>2</v>
      </c>
    </row>
    <row r="42" spans="1:57" x14ac:dyDescent="0.25">
      <c r="A42" t="s">
        <v>215</v>
      </c>
      <c r="B42">
        <v>325</v>
      </c>
      <c r="C42">
        <v>0</v>
      </c>
      <c r="D42">
        <v>0</v>
      </c>
      <c r="E42">
        <v>0</v>
      </c>
      <c r="F42" t="s">
        <v>147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157</v>
      </c>
      <c r="N42">
        <v>-1</v>
      </c>
      <c r="O42">
        <v>0</v>
      </c>
      <c r="P42">
        <v>-1</v>
      </c>
      <c r="Q42">
        <v>0</v>
      </c>
      <c r="R42" t="s">
        <v>70</v>
      </c>
      <c r="S42">
        <v>0</v>
      </c>
      <c r="T42">
        <v>0</v>
      </c>
      <c r="U42">
        <v>975</v>
      </c>
      <c r="V42" t="s">
        <v>57</v>
      </c>
      <c r="W42">
        <v>0</v>
      </c>
      <c r="X42">
        <v>0</v>
      </c>
      <c r="Y42">
        <v>0</v>
      </c>
      <c r="Z42">
        <v>0</v>
      </c>
      <c r="AA42" t="s">
        <v>67</v>
      </c>
      <c r="AB42">
        <v>0</v>
      </c>
      <c r="AC42">
        <v>0</v>
      </c>
      <c r="AD42">
        <v>0</v>
      </c>
      <c r="AE42">
        <v>0</v>
      </c>
      <c r="AF42" t="s">
        <v>60</v>
      </c>
      <c r="AG42">
        <v>0</v>
      </c>
      <c r="AH42">
        <v>0</v>
      </c>
      <c r="AI42">
        <v>0</v>
      </c>
      <c r="AJ42">
        <v>0</v>
      </c>
      <c r="AK42" t="b">
        <v>0</v>
      </c>
      <c r="AL42" t="s">
        <v>58</v>
      </c>
      <c r="AM42" t="s">
        <v>58</v>
      </c>
      <c r="AN42" t="s">
        <v>71</v>
      </c>
      <c r="AO42">
        <v>14</v>
      </c>
      <c r="AP42">
        <v>11</v>
      </c>
      <c r="AQ42">
        <v>9</v>
      </c>
      <c r="AR42">
        <v>11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s">
        <v>61</v>
      </c>
      <c r="BA42" t="s">
        <v>57</v>
      </c>
      <c r="BC42" t="s">
        <v>58</v>
      </c>
      <c r="BD42" t="s">
        <v>58</v>
      </c>
      <c r="BE42">
        <v>2</v>
      </c>
    </row>
    <row r="43" spans="1:57" x14ac:dyDescent="0.25">
      <c r="A43" t="s">
        <v>216</v>
      </c>
      <c r="B43">
        <v>182</v>
      </c>
      <c r="C43">
        <v>0</v>
      </c>
      <c r="D43">
        <v>0</v>
      </c>
      <c r="E43">
        <v>0</v>
      </c>
      <c r="F43" t="s">
        <v>143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163</v>
      </c>
      <c r="N43">
        <v>-1</v>
      </c>
      <c r="O43">
        <v>0</v>
      </c>
      <c r="P43">
        <v>-1</v>
      </c>
      <c r="Q43">
        <v>0</v>
      </c>
      <c r="R43" t="s">
        <v>70</v>
      </c>
      <c r="S43">
        <v>0</v>
      </c>
      <c r="T43">
        <v>0</v>
      </c>
      <c r="U43">
        <v>975</v>
      </c>
      <c r="V43" t="s">
        <v>57</v>
      </c>
      <c r="W43">
        <v>0</v>
      </c>
      <c r="X43">
        <v>0</v>
      </c>
      <c r="Y43">
        <v>0</v>
      </c>
      <c r="Z43">
        <v>0</v>
      </c>
      <c r="AA43" t="s">
        <v>67</v>
      </c>
      <c r="AB43">
        <v>0</v>
      </c>
      <c r="AC43">
        <v>0</v>
      </c>
      <c r="AD43">
        <v>0</v>
      </c>
      <c r="AE43">
        <v>0</v>
      </c>
      <c r="AF43" t="s">
        <v>60</v>
      </c>
      <c r="AG43">
        <v>0</v>
      </c>
      <c r="AH43">
        <v>0</v>
      </c>
      <c r="AI43">
        <v>0</v>
      </c>
      <c r="AJ43">
        <v>0</v>
      </c>
      <c r="AK43" t="b">
        <v>0</v>
      </c>
      <c r="AL43" t="s">
        <v>58</v>
      </c>
      <c r="AM43" t="s">
        <v>58</v>
      </c>
      <c r="AN43" t="s">
        <v>71</v>
      </c>
      <c r="AO43">
        <v>14</v>
      </c>
      <c r="AP43">
        <v>12</v>
      </c>
      <c r="AQ43">
        <v>9</v>
      </c>
      <c r="AR43">
        <v>11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s">
        <v>61</v>
      </c>
      <c r="BA43" t="s">
        <v>57</v>
      </c>
      <c r="BC43" t="s">
        <v>58</v>
      </c>
      <c r="BD43" t="s">
        <v>58</v>
      </c>
      <c r="BE43">
        <v>2</v>
      </c>
    </row>
    <row r="44" spans="1:57" x14ac:dyDescent="0.25">
      <c r="A44" t="s">
        <v>217</v>
      </c>
      <c r="B44">
        <v>215</v>
      </c>
      <c r="C44">
        <v>0</v>
      </c>
      <c r="D44">
        <v>0</v>
      </c>
      <c r="E44">
        <v>0</v>
      </c>
      <c r="F44" t="s">
        <v>160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172</v>
      </c>
      <c r="N44">
        <v>-1</v>
      </c>
      <c r="O44">
        <v>0</v>
      </c>
      <c r="P44">
        <v>-1</v>
      </c>
      <c r="Q44">
        <v>0</v>
      </c>
      <c r="R44" t="s">
        <v>70</v>
      </c>
      <c r="S44">
        <v>0</v>
      </c>
      <c r="T44">
        <v>0</v>
      </c>
      <c r="U44">
        <v>780</v>
      </c>
      <c r="V44" t="s">
        <v>57</v>
      </c>
      <c r="W44">
        <v>0</v>
      </c>
      <c r="X44">
        <v>0</v>
      </c>
      <c r="Y44">
        <v>0</v>
      </c>
      <c r="Z44">
        <v>0</v>
      </c>
      <c r="AA44" t="s">
        <v>67</v>
      </c>
      <c r="AB44">
        <v>0</v>
      </c>
      <c r="AC44">
        <v>0</v>
      </c>
      <c r="AD44">
        <v>0</v>
      </c>
      <c r="AE44">
        <v>0</v>
      </c>
      <c r="AF44" t="s">
        <v>60</v>
      </c>
      <c r="AG44">
        <v>0</v>
      </c>
      <c r="AH44">
        <v>0</v>
      </c>
      <c r="AI44">
        <v>0</v>
      </c>
      <c r="AJ44">
        <v>0</v>
      </c>
      <c r="AK44" t="b">
        <v>0</v>
      </c>
      <c r="AL44" t="s">
        <v>58</v>
      </c>
      <c r="AM44" t="s">
        <v>58</v>
      </c>
      <c r="AN44" t="s">
        <v>71</v>
      </c>
      <c r="AO44">
        <v>14</v>
      </c>
      <c r="AP44">
        <v>12</v>
      </c>
      <c r="AQ44">
        <v>2</v>
      </c>
      <c r="AR44">
        <v>11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s">
        <v>61</v>
      </c>
      <c r="BA44" t="s">
        <v>57</v>
      </c>
      <c r="BC44" t="s">
        <v>58</v>
      </c>
      <c r="BD44" t="s">
        <v>58</v>
      </c>
      <c r="BE44">
        <v>2</v>
      </c>
    </row>
    <row r="45" spans="1:57" x14ac:dyDescent="0.25">
      <c r="A45" t="s">
        <v>218</v>
      </c>
      <c r="B45">
        <v>157</v>
      </c>
      <c r="C45">
        <v>0</v>
      </c>
      <c r="D45">
        <v>0</v>
      </c>
      <c r="E45">
        <v>0</v>
      </c>
      <c r="F45" t="s">
        <v>171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153</v>
      </c>
      <c r="N45">
        <v>-1</v>
      </c>
      <c r="O45">
        <v>0</v>
      </c>
      <c r="P45">
        <v>-1</v>
      </c>
      <c r="Q45">
        <v>0</v>
      </c>
      <c r="R45" t="s">
        <v>70</v>
      </c>
      <c r="S45">
        <v>0</v>
      </c>
      <c r="T45">
        <v>0</v>
      </c>
      <c r="U45">
        <v>780</v>
      </c>
      <c r="V45" t="s">
        <v>57</v>
      </c>
      <c r="W45">
        <v>0</v>
      </c>
      <c r="X45">
        <v>0</v>
      </c>
      <c r="Y45">
        <v>0</v>
      </c>
      <c r="Z45">
        <v>0</v>
      </c>
      <c r="AA45" t="s">
        <v>67</v>
      </c>
      <c r="AB45">
        <v>0</v>
      </c>
      <c r="AC45">
        <v>0</v>
      </c>
      <c r="AD45">
        <v>0</v>
      </c>
      <c r="AE45">
        <v>0</v>
      </c>
      <c r="AF45" t="s">
        <v>60</v>
      </c>
      <c r="AG45">
        <v>0</v>
      </c>
      <c r="AH45">
        <v>0</v>
      </c>
      <c r="AI45">
        <v>0</v>
      </c>
      <c r="AJ45">
        <v>0</v>
      </c>
      <c r="AK45" t="b">
        <v>0</v>
      </c>
      <c r="AL45" t="s">
        <v>58</v>
      </c>
      <c r="AM45" t="s">
        <v>58</v>
      </c>
      <c r="AN45" t="s">
        <v>71</v>
      </c>
      <c r="AO45">
        <v>14</v>
      </c>
      <c r="AP45">
        <v>10</v>
      </c>
      <c r="AQ45">
        <v>7</v>
      </c>
      <c r="AR45">
        <v>11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s">
        <v>61</v>
      </c>
      <c r="BA45" t="s">
        <v>57</v>
      </c>
      <c r="BC45" t="s">
        <v>58</v>
      </c>
      <c r="BD45" t="s">
        <v>58</v>
      </c>
      <c r="BE45">
        <v>2</v>
      </c>
    </row>
    <row r="46" spans="1:57" x14ac:dyDescent="0.25">
      <c r="A46" t="s">
        <v>219</v>
      </c>
      <c r="B46">
        <v>235</v>
      </c>
      <c r="C46">
        <v>0</v>
      </c>
      <c r="D46">
        <v>0</v>
      </c>
      <c r="E46">
        <v>0</v>
      </c>
      <c r="F46" t="s">
        <v>151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174</v>
      </c>
      <c r="N46">
        <v>-1</v>
      </c>
      <c r="O46">
        <v>0</v>
      </c>
      <c r="P46">
        <v>-1</v>
      </c>
      <c r="Q46">
        <v>0</v>
      </c>
      <c r="R46" t="s">
        <v>70</v>
      </c>
      <c r="S46">
        <v>0</v>
      </c>
      <c r="T46">
        <v>0</v>
      </c>
      <c r="U46">
        <v>975</v>
      </c>
      <c r="V46" t="s">
        <v>57</v>
      </c>
      <c r="W46">
        <v>0</v>
      </c>
      <c r="X46">
        <v>0</v>
      </c>
      <c r="Y46">
        <v>0</v>
      </c>
      <c r="Z46">
        <v>0</v>
      </c>
      <c r="AA46" t="s">
        <v>67</v>
      </c>
      <c r="AB46">
        <v>0</v>
      </c>
      <c r="AC46">
        <v>0</v>
      </c>
      <c r="AD46">
        <v>0</v>
      </c>
      <c r="AE46">
        <v>0</v>
      </c>
      <c r="AF46" t="s">
        <v>60</v>
      </c>
      <c r="AG46">
        <v>0</v>
      </c>
      <c r="AH46">
        <v>0</v>
      </c>
      <c r="AI46">
        <v>0</v>
      </c>
      <c r="AJ46">
        <v>0</v>
      </c>
      <c r="AK46" t="b">
        <v>0</v>
      </c>
      <c r="AL46" t="s">
        <v>58</v>
      </c>
      <c r="AM46" t="s">
        <v>58</v>
      </c>
      <c r="AN46" t="s">
        <v>71</v>
      </c>
      <c r="AO46">
        <v>14</v>
      </c>
      <c r="AP46">
        <v>14</v>
      </c>
      <c r="AQ46">
        <v>9</v>
      </c>
      <c r="AR46">
        <v>11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s">
        <v>61</v>
      </c>
      <c r="BA46" t="s">
        <v>57</v>
      </c>
      <c r="BC46" t="s">
        <v>58</v>
      </c>
      <c r="BD46" t="s">
        <v>58</v>
      </c>
      <c r="BE46">
        <v>2</v>
      </c>
    </row>
    <row r="47" spans="1:57" x14ac:dyDescent="0.25">
      <c r="A47" t="s">
        <v>220</v>
      </c>
      <c r="B47">
        <v>89</v>
      </c>
      <c r="C47">
        <v>0</v>
      </c>
      <c r="D47">
        <v>0</v>
      </c>
      <c r="E47">
        <v>0</v>
      </c>
      <c r="F47" t="s">
        <v>173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152</v>
      </c>
      <c r="N47">
        <v>-1</v>
      </c>
      <c r="O47">
        <v>0</v>
      </c>
      <c r="P47">
        <v>-1</v>
      </c>
      <c r="Q47">
        <v>0</v>
      </c>
      <c r="R47" t="s">
        <v>70</v>
      </c>
      <c r="S47">
        <v>0</v>
      </c>
      <c r="T47">
        <v>0</v>
      </c>
      <c r="U47">
        <v>975</v>
      </c>
      <c r="V47" t="s">
        <v>57</v>
      </c>
      <c r="W47">
        <v>0</v>
      </c>
      <c r="X47">
        <v>0</v>
      </c>
      <c r="Y47">
        <v>0</v>
      </c>
      <c r="Z47">
        <v>0</v>
      </c>
      <c r="AA47" t="s">
        <v>67</v>
      </c>
      <c r="AB47">
        <v>0</v>
      </c>
      <c r="AC47">
        <v>0</v>
      </c>
      <c r="AD47">
        <v>0</v>
      </c>
      <c r="AE47">
        <v>0</v>
      </c>
      <c r="AF47" t="s">
        <v>60</v>
      </c>
      <c r="AG47">
        <v>0</v>
      </c>
      <c r="AH47">
        <v>0</v>
      </c>
      <c r="AI47">
        <v>0</v>
      </c>
      <c r="AJ47">
        <v>0</v>
      </c>
      <c r="AK47" t="b">
        <v>0</v>
      </c>
      <c r="AL47" t="s">
        <v>58</v>
      </c>
      <c r="AM47" t="s">
        <v>58</v>
      </c>
      <c r="AN47" t="s">
        <v>71</v>
      </c>
      <c r="AO47">
        <v>14</v>
      </c>
      <c r="AP47">
        <v>13</v>
      </c>
      <c r="AQ47">
        <v>8</v>
      </c>
      <c r="AR47">
        <v>11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s">
        <v>61</v>
      </c>
      <c r="BA47" t="s">
        <v>57</v>
      </c>
      <c r="BC47" t="s">
        <v>58</v>
      </c>
      <c r="BD47" t="s">
        <v>58</v>
      </c>
      <c r="BE47">
        <v>2</v>
      </c>
    </row>
    <row r="48" spans="1:57" x14ac:dyDescent="0.25">
      <c r="A48" t="s">
        <v>221</v>
      </c>
      <c r="B48">
        <v>176</v>
      </c>
      <c r="C48">
        <v>0</v>
      </c>
      <c r="D48">
        <v>0</v>
      </c>
      <c r="E48">
        <v>0</v>
      </c>
      <c r="F48" t="s">
        <v>161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155</v>
      </c>
      <c r="N48">
        <v>-1</v>
      </c>
      <c r="O48">
        <v>0</v>
      </c>
      <c r="P48">
        <v>-1</v>
      </c>
      <c r="Q48">
        <v>0</v>
      </c>
      <c r="R48" t="s">
        <v>70</v>
      </c>
      <c r="S48">
        <v>0</v>
      </c>
      <c r="T48">
        <v>0</v>
      </c>
      <c r="U48">
        <v>780</v>
      </c>
      <c r="V48" t="s">
        <v>57</v>
      </c>
      <c r="W48">
        <v>0</v>
      </c>
      <c r="X48">
        <v>0</v>
      </c>
      <c r="Y48">
        <v>0</v>
      </c>
      <c r="Z48">
        <v>0</v>
      </c>
      <c r="AA48" t="s">
        <v>67</v>
      </c>
      <c r="AB48">
        <v>0</v>
      </c>
      <c r="AC48">
        <v>0</v>
      </c>
      <c r="AD48">
        <v>0</v>
      </c>
      <c r="AE48">
        <v>0</v>
      </c>
      <c r="AF48" t="s">
        <v>60</v>
      </c>
      <c r="AG48">
        <v>0</v>
      </c>
      <c r="AH48">
        <v>0</v>
      </c>
      <c r="AI48">
        <v>0</v>
      </c>
      <c r="AJ48">
        <v>0</v>
      </c>
      <c r="AK48" t="b">
        <v>0</v>
      </c>
      <c r="AL48" t="s">
        <v>58</v>
      </c>
      <c r="AM48" t="s">
        <v>58</v>
      </c>
      <c r="AN48" t="s">
        <v>71</v>
      </c>
      <c r="AO48">
        <v>14</v>
      </c>
      <c r="AP48">
        <v>16</v>
      </c>
      <c r="AQ48">
        <v>4</v>
      </c>
      <c r="AR48">
        <v>11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s">
        <v>61</v>
      </c>
      <c r="BA48" t="s">
        <v>57</v>
      </c>
      <c r="BC48" t="s">
        <v>58</v>
      </c>
      <c r="BD48" t="s">
        <v>58</v>
      </c>
      <c r="BE48">
        <v>2</v>
      </c>
    </row>
    <row r="49" spans="1:57" x14ac:dyDescent="0.25">
      <c r="A49" t="s">
        <v>222</v>
      </c>
      <c r="B49">
        <v>144</v>
      </c>
      <c r="C49">
        <v>0</v>
      </c>
      <c r="D49">
        <v>0</v>
      </c>
      <c r="E49">
        <v>0</v>
      </c>
      <c r="F49" t="s">
        <v>165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159</v>
      </c>
      <c r="N49">
        <v>-1</v>
      </c>
      <c r="O49">
        <v>0</v>
      </c>
      <c r="P49">
        <v>-1</v>
      </c>
      <c r="Q49">
        <v>0</v>
      </c>
      <c r="R49" t="s">
        <v>70</v>
      </c>
      <c r="S49">
        <v>0</v>
      </c>
      <c r="T49">
        <v>0</v>
      </c>
      <c r="U49">
        <v>780</v>
      </c>
      <c r="V49" t="s">
        <v>57</v>
      </c>
      <c r="W49">
        <v>0</v>
      </c>
      <c r="X49">
        <v>0</v>
      </c>
      <c r="Y49">
        <v>0</v>
      </c>
      <c r="Z49">
        <v>0</v>
      </c>
      <c r="AA49" t="s">
        <v>67</v>
      </c>
      <c r="AB49">
        <v>0</v>
      </c>
      <c r="AC49">
        <v>0</v>
      </c>
      <c r="AD49">
        <v>0</v>
      </c>
      <c r="AE49">
        <v>0</v>
      </c>
      <c r="AF49" t="s">
        <v>60</v>
      </c>
      <c r="AG49">
        <v>0</v>
      </c>
      <c r="AH49">
        <v>0</v>
      </c>
      <c r="AI49">
        <v>0</v>
      </c>
      <c r="AJ49">
        <v>0</v>
      </c>
      <c r="AK49" t="b">
        <v>0</v>
      </c>
      <c r="AL49" t="s">
        <v>58</v>
      </c>
      <c r="AM49" t="s">
        <v>58</v>
      </c>
      <c r="AN49" t="s">
        <v>71</v>
      </c>
      <c r="AO49">
        <v>14</v>
      </c>
      <c r="AP49">
        <v>16</v>
      </c>
      <c r="AQ49">
        <v>7</v>
      </c>
      <c r="AR49">
        <v>11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s">
        <v>61</v>
      </c>
      <c r="BA49" t="s">
        <v>57</v>
      </c>
      <c r="BC49" t="s">
        <v>58</v>
      </c>
      <c r="BD49" t="s">
        <v>58</v>
      </c>
      <c r="BE49">
        <v>2</v>
      </c>
    </row>
    <row r="50" spans="1:57" x14ac:dyDescent="0.25">
      <c r="A50" t="s">
        <v>223</v>
      </c>
      <c r="B50">
        <v>161</v>
      </c>
      <c r="C50">
        <v>0</v>
      </c>
      <c r="D50">
        <v>0</v>
      </c>
      <c r="E50">
        <v>0</v>
      </c>
      <c r="F50" t="s">
        <v>173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165</v>
      </c>
      <c r="N50">
        <v>-1</v>
      </c>
      <c r="O50">
        <v>0</v>
      </c>
      <c r="P50">
        <v>-1</v>
      </c>
      <c r="Q50">
        <v>0</v>
      </c>
      <c r="R50" t="s">
        <v>70</v>
      </c>
      <c r="S50">
        <v>0</v>
      </c>
      <c r="T50">
        <v>0</v>
      </c>
      <c r="U50">
        <v>780</v>
      </c>
      <c r="V50" t="s">
        <v>57</v>
      </c>
      <c r="W50">
        <v>0</v>
      </c>
      <c r="X50">
        <v>0</v>
      </c>
      <c r="Y50">
        <v>0</v>
      </c>
      <c r="Z50">
        <v>0</v>
      </c>
      <c r="AA50" t="s">
        <v>67</v>
      </c>
      <c r="AB50">
        <v>0</v>
      </c>
      <c r="AC50">
        <v>0</v>
      </c>
      <c r="AD50">
        <v>0</v>
      </c>
      <c r="AE50">
        <v>0</v>
      </c>
      <c r="AF50" t="s">
        <v>60</v>
      </c>
      <c r="AG50">
        <v>0</v>
      </c>
      <c r="AH50">
        <v>0</v>
      </c>
      <c r="AI50">
        <v>0</v>
      </c>
      <c r="AJ50">
        <v>0</v>
      </c>
      <c r="AK50" t="b">
        <v>0</v>
      </c>
      <c r="AL50" t="s">
        <v>58</v>
      </c>
      <c r="AM50" t="s">
        <v>58</v>
      </c>
      <c r="AN50" t="s">
        <v>71</v>
      </c>
      <c r="AO50">
        <v>14</v>
      </c>
      <c r="AP50">
        <v>0</v>
      </c>
      <c r="AQ50">
        <v>2</v>
      </c>
      <c r="AR50">
        <v>11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s">
        <v>61</v>
      </c>
      <c r="BA50" t="s">
        <v>57</v>
      </c>
      <c r="BC50" t="s">
        <v>58</v>
      </c>
      <c r="BD50" t="s">
        <v>58</v>
      </c>
      <c r="BE50">
        <v>3</v>
      </c>
    </row>
    <row r="51" spans="1:57" x14ac:dyDescent="0.25">
      <c r="A51" t="s">
        <v>224</v>
      </c>
      <c r="B51">
        <v>70</v>
      </c>
      <c r="C51">
        <v>0</v>
      </c>
      <c r="D51">
        <v>0</v>
      </c>
      <c r="E51">
        <v>0</v>
      </c>
      <c r="F51" t="s">
        <v>157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148</v>
      </c>
      <c r="N51">
        <v>-1</v>
      </c>
      <c r="O51">
        <v>0</v>
      </c>
      <c r="P51">
        <v>-1</v>
      </c>
      <c r="Q51">
        <v>0</v>
      </c>
      <c r="R51" t="s">
        <v>70</v>
      </c>
      <c r="S51">
        <v>0</v>
      </c>
      <c r="T51">
        <v>0</v>
      </c>
      <c r="U51">
        <v>780</v>
      </c>
      <c r="V51" t="s">
        <v>57</v>
      </c>
      <c r="W51">
        <v>0</v>
      </c>
      <c r="X51">
        <v>0</v>
      </c>
      <c r="Y51">
        <v>0</v>
      </c>
      <c r="Z51">
        <v>0</v>
      </c>
      <c r="AA51" t="s">
        <v>67</v>
      </c>
      <c r="AB51">
        <v>0</v>
      </c>
      <c r="AC51">
        <v>0</v>
      </c>
      <c r="AD51">
        <v>0</v>
      </c>
      <c r="AE51">
        <v>0</v>
      </c>
      <c r="AF51" t="s">
        <v>60</v>
      </c>
      <c r="AG51">
        <v>0</v>
      </c>
      <c r="AH51">
        <v>0</v>
      </c>
      <c r="AI51">
        <v>0</v>
      </c>
      <c r="AJ51">
        <v>0</v>
      </c>
      <c r="AK51" t="b">
        <v>0</v>
      </c>
      <c r="AL51" t="s">
        <v>58</v>
      </c>
      <c r="AM51" t="s">
        <v>58</v>
      </c>
      <c r="AN51" t="s">
        <v>71</v>
      </c>
      <c r="AO51">
        <v>14</v>
      </c>
      <c r="AP51">
        <v>2</v>
      </c>
      <c r="AQ51">
        <v>1</v>
      </c>
      <c r="AR51">
        <v>11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s">
        <v>61</v>
      </c>
      <c r="BA51" t="s">
        <v>57</v>
      </c>
      <c r="BC51" t="s">
        <v>58</v>
      </c>
      <c r="BD51" t="s">
        <v>58</v>
      </c>
      <c r="BE51">
        <v>3</v>
      </c>
    </row>
    <row r="52" spans="1:57" x14ac:dyDescent="0.25">
      <c r="A52" t="s">
        <v>225</v>
      </c>
      <c r="B52">
        <v>112</v>
      </c>
      <c r="C52">
        <v>0</v>
      </c>
      <c r="D52">
        <v>0</v>
      </c>
      <c r="E52">
        <v>0</v>
      </c>
      <c r="F52" t="s">
        <v>155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156</v>
      </c>
      <c r="N52">
        <v>-1</v>
      </c>
      <c r="O52">
        <v>0</v>
      </c>
      <c r="P52">
        <v>-1</v>
      </c>
      <c r="Q52">
        <v>0</v>
      </c>
      <c r="R52" t="s">
        <v>70</v>
      </c>
      <c r="S52">
        <v>0</v>
      </c>
      <c r="T52">
        <v>0</v>
      </c>
      <c r="U52">
        <v>780</v>
      </c>
      <c r="V52" t="s">
        <v>57</v>
      </c>
      <c r="W52">
        <v>0</v>
      </c>
      <c r="X52">
        <v>0</v>
      </c>
      <c r="Y52">
        <v>0</v>
      </c>
      <c r="Z52">
        <v>0</v>
      </c>
      <c r="AA52" t="s">
        <v>67</v>
      </c>
      <c r="AB52">
        <v>0</v>
      </c>
      <c r="AC52">
        <v>0</v>
      </c>
      <c r="AD52">
        <v>0</v>
      </c>
      <c r="AE52">
        <v>0</v>
      </c>
      <c r="AF52" t="s">
        <v>60</v>
      </c>
      <c r="AG52">
        <v>0</v>
      </c>
      <c r="AH52">
        <v>0</v>
      </c>
      <c r="AI52">
        <v>0</v>
      </c>
      <c r="AJ52">
        <v>0</v>
      </c>
      <c r="AK52" t="b">
        <v>0</v>
      </c>
      <c r="AL52" t="s">
        <v>58</v>
      </c>
      <c r="AM52" t="s">
        <v>58</v>
      </c>
      <c r="AN52" t="s">
        <v>71</v>
      </c>
      <c r="AO52">
        <v>14</v>
      </c>
      <c r="AP52">
        <v>2</v>
      </c>
      <c r="AQ52">
        <v>7</v>
      </c>
      <c r="AR52">
        <v>11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s">
        <v>61</v>
      </c>
      <c r="BA52" t="s">
        <v>57</v>
      </c>
      <c r="BC52" t="s">
        <v>58</v>
      </c>
      <c r="BD52" t="s">
        <v>58</v>
      </c>
      <c r="BE52">
        <v>3</v>
      </c>
    </row>
    <row r="53" spans="1:57" x14ac:dyDescent="0.25">
      <c r="A53" t="s">
        <v>226</v>
      </c>
      <c r="B53">
        <v>327</v>
      </c>
      <c r="C53">
        <v>0</v>
      </c>
      <c r="D53">
        <v>0</v>
      </c>
      <c r="E53">
        <v>0</v>
      </c>
      <c r="F53" t="s">
        <v>167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170</v>
      </c>
      <c r="N53">
        <v>-1</v>
      </c>
      <c r="O53">
        <v>0</v>
      </c>
      <c r="P53">
        <v>-1</v>
      </c>
      <c r="Q53">
        <v>0</v>
      </c>
      <c r="R53" t="s">
        <v>70</v>
      </c>
      <c r="S53">
        <v>0</v>
      </c>
      <c r="T53">
        <v>0</v>
      </c>
      <c r="U53">
        <v>780</v>
      </c>
      <c r="V53" t="s">
        <v>57</v>
      </c>
      <c r="W53">
        <v>0</v>
      </c>
      <c r="X53">
        <v>0</v>
      </c>
      <c r="Y53">
        <v>0</v>
      </c>
      <c r="Z53">
        <v>0</v>
      </c>
      <c r="AA53" t="s">
        <v>67</v>
      </c>
      <c r="AB53">
        <v>0</v>
      </c>
      <c r="AC53">
        <v>0</v>
      </c>
      <c r="AD53">
        <v>0</v>
      </c>
      <c r="AE53">
        <v>0</v>
      </c>
      <c r="AF53" t="s">
        <v>60</v>
      </c>
      <c r="AG53">
        <v>0</v>
      </c>
      <c r="AH53">
        <v>0</v>
      </c>
      <c r="AI53">
        <v>0</v>
      </c>
      <c r="AJ53">
        <v>0</v>
      </c>
      <c r="AK53" t="b">
        <v>0</v>
      </c>
      <c r="AL53" t="s">
        <v>58</v>
      </c>
      <c r="AM53" t="s">
        <v>58</v>
      </c>
      <c r="AN53" t="s">
        <v>71</v>
      </c>
      <c r="AO53">
        <v>14</v>
      </c>
      <c r="AP53">
        <v>5</v>
      </c>
      <c r="AQ53">
        <v>1</v>
      </c>
      <c r="AR53">
        <v>11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s">
        <v>61</v>
      </c>
      <c r="BA53" t="s">
        <v>57</v>
      </c>
      <c r="BC53" t="s">
        <v>58</v>
      </c>
      <c r="BD53" t="s">
        <v>58</v>
      </c>
      <c r="BE53">
        <v>3</v>
      </c>
    </row>
    <row r="54" spans="1:57" x14ac:dyDescent="0.25">
      <c r="A54" t="s">
        <v>227</v>
      </c>
      <c r="B54">
        <v>85</v>
      </c>
      <c r="C54">
        <v>0</v>
      </c>
      <c r="D54">
        <v>0</v>
      </c>
      <c r="E54">
        <v>0</v>
      </c>
      <c r="F54" t="s">
        <v>164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174</v>
      </c>
      <c r="N54">
        <v>-1</v>
      </c>
      <c r="O54">
        <v>0</v>
      </c>
      <c r="P54">
        <v>-1</v>
      </c>
      <c r="Q54">
        <v>0</v>
      </c>
      <c r="R54" t="s">
        <v>70</v>
      </c>
      <c r="S54">
        <v>0</v>
      </c>
      <c r="T54">
        <v>0</v>
      </c>
      <c r="U54">
        <v>975</v>
      </c>
      <c r="V54" t="s">
        <v>57</v>
      </c>
      <c r="W54">
        <v>0</v>
      </c>
      <c r="X54">
        <v>0</v>
      </c>
      <c r="Y54">
        <v>0</v>
      </c>
      <c r="Z54">
        <v>0</v>
      </c>
      <c r="AA54" t="s">
        <v>67</v>
      </c>
      <c r="AB54">
        <v>0</v>
      </c>
      <c r="AC54">
        <v>0</v>
      </c>
      <c r="AD54">
        <v>0</v>
      </c>
      <c r="AE54">
        <v>0</v>
      </c>
      <c r="AF54" t="s">
        <v>60</v>
      </c>
      <c r="AG54">
        <v>0</v>
      </c>
      <c r="AH54">
        <v>0</v>
      </c>
      <c r="AI54">
        <v>0</v>
      </c>
      <c r="AJ54">
        <v>0</v>
      </c>
      <c r="AK54" t="b">
        <v>0</v>
      </c>
      <c r="AL54" t="s">
        <v>58</v>
      </c>
      <c r="AM54" t="s">
        <v>58</v>
      </c>
      <c r="AN54" t="s">
        <v>71</v>
      </c>
      <c r="AO54">
        <v>14</v>
      </c>
      <c r="AP54">
        <v>6</v>
      </c>
      <c r="AQ54">
        <v>8</v>
      </c>
      <c r="AR54">
        <v>11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s">
        <v>61</v>
      </c>
      <c r="BA54" t="s">
        <v>57</v>
      </c>
      <c r="BC54" t="s">
        <v>58</v>
      </c>
      <c r="BD54" t="s">
        <v>58</v>
      </c>
      <c r="BE54">
        <v>3</v>
      </c>
    </row>
    <row r="55" spans="1:57" x14ac:dyDescent="0.25">
      <c r="A55" t="s">
        <v>228</v>
      </c>
      <c r="B55">
        <v>102</v>
      </c>
      <c r="C55">
        <v>0</v>
      </c>
      <c r="D55">
        <v>0</v>
      </c>
      <c r="E55">
        <v>0</v>
      </c>
      <c r="F55" t="s">
        <v>169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166</v>
      </c>
      <c r="N55">
        <v>-1</v>
      </c>
      <c r="O55">
        <v>0</v>
      </c>
      <c r="P55">
        <v>-1</v>
      </c>
      <c r="Q55">
        <v>0</v>
      </c>
      <c r="R55" t="s">
        <v>70</v>
      </c>
      <c r="S55">
        <v>0</v>
      </c>
      <c r="T55">
        <v>0</v>
      </c>
      <c r="U55">
        <v>780</v>
      </c>
      <c r="V55" t="s">
        <v>57</v>
      </c>
      <c r="W55">
        <v>0</v>
      </c>
      <c r="X55">
        <v>0</v>
      </c>
      <c r="Y55">
        <v>0</v>
      </c>
      <c r="Z55">
        <v>0</v>
      </c>
      <c r="AA55" t="s">
        <v>67</v>
      </c>
      <c r="AB55">
        <v>0</v>
      </c>
      <c r="AC55">
        <v>0</v>
      </c>
      <c r="AD55">
        <v>0</v>
      </c>
      <c r="AE55">
        <v>0</v>
      </c>
      <c r="AF55" t="s">
        <v>60</v>
      </c>
      <c r="AG55">
        <v>0</v>
      </c>
      <c r="AH55">
        <v>0</v>
      </c>
      <c r="AI55">
        <v>0</v>
      </c>
      <c r="AJ55">
        <v>0</v>
      </c>
      <c r="AK55" t="b">
        <v>0</v>
      </c>
      <c r="AL55" t="s">
        <v>58</v>
      </c>
      <c r="AM55" t="s">
        <v>58</v>
      </c>
      <c r="AN55" t="s">
        <v>71</v>
      </c>
      <c r="AO55">
        <v>14</v>
      </c>
      <c r="AP55">
        <v>10</v>
      </c>
      <c r="AQ55">
        <v>0</v>
      </c>
      <c r="AR55">
        <v>11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s">
        <v>61</v>
      </c>
      <c r="BA55" t="s">
        <v>57</v>
      </c>
      <c r="BC55" t="s">
        <v>58</v>
      </c>
      <c r="BD55" t="s">
        <v>58</v>
      </c>
      <c r="BE55">
        <v>3</v>
      </c>
    </row>
    <row r="56" spans="1:57" x14ac:dyDescent="0.25">
      <c r="A56" t="s">
        <v>229</v>
      </c>
      <c r="B56">
        <v>227</v>
      </c>
      <c r="C56">
        <v>0</v>
      </c>
      <c r="D56">
        <v>0</v>
      </c>
      <c r="E56">
        <v>0</v>
      </c>
      <c r="F56" t="s">
        <v>159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172</v>
      </c>
      <c r="N56">
        <v>-1</v>
      </c>
      <c r="O56">
        <v>0</v>
      </c>
      <c r="P56">
        <v>-1</v>
      </c>
      <c r="Q56">
        <v>0</v>
      </c>
      <c r="R56" t="s">
        <v>70</v>
      </c>
      <c r="S56">
        <v>0</v>
      </c>
      <c r="T56">
        <v>0</v>
      </c>
      <c r="U56">
        <v>780</v>
      </c>
      <c r="V56" t="s">
        <v>57</v>
      </c>
      <c r="W56">
        <v>0</v>
      </c>
      <c r="X56">
        <v>0</v>
      </c>
      <c r="Y56">
        <v>0</v>
      </c>
      <c r="Z56">
        <v>0</v>
      </c>
      <c r="AA56" t="s">
        <v>67</v>
      </c>
      <c r="AB56">
        <v>0</v>
      </c>
      <c r="AC56">
        <v>0</v>
      </c>
      <c r="AD56">
        <v>0</v>
      </c>
      <c r="AE56">
        <v>0</v>
      </c>
      <c r="AF56" t="s">
        <v>60</v>
      </c>
      <c r="AG56">
        <v>0</v>
      </c>
      <c r="AH56">
        <v>0</v>
      </c>
      <c r="AI56">
        <v>0</v>
      </c>
      <c r="AJ56">
        <v>0</v>
      </c>
      <c r="AK56" t="b">
        <v>0</v>
      </c>
      <c r="AL56" t="s">
        <v>58</v>
      </c>
      <c r="AM56" t="s">
        <v>58</v>
      </c>
      <c r="AN56" t="s">
        <v>71</v>
      </c>
      <c r="AO56">
        <v>14</v>
      </c>
      <c r="AP56">
        <v>10</v>
      </c>
      <c r="AQ56">
        <v>1</v>
      </c>
      <c r="AR56">
        <v>11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s">
        <v>61</v>
      </c>
      <c r="BA56" t="s">
        <v>57</v>
      </c>
      <c r="BC56" t="s">
        <v>58</v>
      </c>
      <c r="BD56" t="s">
        <v>58</v>
      </c>
      <c r="BE56">
        <v>3</v>
      </c>
    </row>
    <row r="57" spans="1:57" x14ac:dyDescent="0.25">
      <c r="A57" t="s">
        <v>230</v>
      </c>
      <c r="B57">
        <v>295</v>
      </c>
      <c r="C57">
        <v>0</v>
      </c>
      <c r="D57">
        <v>0</v>
      </c>
      <c r="E57">
        <v>0</v>
      </c>
      <c r="F57" t="s">
        <v>168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145</v>
      </c>
      <c r="N57">
        <v>-1</v>
      </c>
      <c r="O57">
        <v>0</v>
      </c>
      <c r="P57">
        <v>-1</v>
      </c>
      <c r="Q57">
        <v>0</v>
      </c>
      <c r="R57" t="s">
        <v>70</v>
      </c>
      <c r="S57">
        <v>0</v>
      </c>
      <c r="T57">
        <v>0</v>
      </c>
      <c r="U57">
        <v>780</v>
      </c>
      <c r="V57" t="s">
        <v>57</v>
      </c>
      <c r="W57">
        <v>0</v>
      </c>
      <c r="X57">
        <v>0</v>
      </c>
      <c r="Y57">
        <v>0</v>
      </c>
      <c r="Z57">
        <v>0</v>
      </c>
      <c r="AA57" t="s">
        <v>67</v>
      </c>
      <c r="AB57">
        <v>0</v>
      </c>
      <c r="AC57">
        <v>0</v>
      </c>
      <c r="AD57">
        <v>0</v>
      </c>
      <c r="AE57">
        <v>0</v>
      </c>
      <c r="AF57" t="s">
        <v>60</v>
      </c>
      <c r="AG57">
        <v>0</v>
      </c>
      <c r="AH57">
        <v>0</v>
      </c>
      <c r="AI57">
        <v>0</v>
      </c>
      <c r="AJ57">
        <v>0</v>
      </c>
      <c r="AK57" t="b">
        <v>0</v>
      </c>
      <c r="AL57" t="s">
        <v>58</v>
      </c>
      <c r="AM57" t="s">
        <v>58</v>
      </c>
      <c r="AN57" t="s">
        <v>71</v>
      </c>
      <c r="AO57">
        <v>14</v>
      </c>
      <c r="AP57">
        <v>13</v>
      </c>
      <c r="AQ57">
        <v>5</v>
      </c>
      <c r="AR57">
        <v>11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s">
        <v>61</v>
      </c>
      <c r="BA57" t="s">
        <v>57</v>
      </c>
      <c r="BC57" t="s">
        <v>58</v>
      </c>
      <c r="BD57" t="s">
        <v>58</v>
      </c>
      <c r="BE57">
        <v>3</v>
      </c>
    </row>
    <row r="58" spans="1:57" x14ac:dyDescent="0.25">
      <c r="A58" t="s">
        <v>231</v>
      </c>
      <c r="B58">
        <v>210</v>
      </c>
      <c r="C58">
        <v>0</v>
      </c>
      <c r="D58">
        <v>0</v>
      </c>
      <c r="E58">
        <v>0</v>
      </c>
      <c r="F58" t="s">
        <v>160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147</v>
      </c>
      <c r="N58">
        <v>-1</v>
      </c>
      <c r="O58">
        <v>0</v>
      </c>
      <c r="P58">
        <v>-1</v>
      </c>
      <c r="Q58">
        <v>0</v>
      </c>
      <c r="R58" t="s">
        <v>70</v>
      </c>
      <c r="S58">
        <v>0</v>
      </c>
      <c r="T58">
        <v>0</v>
      </c>
      <c r="U58">
        <v>780</v>
      </c>
      <c r="V58" t="s">
        <v>57</v>
      </c>
      <c r="W58">
        <v>0</v>
      </c>
      <c r="X58">
        <v>0</v>
      </c>
      <c r="Y58">
        <v>0</v>
      </c>
      <c r="Z58">
        <v>0</v>
      </c>
      <c r="AA58" t="s">
        <v>67</v>
      </c>
      <c r="AB58">
        <v>0</v>
      </c>
      <c r="AC58">
        <v>0</v>
      </c>
      <c r="AD58">
        <v>0</v>
      </c>
      <c r="AE58">
        <v>0</v>
      </c>
      <c r="AF58" t="s">
        <v>60</v>
      </c>
      <c r="AG58">
        <v>0</v>
      </c>
      <c r="AH58">
        <v>0</v>
      </c>
      <c r="AI58">
        <v>0</v>
      </c>
      <c r="AJ58">
        <v>0</v>
      </c>
      <c r="AK58" t="b">
        <v>0</v>
      </c>
      <c r="AL58" t="s">
        <v>58</v>
      </c>
      <c r="AM58" t="s">
        <v>58</v>
      </c>
      <c r="AN58" t="s">
        <v>71</v>
      </c>
      <c r="AO58">
        <v>14</v>
      </c>
      <c r="AP58">
        <v>14</v>
      </c>
      <c r="AQ58">
        <v>5</v>
      </c>
      <c r="AR58">
        <v>11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s">
        <v>61</v>
      </c>
      <c r="BA58" t="s">
        <v>57</v>
      </c>
      <c r="BC58" t="s">
        <v>58</v>
      </c>
      <c r="BD58" t="s">
        <v>58</v>
      </c>
      <c r="BE58">
        <v>3</v>
      </c>
    </row>
    <row r="59" spans="1:57" x14ac:dyDescent="0.25">
      <c r="A59" t="s">
        <v>232</v>
      </c>
      <c r="B59">
        <v>206</v>
      </c>
      <c r="C59">
        <v>0</v>
      </c>
      <c r="D59">
        <v>0</v>
      </c>
      <c r="E59">
        <v>0</v>
      </c>
      <c r="F59" t="s">
        <v>150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153</v>
      </c>
      <c r="N59">
        <v>-1</v>
      </c>
      <c r="O59">
        <v>0</v>
      </c>
      <c r="P59">
        <v>-1</v>
      </c>
      <c r="Q59">
        <v>0</v>
      </c>
      <c r="R59" t="s">
        <v>70</v>
      </c>
      <c r="S59">
        <v>0</v>
      </c>
      <c r="T59">
        <v>0</v>
      </c>
      <c r="U59">
        <v>780</v>
      </c>
      <c r="V59" t="s">
        <v>57</v>
      </c>
      <c r="W59">
        <v>0</v>
      </c>
      <c r="X59">
        <v>0</v>
      </c>
      <c r="Y59">
        <v>0</v>
      </c>
      <c r="Z59">
        <v>0</v>
      </c>
      <c r="AA59" t="s">
        <v>67</v>
      </c>
      <c r="AB59">
        <v>0</v>
      </c>
      <c r="AC59">
        <v>0</v>
      </c>
      <c r="AD59">
        <v>0</v>
      </c>
      <c r="AE59">
        <v>0</v>
      </c>
      <c r="AF59" t="s">
        <v>60</v>
      </c>
      <c r="AG59">
        <v>0</v>
      </c>
      <c r="AH59">
        <v>0</v>
      </c>
      <c r="AI59">
        <v>0</v>
      </c>
      <c r="AJ59">
        <v>0</v>
      </c>
      <c r="AK59" t="b">
        <v>0</v>
      </c>
      <c r="AL59" t="s">
        <v>58</v>
      </c>
      <c r="AM59" t="s">
        <v>58</v>
      </c>
      <c r="AN59" t="s">
        <v>71</v>
      </c>
      <c r="AO59">
        <v>14</v>
      </c>
      <c r="AP59">
        <v>15</v>
      </c>
      <c r="AQ59">
        <v>5</v>
      </c>
      <c r="AR59">
        <v>11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s">
        <v>61</v>
      </c>
      <c r="BA59" t="s">
        <v>57</v>
      </c>
      <c r="BC59" t="s">
        <v>58</v>
      </c>
      <c r="BD59" t="s">
        <v>58</v>
      </c>
      <c r="BE59">
        <v>3</v>
      </c>
    </row>
    <row r="60" spans="1:57" x14ac:dyDescent="0.25">
      <c r="A60" t="s">
        <v>233</v>
      </c>
      <c r="B60">
        <v>249</v>
      </c>
      <c r="C60">
        <v>0</v>
      </c>
      <c r="D60">
        <v>0</v>
      </c>
      <c r="E60">
        <v>0</v>
      </c>
      <c r="F60" t="s">
        <v>158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143</v>
      </c>
      <c r="N60">
        <v>-1</v>
      </c>
      <c r="O60">
        <v>0</v>
      </c>
      <c r="P60">
        <v>-1</v>
      </c>
      <c r="Q60">
        <v>0</v>
      </c>
      <c r="R60" t="s">
        <v>70</v>
      </c>
      <c r="S60">
        <v>0</v>
      </c>
      <c r="T60">
        <v>0</v>
      </c>
      <c r="U60">
        <v>975</v>
      </c>
      <c r="V60" t="s">
        <v>57</v>
      </c>
      <c r="W60">
        <v>0</v>
      </c>
      <c r="X60">
        <v>0</v>
      </c>
      <c r="Y60">
        <v>0</v>
      </c>
      <c r="Z60">
        <v>0</v>
      </c>
      <c r="AA60" t="s">
        <v>67</v>
      </c>
      <c r="AB60">
        <v>0</v>
      </c>
      <c r="AC60">
        <v>0</v>
      </c>
      <c r="AD60">
        <v>0</v>
      </c>
      <c r="AE60">
        <v>0</v>
      </c>
      <c r="AF60" t="s">
        <v>60</v>
      </c>
      <c r="AG60">
        <v>0</v>
      </c>
      <c r="AH60">
        <v>0</v>
      </c>
      <c r="AI60">
        <v>0</v>
      </c>
      <c r="AJ60">
        <v>0</v>
      </c>
      <c r="AK60" t="b">
        <v>0</v>
      </c>
      <c r="AL60" t="s">
        <v>58</v>
      </c>
      <c r="AM60" t="s">
        <v>58</v>
      </c>
      <c r="AN60" t="s">
        <v>71</v>
      </c>
      <c r="AO60">
        <v>14</v>
      </c>
      <c r="AP60">
        <v>13</v>
      </c>
      <c r="AQ60">
        <v>10</v>
      </c>
      <c r="AR60">
        <v>11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s">
        <v>61</v>
      </c>
      <c r="BA60" t="s">
        <v>57</v>
      </c>
      <c r="BC60" t="s">
        <v>58</v>
      </c>
      <c r="BD60" t="s">
        <v>58</v>
      </c>
      <c r="BE60">
        <v>3</v>
      </c>
    </row>
    <row r="61" spans="1:57" x14ac:dyDescent="0.25">
      <c r="A61" t="s">
        <v>234</v>
      </c>
      <c r="B61">
        <v>208</v>
      </c>
      <c r="C61">
        <v>0</v>
      </c>
      <c r="D61">
        <v>0</v>
      </c>
      <c r="E61">
        <v>0</v>
      </c>
      <c r="F61" t="s">
        <v>151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163</v>
      </c>
      <c r="N61">
        <v>-1</v>
      </c>
      <c r="O61">
        <v>0</v>
      </c>
      <c r="P61">
        <v>-1</v>
      </c>
      <c r="Q61">
        <v>0</v>
      </c>
      <c r="R61" t="s">
        <v>70</v>
      </c>
      <c r="S61">
        <v>0</v>
      </c>
      <c r="T61">
        <v>0</v>
      </c>
      <c r="U61">
        <v>780</v>
      </c>
      <c r="V61" t="s">
        <v>57</v>
      </c>
      <c r="W61">
        <v>0</v>
      </c>
      <c r="X61">
        <v>0</v>
      </c>
      <c r="Y61">
        <v>0</v>
      </c>
      <c r="Z61">
        <v>0</v>
      </c>
      <c r="AA61" t="s">
        <v>67</v>
      </c>
      <c r="AB61">
        <v>0</v>
      </c>
      <c r="AC61">
        <v>0</v>
      </c>
      <c r="AD61">
        <v>0</v>
      </c>
      <c r="AE61">
        <v>0</v>
      </c>
      <c r="AF61" t="s">
        <v>60</v>
      </c>
      <c r="AG61">
        <v>0</v>
      </c>
      <c r="AH61">
        <v>0</v>
      </c>
      <c r="AI61">
        <v>0</v>
      </c>
      <c r="AJ61">
        <v>0</v>
      </c>
      <c r="AK61" t="b">
        <v>0</v>
      </c>
      <c r="AL61" t="s">
        <v>58</v>
      </c>
      <c r="AM61" t="s">
        <v>58</v>
      </c>
      <c r="AN61" t="s">
        <v>71</v>
      </c>
      <c r="AO61">
        <v>14</v>
      </c>
      <c r="AP61">
        <v>17</v>
      </c>
      <c r="AQ61">
        <v>0</v>
      </c>
      <c r="AR61">
        <v>11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s">
        <v>61</v>
      </c>
      <c r="BA61" t="s">
        <v>57</v>
      </c>
      <c r="BC61" t="s">
        <v>58</v>
      </c>
      <c r="BD61" t="s">
        <v>58</v>
      </c>
      <c r="BE61">
        <v>3</v>
      </c>
    </row>
    <row r="62" spans="1:57" x14ac:dyDescent="0.25">
      <c r="A62" t="s">
        <v>235</v>
      </c>
      <c r="B62">
        <v>190</v>
      </c>
      <c r="C62">
        <v>0</v>
      </c>
      <c r="D62">
        <v>0</v>
      </c>
      <c r="E62">
        <v>0</v>
      </c>
      <c r="F62" t="s">
        <v>149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154</v>
      </c>
      <c r="N62">
        <v>-1</v>
      </c>
      <c r="O62">
        <v>0</v>
      </c>
      <c r="P62">
        <v>-1</v>
      </c>
      <c r="Q62">
        <v>0</v>
      </c>
      <c r="R62" t="s">
        <v>70</v>
      </c>
      <c r="S62">
        <v>0</v>
      </c>
      <c r="T62">
        <v>0</v>
      </c>
      <c r="U62">
        <v>975</v>
      </c>
      <c r="V62" t="s">
        <v>57</v>
      </c>
      <c r="W62">
        <v>0</v>
      </c>
      <c r="X62">
        <v>0</v>
      </c>
      <c r="Y62">
        <v>0</v>
      </c>
      <c r="Z62">
        <v>0</v>
      </c>
      <c r="AA62" t="s">
        <v>67</v>
      </c>
      <c r="AB62">
        <v>0</v>
      </c>
      <c r="AC62">
        <v>0</v>
      </c>
      <c r="AD62">
        <v>0</v>
      </c>
      <c r="AE62">
        <v>0</v>
      </c>
      <c r="AF62" t="s">
        <v>60</v>
      </c>
      <c r="AG62">
        <v>0</v>
      </c>
      <c r="AH62">
        <v>0</v>
      </c>
      <c r="AI62">
        <v>0</v>
      </c>
      <c r="AJ62">
        <v>0</v>
      </c>
      <c r="AK62" t="b">
        <v>0</v>
      </c>
      <c r="AL62" t="s">
        <v>58</v>
      </c>
      <c r="AM62" t="s">
        <v>58</v>
      </c>
      <c r="AN62" t="s">
        <v>71</v>
      </c>
      <c r="AO62">
        <v>14</v>
      </c>
      <c r="AP62">
        <v>14</v>
      </c>
      <c r="AQ62">
        <v>12</v>
      </c>
      <c r="AR62">
        <v>11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s">
        <v>61</v>
      </c>
      <c r="BA62" t="s">
        <v>57</v>
      </c>
      <c r="BC62" t="s">
        <v>58</v>
      </c>
      <c r="BD62" t="s">
        <v>58</v>
      </c>
      <c r="BE62">
        <v>3</v>
      </c>
    </row>
    <row r="63" spans="1:57" x14ac:dyDescent="0.25">
      <c r="A63" t="s">
        <v>236</v>
      </c>
      <c r="B63">
        <v>173</v>
      </c>
      <c r="C63">
        <v>0</v>
      </c>
      <c r="D63">
        <v>0</v>
      </c>
      <c r="E63">
        <v>0</v>
      </c>
      <c r="F63" t="s">
        <v>171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144</v>
      </c>
      <c r="N63">
        <v>-1</v>
      </c>
      <c r="O63">
        <v>0</v>
      </c>
      <c r="P63">
        <v>-1</v>
      </c>
      <c r="Q63">
        <v>0</v>
      </c>
      <c r="R63" t="s">
        <v>70</v>
      </c>
      <c r="S63">
        <v>0</v>
      </c>
      <c r="T63">
        <v>0</v>
      </c>
      <c r="U63">
        <v>965</v>
      </c>
      <c r="V63" t="s">
        <v>57</v>
      </c>
      <c r="W63">
        <v>0</v>
      </c>
      <c r="X63">
        <v>0</v>
      </c>
      <c r="Y63">
        <v>0</v>
      </c>
      <c r="Z63">
        <v>0</v>
      </c>
      <c r="AA63" t="s">
        <v>67</v>
      </c>
      <c r="AB63">
        <v>0</v>
      </c>
      <c r="AC63">
        <v>0</v>
      </c>
      <c r="AD63">
        <v>0</v>
      </c>
      <c r="AE63">
        <v>0</v>
      </c>
      <c r="AF63" t="s">
        <v>60</v>
      </c>
      <c r="AG63">
        <v>0</v>
      </c>
      <c r="AH63">
        <v>0</v>
      </c>
      <c r="AI63">
        <v>0</v>
      </c>
      <c r="AJ63">
        <v>0</v>
      </c>
      <c r="AK63" t="b">
        <v>0</v>
      </c>
      <c r="AL63" t="s">
        <v>58</v>
      </c>
      <c r="AM63" t="s">
        <v>58</v>
      </c>
      <c r="AN63" t="s">
        <v>71</v>
      </c>
      <c r="AO63">
        <v>14</v>
      </c>
      <c r="AP63">
        <v>15</v>
      </c>
      <c r="AQ63">
        <v>9</v>
      </c>
      <c r="AR63">
        <v>11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s">
        <v>61</v>
      </c>
      <c r="BA63" t="s">
        <v>57</v>
      </c>
      <c r="BC63" t="s">
        <v>58</v>
      </c>
      <c r="BD63" t="s">
        <v>58</v>
      </c>
      <c r="BE63">
        <v>3</v>
      </c>
    </row>
    <row r="64" spans="1:57" x14ac:dyDescent="0.25">
      <c r="A64" t="s">
        <v>237</v>
      </c>
      <c r="B64">
        <v>118</v>
      </c>
      <c r="C64">
        <v>0</v>
      </c>
      <c r="D64">
        <v>0</v>
      </c>
      <c r="E64">
        <v>0</v>
      </c>
      <c r="F64" t="s">
        <v>162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161</v>
      </c>
      <c r="N64">
        <v>-1</v>
      </c>
      <c r="O64">
        <v>0</v>
      </c>
      <c r="P64">
        <v>-1</v>
      </c>
      <c r="Q64">
        <v>0</v>
      </c>
      <c r="R64" t="s">
        <v>70</v>
      </c>
      <c r="S64">
        <v>0</v>
      </c>
      <c r="T64">
        <v>0</v>
      </c>
      <c r="U64">
        <v>975</v>
      </c>
      <c r="V64" t="s">
        <v>57</v>
      </c>
      <c r="W64">
        <v>0</v>
      </c>
      <c r="X64">
        <v>0</v>
      </c>
      <c r="Y64">
        <v>0</v>
      </c>
      <c r="Z64">
        <v>0</v>
      </c>
      <c r="AA64" t="s">
        <v>67</v>
      </c>
      <c r="AB64">
        <v>0</v>
      </c>
      <c r="AC64">
        <v>0</v>
      </c>
      <c r="AD64">
        <v>0</v>
      </c>
      <c r="AE64">
        <v>0</v>
      </c>
      <c r="AF64" t="s">
        <v>60</v>
      </c>
      <c r="AG64">
        <v>0</v>
      </c>
      <c r="AH64">
        <v>0</v>
      </c>
      <c r="AI64">
        <v>0</v>
      </c>
      <c r="AJ64">
        <v>0</v>
      </c>
      <c r="AK64" t="b">
        <v>0</v>
      </c>
      <c r="AL64" t="s">
        <v>58</v>
      </c>
      <c r="AM64" t="s">
        <v>58</v>
      </c>
      <c r="AN64" t="s">
        <v>71</v>
      </c>
      <c r="AO64">
        <v>14</v>
      </c>
      <c r="AP64">
        <v>17</v>
      </c>
      <c r="AQ64">
        <v>13</v>
      </c>
      <c r="AR64">
        <v>11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s">
        <v>61</v>
      </c>
      <c r="BA64" t="s">
        <v>57</v>
      </c>
      <c r="BC64" t="s">
        <v>58</v>
      </c>
      <c r="BD64" t="s">
        <v>58</v>
      </c>
      <c r="BE64">
        <v>3</v>
      </c>
    </row>
    <row r="65" spans="1:57" x14ac:dyDescent="0.25">
      <c r="A65" t="s">
        <v>238</v>
      </c>
      <c r="B65">
        <v>214</v>
      </c>
      <c r="C65">
        <v>0</v>
      </c>
      <c r="D65">
        <v>0</v>
      </c>
      <c r="E65">
        <v>0</v>
      </c>
      <c r="F65" t="s">
        <v>152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146</v>
      </c>
      <c r="N65">
        <v>-1</v>
      </c>
      <c r="O65">
        <v>0</v>
      </c>
      <c r="P65">
        <v>-1</v>
      </c>
      <c r="Q65">
        <v>0</v>
      </c>
      <c r="R65" t="s">
        <v>70</v>
      </c>
      <c r="S65">
        <v>0</v>
      </c>
      <c r="T65">
        <v>0</v>
      </c>
      <c r="U65">
        <v>975</v>
      </c>
      <c r="V65" t="s">
        <v>57</v>
      </c>
      <c r="W65">
        <v>0</v>
      </c>
      <c r="X65">
        <v>0</v>
      </c>
      <c r="Y65">
        <v>0</v>
      </c>
      <c r="Z65">
        <v>0</v>
      </c>
      <c r="AA65" t="s">
        <v>67</v>
      </c>
      <c r="AB65">
        <v>0</v>
      </c>
      <c r="AC65">
        <v>0</v>
      </c>
      <c r="AD65">
        <v>0</v>
      </c>
      <c r="AE65">
        <v>0</v>
      </c>
      <c r="AF65" t="s">
        <v>60</v>
      </c>
      <c r="AG65">
        <v>0</v>
      </c>
      <c r="AH65">
        <v>0</v>
      </c>
      <c r="AI65">
        <v>0</v>
      </c>
      <c r="AJ65">
        <v>0</v>
      </c>
      <c r="AK65" t="b">
        <v>0</v>
      </c>
      <c r="AL65" t="s">
        <v>58</v>
      </c>
      <c r="AM65" t="s">
        <v>58</v>
      </c>
      <c r="AN65" t="s">
        <v>71</v>
      </c>
      <c r="AO65">
        <v>14</v>
      </c>
      <c r="AP65">
        <v>17</v>
      </c>
      <c r="AQ65">
        <v>14</v>
      </c>
      <c r="AR65">
        <v>11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s">
        <v>61</v>
      </c>
      <c r="BA65" t="s">
        <v>57</v>
      </c>
      <c r="BC65" t="s">
        <v>58</v>
      </c>
      <c r="BD65" t="s">
        <v>58</v>
      </c>
      <c r="BE65">
        <v>3</v>
      </c>
    </row>
    <row r="66" spans="1:57" x14ac:dyDescent="0.25">
      <c r="A66" t="s">
        <v>239</v>
      </c>
      <c r="B66">
        <v>329</v>
      </c>
      <c r="C66">
        <v>0</v>
      </c>
      <c r="D66">
        <v>0</v>
      </c>
      <c r="E66">
        <v>0</v>
      </c>
      <c r="F66" t="s">
        <v>146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174</v>
      </c>
      <c r="N66">
        <v>-1</v>
      </c>
      <c r="O66">
        <v>0</v>
      </c>
      <c r="P66">
        <v>-1</v>
      </c>
      <c r="Q66">
        <v>0</v>
      </c>
      <c r="R66" t="s">
        <v>70</v>
      </c>
      <c r="S66">
        <v>0</v>
      </c>
      <c r="T66">
        <v>0</v>
      </c>
      <c r="U66">
        <v>1230</v>
      </c>
      <c r="V66" t="s">
        <v>57</v>
      </c>
      <c r="W66">
        <v>0</v>
      </c>
      <c r="X66">
        <v>0</v>
      </c>
      <c r="Y66">
        <v>0</v>
      </c>
      <c r="Z66">
        <v>0</v>
      </c>
      <c r="AA66" t="s">
        <v>65</v>
      </c>
      <c r="AB66">
        <v>0</v>
      </c>
      <c r="AC66">
        <v>0</v>
      </c>
      <c r="AD66">
        <v>0</v>
      </c>
      <c r="AE66">
        <v>0</v>
      </c>
      <c r="AF66" t="s">
        <v>65</v>
      </c>
      <c r="AG66">
        <v>0</v>
      </c>
      <c r="AH66">
        <v>0</v>
      </c>
      <c r="AI66">
        <v>0</v>
      </c>
      <c r="AJ66">
        <v>0</v>
      </c>
      <c r="AK66" t="b">
        <v>0</v>
      </c>
      <c r="AL66" t="s">
        <v>58</v>
      </c>
      <c r="AM66" t="s">
        <v>58</v>
      </c>
      <c r="AN66" t="s">
        <v>71</v>
      </c>
      <c r="AO66">
        <v>14</v>
      </c>
      <c r="AP66">
        <v>3</v>
      </c>
      <c r="AQ66">
        <v>14</v>
      </c>
      <c r="AR66">
        <v>11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s">
        <v>61</v>
      </c>
      <c r="BA66" t="s">
        <v>57</v>
      </c>
      <c r="BC66" t="s">
        <v>58</v>
      </c>
      <c r="BD66" t="s">
        <v>58</v>
      </c>
      <c r="BE66">
        <v>4</v>
      </c>
    </row>
    <row r="67" spans="1:57" x14ac:dyDescent="0.25">
      <c r="A67" t="s">
        <v>240</v>
      </c>
      <c r="B67">
        <v>113</v>
      </c>
      <c r="C67">
        <v>0</v>
      </c>
      <c r="D67">
        <v>0</v>
      </c>
      <c r="E67">
        <v>0</v>
      </c>
      <c r="F67" t="s">
        <v>161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166</v>
      </c>
      <c r="N67">
        <v>-1</v>
      </c>
      <c r="O67">
        <v>0</v>
      </c>
      <c r="P67">
        <v>-1</v>
      </c>
      <c r="Q67">
        <v>0</v>
      </c>
      <c r="R67" t="s">
        <v>70</v>
      </c>
      <c r="S67">
        <v>0</v>
      </c>
      <c r="T67">
        <v>0</v>
      </c>
      <c r="U67">
        <v>780</v>
      </c>
      <c r="V67" t="s">
        <v>57</v>
      </c>
      <c r="W67">
        <v>0</v>
      </c>
      <c r="X67">
        <v>0</v>
      </c>
      <c r="Y67">
        <v>0</v>
      </c>
      <c r="Z67">
        <v>0</v>
      </c>
      <c r="AA67" t="s">
        <v>67</v>
      </c>
      <c r="AB67">
        <v>0</v>
      </c>
      <c r="AC67">
        <v>0</v>
      </c>
      <c r="AD67">
        <v>0</v>
      </c>
      <c r="AE67">
        <v>0</v>
      </c>
      <c r="AF67" t="s">
        <v>60</v>
      </c>
      <c r="AG67">
        <v>0</v>
      </c>
      <c r="AH67">
        <v>0</v>
      </c>
      <c r="AI67">
        <v>0</v>
      </c>
      <c r="AJ67">
        <v>0</v>
      </c>
      <c r="AK67" t="b">
        <v>0</v>
      </c>
      <c r="AL67" t="s">
        <v>58</v>
      </c>
      <c r="AM67" t="s">
        <v>58</v>
      </c>
      <c r="AN67" t="s">
        <v>71</v>
      </c>
      <c r="AO67">
        <v>14</v>
      </c>
      <c r="AP67">
        <v>4</v>
      </c>
      <c r="AQ67">
        <v>2</v>
      </c>
      <c r="AR67">
        <v>11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s">
        <v>61</v>
      </c>
      <c r="BA67" t="s">
        <v>57</v>
      </c>
      <c r="BC67" t="s">
        <v>58</v>
      </c>
      <c r="BD67" t="s">
        <v>58</v>
      </c>
      <c r="BE67">
        <v>4</v>
      </c>
    </row>
    <row r="68" spans="1:57" x14ac:dyDescent="0.25">
      <c r="A68" t="s">
        <v>241</v>
      </c>
      <c r="B68">
        <v>128</v>
      </c>
      <c r="C68">
        <v>0</v>
      </c>
      <c r="D68">
        <v>0</v>
      </c>
      <c r="E68">
        <v>0</v>
      </c>
      <c r="F68" t="s">
        <v>159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173</v>
      </c>
      <c r="N68">
        <v>-1</v>
      </c>
      <c r="O68">
        <v>0</v>
      </c>
      <c r="P68">
        <v>-1</v>
      </c>
      <c r="Q68">
        <v>0</v>
      </c>
      <c r="R68" t="s">
        <v>70</v>
      </c>
      <c r="S68">
        <v>0</v>
      </c>
      <c r="T68">
        <v>0</v>
      </c>
      <c r="U68">
        <v>965</v>
      </c>
      <c r="V68" t="s">
        <v>57</v>
      </c>
      <c r="W68">
        <v>0</v>
      </c>
      <c r="X68">
        <v>0</v>
      </c>
      <c r="Y68">
        <v>0</v>
      </c>
      <c r="Z68">
        <v>0</v>
      </c>
      <c r="AA68" t="s">
        <v>67</v>
      </c>
      <c r="AB68">
        <v>0</v>
      </c>
      <c r="AC68">
        <v>0</v>
      </c>
      <c r="AD68">
        <v>0</v>
      </c>
      <c r="AE68">
        <v>0</v>
      </c>
      <c r="AF68" t="s">
        <v>60</v>
      </c>
      <c r="AG68">
        <v>0</v>
      </c>
      <c r="AH68">
        <v>0</v>
      </c>
      <c r="AI68">
        <v>0</v>
      </c>
      <c r="AJ68">
        <v>0</v>
      </c>
      <c r="AK68" t="b">
        <v>0</v>
      </c>
      <c r="AL68" t="s">
        <v>58</v>
      </c>
      <c r="AM68" t="s">
        <v>58</v>
      </c>
      <c r="AN68" t="s">
        <v>71</v>
      </c>
      <c r="AO68">
        <v>14</v>
      </c>
      <c r="AP68">
        <v>3</v>
      </c>
      <c r="AQ68">
        <v>9</v>
      </c>
      <c r="AR68">
        <v>11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s">
        <v>61</v>
      </c>
      <c r="BA68" t="s">
        <v>57</v>
      </c>
      <c r="BC68" t="s">
        <v>58</v>
      </c>
      <c r="BD68" t="s">
        <v>58</v>
      </c>
      <c r="BE68">
        <v>4</v>
      </c>
    </row>
    <row r="69" spans="1:57" x14ac:dyDescent="0.25">
      <c r="A69" t="s">
        <v>242</v>
      </c>
      <c r="B69">
        <v>270</v>
      </c>
      <c r="C69">
        <v>0</v>
      </c>
      <c r="D69">
        <v>0</v>
      </c>
      <c r="E69">
        <v>0</v>
      </c>
      <c r="F69" t="s">
        <v>149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160</v>
      </c>
      <c r="N69">
        <v>-1</v>
      </c>
      <c r="O69">
        <v>0</v>
      </c>
      <c r="P69">
        <v>-1</v>
      </c>
      <c r="Q69">
        <v>0</v>
      </c>
      <c r="R69" t="s">
        <v>70</v>
      </c>
      <c r="S69">
        <v>0</v>
      </c>
      <c r="T69">
        <v>0</v>
      </c>
      <c r="U69">
        <v>1220</v>
      </c>
      <c r="V69" t="s">
        <v>57</v>
      </c>
      <c r="W69">
        <v>0</v>
      </c>
      <c r="X69">
        <v>0</v>
      </c>
      <c r="Y69">
        <v>0</v>
      </c>
      <c r="Z69">
        <v>0</v>
      </c>
      <c r="AA69" t="s">
        <v>68</v>
      </c>
      <c r="AB69">
        <v>0</v>
      </c>
      <c r="AC69">
        <v>0</v>
      </c>
      <c r="AD69">
        <v>0</v>
      </c>
      <c r="AE69">
        <v>0</v>
      </c>
      <c r="AF69" t="s">
        <v>68</v>
      </c>
      <c r="AG69">
        <v>0</v>
      </c>
      <c r="AH69">
        <v>0</v>
      </c>
      <c r="AI69">
        <v>0</v>
      </c>
      <c r="AJ69">
        <v>0</v>
      </c>
      <c r="AK69" t="b">
        <v>0</v>
      </c>
      <c r="AL69" t="s">
        <v>58</v>
      </c>
      <c r="AM69" t="s">
        <v>58</v>
      </c>
      <c r="AN69" t="s">
        <v>71</v>
      </c>
      <c r="AO69">
        <v>14</v>
      </c>
      <c r="AP69">
        <v>4</v>
      </c>
      <c r="AQ69">
        <v>15</v>
      </c>
      <c r="AR69">
        <v>11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s">
        <v>61</v>
      </c>
      <c r="BA69" t="s">
        <v>57</v>
      </c>
      <c r="BC69" t="s">
        <v>58</v>
      </c>
      <c r="BD69" t="s">
        <v>58</v>
      </c>
      <c r="BE69">
        <v>4</v>
      </c>
    </row>
    <row r="70" spans="1:57" x14ac:dyDescent="0.25">
      <c r="A70" t="s">
        <v>243</v>
      </c>
      <c r="B70">
        <v>195</v>
      </c>
      <c r="C70">
        <v>0</v>
      </c>
      <c r="D70">
        <v>0</v>
      </c>
      <c r="E70">
        <v>0</v>
      </c>
      <c r="F70" t="s">
        <v>156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162</v>
      </c>
      <c r="N70">
        <v>-1</v>
      </c>
      <c r="O70">
        <v>0</v>
      </c>
      <c r="P70">
        <v>-1</v>
      </c>
      <c r="Q70">
        <v>0</v>
      </c>
      <c r="R70" t="s">
        <v>70</v>
      </c>
      <c r="S70">
        <v>0</v>
      </c>
      <c r="T70">
        <v>0</v>
      </c>
      <c r="U70">
        <v>780</v>
      </c>
      <c r="V70" t="s">
        <v>57</v>
      </c>
      <c r="W70">
        <v>0</v>
      </c>
      <c r="X70">
        <v>0</v>
      </c>
      <c r="Y70">
        <v>0</v>
      </c>
      <c r="Z70">
        <v>0</v>
      </c>
      <c r="AA70" t="s">
        <v>67</v>
      </c>
      <c r="AB70">
        <v>0</v>
      </c>
      <c r="AC70">
        <v>0</v>
      </c>
      <c r="AD70">
        <v>0</v>
      </c>
      <c r="AE70">
        <v>0</v>
      </c>
      <c r="AF70" t="s">
        <v>60</v>
      </c>
      <c r="AG70">
        <v>0</v>
      </c>
      <c r="AH70">
        <v>0</v>
      </c>
      <c r="AI70">
        <v>0</v>
      </c>
      <c r="AJ70">
        <v>0</v>
      </c>
      <c r="AK70" t="b">
        <v>0</v>
      </c>
      <c r="AL70" t="s">
        <v>58</v>
      </c>
      <c r="AM70" t="s">
        <v>58</v>
      </c>
      <c r="AN70" t="s">
        <v>71</v>
      </c>
      <c r="AO70">
        <v>14</v>
      </c>
      <c r="AP70">
        <v>8</v>
      </c>
      <c r="AQ70">
        <v>1</v>
      </c>
      <c r="AR70">
        <v>11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s">
        <v>61</v>
      </c>
      <c r="BA70" t="s">
        <v>57</v>
      </c>
      <c r="BC70" t="s">
        <v>58</v>
      </c>
      <c r="BD70" t="s">
        <v>58</v>
      </c>
      <c r="BE70">
        <v>4</v>
      </c>
    </row>
    <row r="71" spans="1:57" x14ac:dyDescent="0.25">
      <c r="A71" t="s">
        <v>244</v>
      </c>
      <c r="B71">
        <v>268</v>
      </c>
      <c r="C71">
        <v>0</v>
      </c>
      <c r="D71">
        <v>0</v>
      </c>
      <c r="E71">
        <v>0</v>
      </c>
      <c r="F71" t="s">
        <v>169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165</v>
      </c>
      <c r="N71">
        <v>-1</v>
      </c>
      <c r="O71">
        <v>0</v>
      </c>
      <c r="P71">
        <v>-1</v>
      </c>
      <c r="Q71">
        <v>0</v>
      </c>
      <c r="R71" t="s">
        <v>70</v>
      </c>
      <c r="S71">
        <v>0</v>
      </c>
      <c r="T71">
        <v>0</v>
      </c>
      <c r="U71">
        <v>1230</v>
      </c>
      <c r="V71" t="s">
        <v>57</v>
      </c>
      <c r="W71">
        <v>0</v>
      </c>
      <c r="X71">
        <v>0</v>
      </c>
      <c r="Y71">
        <v>0</v>
      </c>
      <c r="Z71">
        <v>0</v>
      </c>
      <c r="AA71" t="s">
        <v>65</v>
      </c>
      <c r="AB71">
        <v>0</v>
      </c>
      <c r="AC71">
        <v>0</v>
      </c>
      <c r="AD71">
        <v>0</v>
      </c>
      <c r="AE71">
        <v>0</v>
      </c>
      <c r="AF71" t="s">
        <v>65</v>
      </c>
      <c r="AG71">
        <v>0</v>
      </c>
      <c r="AH71">
        <v>0</v>
      </c>
      <c r="AI71">
        <v>0</v>
      </c>
      <c r="AJ71">
        <v>0</v>
      </c>
      <c r="AK71" t="b">
        <v>0</v>
      </c>
      <c r="AL71" t="s">
        <v>58</v>
      </c>
      <c r="AM71" t="s">
        <v>58</v>
      </c>
      <c r="AN71" t="s">
        <v>71</v>
      </c>
      <c r="AO71">
        <v>14</v>
      </c>
      <c r="AP71">
        <v>6</v>
      </c>
      <c r="AQ71">
        <v>11</v>
      </c>
      <c r="AR71">
        <v>11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s">
        <v>61</v>
      </c>
      <c r="BA71" t="s">
        <v>57</v>
      </c>
      <c r="BC71" t="s">
        <v>58</v>
      </c>
      <c r="BD71" t="s">
        <v>58</v>
      </c>
      <c r="BE71">
        <v>4</v>
      </c>
    </row>
    <row r="72" spans="1:57" x14ac:dyDescent="0.25">
      <c r="A72" t="s">
        <v>245</v>
      </c>
      <c r="B72">
        <v>130</v>
      </c>
      <c r="C72">
        <v>0</v>
      </c>
      <c r="D72">
        <v>0</v>
      </c>
      <c r="E72">
        <v>0</v>
      </c>
      <c r="F72" t="s">
        <v>152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151</v>
      </c>
      <c r="N72">
        <v>-1</v>
      </c>
      <c r="O72">
        <v>0</v>
      </c>
      <c r="P72">
        <v>-1</v>
      </c>
      <c r="Q72">
        <v>0</v>
      </c>
      <c r="R72" t="s">
        <v>70</v>
      </c>
      <c r="S72">
        <v>0</v>
      </c>
      <c r="T72">
        <v>0</v>
      </c>
      <c r="U72">
        <v>975</v>
      </c>
      <c r="V72" t="s">
        <v>57</v>
      </c>
      <c r="W72">
        <v>0</v>
      </c>
      <c r="X72">
        <v>0</v>
      </c>
      <c r="Y72">
        <v>0</v>
      </c>
      <c r="Z72">
        <v>0</v>
      </c>
      <c r="AA72" t="s">
        <v>67</v>
      </c>
      <c r="AB72">
        <v>0</v>
      </c>
      <c r="AC72">
        <v>0</v>
      </c>
      <c r="AD72">
        <v>0</v>
      </c>
      <c r="AE72">
        <v>0</v>
      </c>
      <c r="AF72" t="s">
        <v>60</v>
      </c>
      <c r="AG72">
        <v>0</v>
      </c>
      <c r="AH72">
        <v>0</v>
      </c>
      <c r="AI72">
        <v>0</v>
      </c>
      <c r="AJ72">
        <v>0</v>
      </c>
      <c r="AK72" t="b">
        <v>0</v>
      </c>
      <c r="AL72" t="s">
        <v>58</v>
      </c>
      <c r="AM72" t="s">
        <v>58</v>
      </c>
      <c r="AN72" t="s">
        <v>71</v>
      </c>
      <c r="AO72">
        <v>14</v>
      </c>
      <c r="AP72">
        <v>7</v>
      </c>
      <c r="AQ72">
        <v>9</v>
      </c>
      <c r="AR72">
        <v>11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s">
        <v>61</v>
      </c>
      <c r="BA72" t="s">
        <v>57</v>
      </c>
      <c r="BC72" t="s">
        <v>58</v>
      </c>
      <c r="BD72" t="s">
        <v>58</v>
      </c>
      <c r="BE72">
        <v>4</v>
      </c>
    </row>
    <row r="73" spans="1:57" x14ac:dyDescent="0.25">
      <c r="A73" t="s">
        <v>246</v>
      </c>
      <c r="B73">
        <v>115</v>
      </c>
      <c r="C73">
        <v>0</v>
      </c>
      <c r="D73">
        <v>0</v>
      </c>
      <c r="E73">
        <v>0</v>
      </c>
      <c r="F73" t="s">
        <v>172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147</v>
      </c>
      <c r="N73">
        <v>-1</v>
      </c>
      <c r="O73">
        <v>0</v>
      </c>
      <c r="P73">
        <v>-1</v>
      </c>
      <c r="Q73">
        <v>0</v>
      </c>
      <c r="R73" t="s">
        <v>70</v>
      </c>
      <c r="S73">
        <v>0</v>
      </c>
      <c r="T73">
        <v>0</v>
      </c>
      <c r="U73">
        <v>780</v>
      </c>
      <c r="V73" t="s">
        <v>57</v>
      </c>
      <c r="W73">
        <v>0</v>
      </c>
      <c r="X73">
        <v>0</v>
      </c>
      <c r="Y73">
        <v>0</v>
      </c>
      <c r="Z73">
        <v>0</v>
      </c>
      <c r="AA73" t="s">
        <v>67</v>
      </c>
      <c r="AB73">
        <v>0</v>
      </c>
      <c r="AC73">
        <v>0</v>
      </c>
      <c r="AD73">
        <v>0</v>
      </c>
      <c r="AE73">
        <v>0</v>
      </c>
      <c r="AF73" t="s">
        <v>60</v>
      </c>
      <c r="AG73">
        <v>0</v>
      </c>
      <c r="AH73">
        <v>0</v>
      </c>
      <c r="AI73">
        <v>0</v>
      </c>
      <c r="AJ73">
        <v>0</v>
      </c>
      <c r="AK73" t="b">
        <v>0</v>
      </c>
      <c r="AL73" t="s">
        <v>58</v>
      </c>
      <c r="AM73" t="s">
        <v>58</v>
      </c>
      <c r="AN73" t="s">
        <v>71</v>
      </c>
      <c r="AO73">
        <v>14</v>
      </c>
      <c r="AP73">
        <v>7</v>
      </c>
      <c r="AQ73">
        <v>5</v>
      </c>
      <c r="AR73">
        <v>11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s">
        <v>61</v>
      </c>
      <c r="BA73" t="s">
        <v>57</v>
      </c>
      <c r="BC73" t="s">
        <v>58</v>
      </c>
      <c r="BD73" t="s">
        <v>58</v>
      </c>
      <c r="BE73">
        <v>4</v>
      </c>
    </row>
    <row r="74" spans="1:57" x14ac:dyDescent="0.25">
      <c r="A74" t="s">
        <v>247</v>
      </c>
      <c r="B74">
        <v>158</v>
      </c>
      <c r="C74">
        <v>0</v>
      </c>
      <c r="D74">
        <v>0</v>
      </c>
      <c r="E74">
        <v>0</v>
      </c>
      <c r="F74" t="s">
        <v>145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143</v>
      </c>
      <c r="N74">
        <v>-1</v>
      </c>
      <c r="O74">
        <v>0</v>
      </c>
      <c r="P74">
        <v>-1</v>
      </c>
      <c r="Q74">
        <v>0</v>
      </c>
      <c r="R74" t="s">
        <v>70</v>
      </c>
      <c r="S74">
        <v>0</v>
      </c>
      <c r="T74">
        <v>0</v>
      </c>
      <c r="U74">
        <v>780</v>
      </c>
      <c r="V74" t="s">
        <v>57</v>
      </c>
      <c r="W74">
        <v>0</v>
      </c>
      <c r="X74">
        <v>0</v>
      </c>
      <c r="Y74">
        <v>0</v>
      </c>
      <c r="Z74">
        <v>0</v>
      </c>
      <c r="AA74" t="s">
        <v>67</v>
      </c>
      <c r="AB74">
        <v>0</v>
      </c>
      <c r="AC74">
        <v>0</v>
      </c>
      <c r="AD74">
        <v>0</v>
      </c>
      <c r="AE74">
        <v>0</v>
      </c>
      <c r="AF74" t="s">
        <v>60</v>
      </c>
      <c r="AG74">
        <v>0</v>
      </c>
      <c r="AH74">
        <v>0</v>
      </c>
      <c r="AI74">
        <v>0</v>
      </c>
      <c r="AJ74">
        <v>0</v>
      </c>
      <c r="AK74" t="b">
        <v>0</v>
      </c>
      <c r="AL74" t="s">
        <v>58</v>
      </c>
      <c r="AM74" t="s">
        <v>58</v>
      </c>
      <c r="AN74" t="s">
        <v>71</v>
      </c>
      <c r="AO74">
        <v>14</v>
      </c>
      <c r="AP74">
        <v>8</v>
      </c>
      <c r="AQ74">
        <v>3</v>
      </c>
      <c r="AR74">
        <v>11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s">
        <v>61</v>
      </c>
      <c r="BA74" t="s">
        <v>57</v>
      </c>
      <c r="BC74" t="s">
        <v>58</v>
      </c>
      <c r="BD74" t="s">
        <v>58</v>
      </c>
      <c r="BE74">
        <v>4</v>
      </c>
    </row>
    <row r="75" spans="1:57" x14ac:dyDescent="0.25">
      <c r="A75" t="s">
        <v>248</v>
      </c>
      <c r="B75">
        <v>252</v>
      </c>
      <c r="C75">
        <v>0</v>
      </c>
      <c r="D75">
        <v>0</v>
      </c>
      <c r="E75">
        <v>0</v>
      </c>
      <c r="F75" t="s">
        <v>163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144</v>
      </c>
      <c r="N75">
        <v>-1</v>
      </c>
      <c r="O75">
        <v>0</v>
      </c>
      <c r="P75">
        <v>-1</v>
      </c>
      <c r="Q75">
        <v>0</v>
      </c>
      <c r="R75" t="s">
        <v>70</v>
      </c>
      <c r="S75">
        <v>0</v>
      </c>
      <c r="T75">
        <v>0</v>
      </c>
      <c r="U75">
        <v>780</v>
      </c>
      <c r="V75" t="s">
        <v>57</v>
      </c>
      <c r="W75">
        <v>0</v>
      </c>
      <c r="X75">
        <v>0</v>
      </c>
      <c r="Y75">
        <v>0</v>
      </c>
      <c r="Z75">
        <v>0</v>
      </c>
      <c r="AA75" t="s">
        <v>67</v>
      </c>
      <c r="AB75">
        <v>0</v>
      </c>
      <c r="AC75">
        <v>0</v>
      </c>
      <c r="AD75">
        <v>0</v>
      </c>
      <c r="AE75">
        <v>0</v>
      </c>
      <c r="AF75" t="s">
        <v>60</v>
      </c>
      <c r="AG75">
        <v>0</v>
      </c>
      <c r="AH75">
        <v>0</v>
      </c>
      <c r="AI75">
        <v>0</v>
      </c>
      <c r="AJ75">
        <v>0</v>
      </c>
      <c r="AK75" t="b">
        <v>0</v>
      </c>
      <c r="AL75" t="s">
        <v>58</v>
      </c>
      <c r="AM75" t="s">
        <v>58</v>
      </c>
      <c r="AN75" t="s">
        <v>71</v>
      </c>
      <c r="AO75">
        <v>14</v>
      </c>
      <c r="AP75">
        <v>8</v>
      </c>
      <c r="AQ75">
        <v>6</v>
      </c>
      <c r="AR75">
        <v>11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s">
        <v>61</v>
      </c>
      <c r="BA75" t="s">
        <v>57</v>
      </c>
      <c r="BC75" t="s">
        <v>58</v>
      </c>
      <c r="BD75" t="s">
        <v>58</v>
      </c>
      <c r="BE75">
        <v>4</v>
      </c>
    </row>
    <row r="76" spans="1:57" x14ac:dyDescent="0.25">
      <c r="A76" t="s">
        <v>249</v>
      </c>
      <c r="B76">
        <v>183</v>
      </c>
      <c r="C76">
        <v>0</v>
      </c>
      <c r="D76">
        <v>0</v>
      </c>
      <c r="E76">
        <v>0</v>
      </c>
      <c r="F76" t="s">
        <v>170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155</v>
      </c>
      <c r="N76">
        <v>-1</v>
      </c>
      <c r="O76">
        <v>0</v>
      </c>
      <c r="P76">
        <v>-1</v>
      </c>
      <c r="Q76">
        <v>0</v>
      </c>
      <c r="R76" t="s">
        <v>70</v>
      </c>
      <c r="S76">
        <v>0</v>
      </c>
      <c r="T76">
        <v>0</v>
      </c>
      <c r="U76">
        <v>780</v>
      </c>
      <c r="V76" t="s">
        <v>57</v>
      </c>
      <c r="W76">
        <v>0</v>
      </c>
      <c r="X76">
        <v>0</v>
      </c>
      <c r="Y76">
        <v>0</v>
      </c>
      <c r="Z76">
        <v>0</v>
      </c>
      <c r="AA76" t="s">
        <v>67</v>
      </c>
      <c r="AB76">
        <v>0</v>
      </c>
      <c r="AC76">
        <v>0</v>
      </c>
      <c r="AD76">
        <v>0</v>
      </c>
      <c r="AE76">
        <v>0</v>
      </c>
      <c r="AF76" t="s">
        <v>60</v>
      </c>
      <c r="AG76">
        <v>0</v>
      </c>
      <c r="AH76">
        <v>0</v>
      </c>
      <c r="AI76">
        <v>0</v>
      </c>
      <c r="AJ76">
        <v>0</v>
      </c>
      <c r="AK76" t="b">
        <v>0</v>
      </c>
      <c r="AL76" t="s">
        <v>58</v>
      </c>
      <c r="AM76" t="s">
        <v>58</v>
      </c>
      <c r="AN76" t="s">
        <v>71</v>
      </c>
      <c r="AO76">
        <v>14</v>
      </c>
      <c r="AP76">
        <v>11</v>
      </c>
      <c r="AQ76">
        <v>3</v>
      </c>
      <c r="AR76">
        <v>11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s">
        <v>61</v>
      </c>
      <c r="BA76" t="s">
        <v>57</v>
      </c>
      <c r="BC76" t="s">
        <v>58</v>
      </c>
      <c r="BD76" t="s">
        <v>58</v>
      </c>
      <c r="BE76">
        <v>4</v>
      </c>
    </row>
    <row r="77" spans="1:57" x14ac:dyDescent="0.25">
      <c r="A77" t="s">
        <v>250</v>
      </c>
      <c r="B77">
        <v>328</v>
      </c>
      <c r="C77">
        <v>0</v>
      </c>
      <c r="D77">
        <v>0</v>
      </c>
      <c r="E77">
        <v>0</v>
      </c>
      <c r="F77" t="s">
        <v>150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168</v>
      </c>
      <c r="N77">
        <v>-1</v>
      </c>
      <c r="O77">
        <v>0</v>
      </c>
      <c r="P77">
        <v>-1</v>
      </c>
      <c r="Q77">
        <v>0</v>
      </c>
      <c r="R77" t="s">
        <v>70</v>
      </c>
      <c r="S77">
        <v>0</v>
      </c>
      <c r="T77">
        <v>0</v>
      </c>
      <c r="U77">
        <v>1230</v>
      </c>
      <c r="V77" t="s">
        <v>57</v>
      </c>
      <c r="W77">
        <v>0</v>
      </c>
      <c r="X77">
        <v>0</v>
      </c>
      <c r="Y77">
        <v>0</v>
      </c>
      <c r="Z77">
        <v>0</v>
      </c>
      <c r="AA77" t="s">
        <v>65</v>
      </c>
      <c r="AB77">
        <v>0</v>
      </c>
      <c r="AC77">
        <v>0</v>
      </c>
      <c r="AD77">
        <v>0</v>
      </c>
      <c r="AE77">
        <v>0</v>
      </c>
      <c r="AF77" t="s">
        <v>65</v>
      </c>
      <c r="AG77">
        <v>0</v>
      </c>
      <c r="AH77">
        <v>0</v>
      </c>
      <c r="AI77">
        <v>0</v>
      </c>
      <c r="AJ77">
        <v>0</v>
      </c>
      <c r="AK77" t="b">
        <v>0</v>
      </c>
      <c r="AL77" t="s">
        <v>58</v>
      </c>
      <c r="AM77" t="s">
        <v>58</v>
      </c>
      <c r="AN77" t="s">
        <v>71</v>
      </c>
      <c r="AO77">
        <v>14</v>
      </c>
      <c r="AP77">
        <v>14</v>
      </c>
      <c r="AQ77">
        <v>14</v>
      </c>
      <c r="AR77">
        <v>11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s">
        <v>61</v>
      </c>
      <c r="BA77" t="s">
        <v>57</v>
      </c>
      <c r="BC77" t="s">
        <v>58</v>
      </c>
      <c r="BD77" t="s">
        <v>58</v>
      </c>
      <c r="BE77">
        <v>4</v>
      </c>
    </row>
    <row r="78" spans="1:57" x14ac:dyDescent="0.25">
      <c r="A78" t="s">
        <v>251</v>
      </c>
      <c r="B78">
        <v>279</v>
      </c>
      <c r="C78">
        <v>0</v>
      </c>
      <c r="D78">
        <v>0</v>
      </c>
      <c r="E78">
        <v>0</v>
      </c>
      <c r="F78" t="s">
        <v>171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164</v>
      </c>
      <c r="N78">
        <v>-1</v>
      </c>
      <c r="O78">
        <v>0</v>
      </c>
      <c r="P78">
        <v>-1</v>
      </c>
      <c r="Q78">
        <v>0</v>
      </c>
      <c r="R78" t="s">
        <v>70</v>
      </c>
      <c r="S78">
        <v>0</v>
      </c>
      <c r="T78">
        <v>0</v>
      </c>
      <c r="U78">
        <v>1230</v>
      </c>
      <c r="V78" t="s">
        <v>57</v>
      </c>
      <c r="W78">
        <v>0</v>
      </c>
      <c r="X78">
        <v>0</v>
      </c>
      <c r="Y78">
        <v>0</v>
      </c>
      <c r="Z78">
        <v>0</v>
      </c>
      <c r="AA78" t="s">
        <v>65</v>
      </c>
      <c r="AB78">
        <v>0</v>
      </c>
      <c r="AC78">
        <v>0</v>
      </c>
      <c r="AD78">
        <v>0</v>
      </c>
      <c r="AE78">
        <v>0</v>
      </c>
      <c r="AF78" t="s">
        <v>65</v>
      </c>
      <c r="AG78">
        <v>0</v>
      </c>
      <c r="AH78">
        <v>0</v>
      </c>
      <c r="AI78">
        <v>0</v>
      </c>
      <c r="AJ78">
        <v>0</v>
      </c>
      <c r="AK78" t="b">
        <v>0</v>
      </c>
      <c r="AL78" t="s">
        <v>58</v>
      </c>
      <c r="AM78" t="s">
        <v>58</v>
      </c>
      <c r="AN78" t="s">
        <v>71</v>
      </c>
      <c r="AO78">
        <v>14</v>
      </c>
      <c r="AP78">
        <v>12</v>
      </c>
      <c r="AQ78">
        <v>12</v>
      </c>
      <c r="AR78">
        <v>11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s">
        <v>61</v>
      </c>
      <c r="BA78" t="s">
        <v>57</v>
      </c>
      <c r="BC78" t="s">
        <v>58</v>
      </c>
      <c r="BD78" t="s">
        <v>58</v>
      </c>
      <c r="BE78">
        <v>4</v>
      </c>
    </row>
    <row r="79" spans="1:57" x14ac:dyDescent="0.25">
      <c r="A79" t="s">
        <v>252</v>
      </c>
      <c r="B79">
        <v>332</v>
      </c>
      <c r="C79">
        <v>0</v>
      </c>
      <c r="D79">
        <v>0</v>
      </c>
      <c r="E79">
        <v>0</v>
      </c>
      <c r="F79" t="s">
        <v>158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157</v>
      </c>
      <c r="N79">
        <v>-1</v>
      </c>
      <c r="O79">
        <v>0</v>
      </c>
      <c r="P79">
        <v>-1</v>
      </c>
      <c r="Q79">
        <v>0</v>
      </c>
      <c r="R79" t="s">
        <v>70</v>
      </c>
      <c r="S79">
        <v>0</v>
      </c>
      <c r="T79">
        <v>0</v>
      </c>
      <c r="U79">
        <v>780</v>
      </c>
      <c r="V79" t="s">
        <v>57</v>
      </c>
      <c r="W79">
        <v>0</v>
      </c>
      <c r="X79">
        <v>0</v>
      </c>
      <c r="Y79">
        <v>0</v>
      </c>
      <c r="Z79">
        <v>0</v>
      </c>
      <c r="AA79" t="s">
        <v>67</v>
      </c>
      <c r="AB79">
        <v>0</v>
      </c>
      <c r="AC79">
        <v>0</v>
      </c>
      <c r="AD79">
        <v>0</v>
      </c>
      <c r="AE79">
        <v>0</v>
      </c>
      <c r="AF79" t="s">
        <v>60</v>
      </c>
      <c r="AG79">
        <v>0</v>
      </c>
      <c r="AH79">
        <v>0</v>
      </c>
      <c r="AI79">
        <v>0</v>
      </c>
      <c r="AJ79">
        <v>0</v>
      </c>
      <c r="AK79" t="b">
        <v>0</v>
      </c>
      <c r="AL79" t="s">
        <v>58</v>
      </c>
      <c r="AM79" t="s">
        <v>58</v>
      </c>
      <c r="AN79" t="s">
        <v>71</v>
      </c>
      <c r="AO79">
        <v>14</v>
      </c>
      <c r="AP79">
        <v>15</v>
      </c>
      <c r="AQ79">
        <v>0</v>
      </c>
      <c r="AR79">
        <v>11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s">
        <v>61</v>
      </c>
      <c r="BA79" t="s">
        <v>57</v>
      </c>
      <c r="BC79" t="s">
        <v>58</v>
      </c>
      <c r="BD79" t="s">
        <v>58</v>
      </c>
      <c r="BE79">
        <v>4</v>
      </c>
    </row>
    <row r="80" spans="1:57" x14ac:dyDescent="0.25">
      <c r="A80" t="s">
        <v>502</v>
      </c>
      <c r="B80">
        <v>260</v>
      </c>
      <c r="C80">
        <v>0</v>
      </c>
      <c r="D80">
        <v>0</v>
      </c>
      <c r="E80">
        <v>0</v>
      </c>
      <c r="F80" t="s">
        <v>153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167</v>
      </c>
      <c r="N80">
        <v>-1</v>
      </c>
      <c r="O80">
        <v>0</v>
      </c>
      <c r="P80">
        <v>-1</v>
      </c>
      <c r="Q80">
        <v>0</v>
      </c>
      <c r="R80" t="s">
        <v>70</v>
      </c>
      <c r="S80">
        <v>0</v>
      </c>
      <c r="T80">
        <v>0</v>
      </c>
      <c r="U80">
        <v>965</v>
      </c>
      <c r="V80" t="s">
        <v>57</v>
      </c>
      <c r="W80">
        <v>0</v>
      </c>
      <c r="X80">
        <v>0</v>
      </c>
      <c r="Y80">
        <v>0</v>
      </c>
      <c r="Z80">
        <v>0</v>
      </c>
      <c r="AA80" t="s">
        <v>67</v>
      </c>
      <c r="AB80">
        <v>0</v>
      </c>
      <c r="AC80">
        <v>0</v>
      </c>
      <c r="AD80">
        <v>0</v>
      </c>
      <c r="AE80">
        <v>0</v>
      </c>
      <c r="AF80" t="s">
        <v>60</v>
      </c>
      <c r="AG80">
        <v>0</v>
      </c>
      <c r="AH80">
        <v>0</v>
      </c>
      <c r="AI80">
        <v>0</v>
      </c>
      <c r="AJ80">
        <v>0</v>
      </c>
      <c r="AK80" t="b">
        <v>0</v>
      </c>
      <c r="AL80" t="s">
        <v>58</v>
      </c>
      <c r="AM80" t="s">
        <v>58</v>
      </c>
      <c r="AN80" t="s">
        <v>71</v>
      </c>
      <c r="AO80">
        <v>14</v>
      </c>
      <c r="AP80">
        <v>16</v>
      </c>
      <c r="AQ80">
        <v>10</v>
      </c>
      <c r="AR80">
        <v>11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s">
        <v>61</v>
      </c>
      <c r="BA80" t="s">
        <v>57</v>
      </c>
      <c r="BC80" t="s">
        <v>58</v>
      </c>
      <c r="BD80" t="s">
        <v>58</v>
      </c>
      <c r="BE80">
        <v>4</v>
      </c>
    </row>
    <row r="81" spans="1:57" x14ac:dyDescent="0.25">
      <c r="A81" t="s">
        <v>501</v>
      </c>
      <c r="B81">
        <v>247</v>
      </c>
      <c r="C81">
        <v>0</v>
      </c>
      <c r="D81">
        <v>0</v>
      </c>
      <c r="E81">
        <v>0</v>
      </c>
      <c r="F81" t="s">
        <v>148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154</v>
      </c>
      <c r="N81">
        <v>-1</v>
      </c>
      <c r="O81">
        <v>0</v>
      </c>
      <c r="P81">
        <v>-1</v>
      </c>
      <c r="Q81">
        <v>0</v>
      </c>
      <c r="R81" t="s">
        <v>70</v>
      </c>
      <c r="S81">
        <v>0</v>
      </c>
      <c r="T81">
        <v>0</v>
      </c>
      <c r="U81">
        <v>965</v>
      </c>
      <c r="V81" t="s">
        <v>57</v>
      </c>
      <c r="W81">
        <v>0</v>
      </c>
      <c r="X81">
        <v>0</v>
      </c>
      <c r="Y81">
        <v>0</v>
      </c>
      <c r="Z81">
        <v>0</v>
      </c>
      <c r="AA81" t="s">
        <v>67</v>
      </c>
      <c r="AB81">
        <v>0</v>
      </c>
      <c r="AC81">
        <v>0</v>
      </c>
      <c r="AD81">
        <v>0</v>
      </c>
      <c r="AE81">
        <v>0</v>
      </c>
      <c r="AF81" t="s">
        <v>60</v>
      </c>
      <c r="AG81">
        <v>0</v>
      </c>
      <c r="AH81">
        <v>0</v>
      </c>
      <c r="AI81">
        <v>0</v>
      </c>
      <c r="AJ81">
        <v>0</v>
      </c>
      <c r="AK81" t="b">
        <v>0</v>
      </c>
      <c r="AL81" t="s">
        <v>58</v>
      </c>
      <c r="AM81" t="s">
        <v>58</v>
      </c>
      <c r="AN81" t="s">
        <v>71</v>
      </c>
      <c r="AO81">
        <v>14</v>
      </c>
      <c r="AP81">
        <v>17</v>
      </c>
      <c r="AQ81">
        <v>11</v>
      </c>
      <c r="AR81">
        <v>11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s">
        <v>61</v>
      </c>
      <c r="BA81" t="s">
        <v>57</v>
      </c>
      <c r="BC81" t="s">
        <v>58</v>
      </c>
      <c r="BD81" t="s">
        <v>58</v>
      </c>
      <c r="BE81">
        <v>4</v>
      </c>
    </row>
    <row r="82" spans="1:57" x14ac:dyDescent="0.25">
      <c r="A82" t="s">
        <v>253</v>
      </c>
      <c r="B82">
        <v>275</v>
      </c>
      <c r="C82">
        <v>0</v>
      </c>
      <c r="D82">
        <v>0</v>
      </c>
      <c r="E82">
        <v>0</v>
      </c>
      <c r="F82" t="s">
        <v>165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166</v>
      </c>
      <c r="N82">
        <v>-1</v>
      </c>
      <c r="O82">
        <v>0</v>
      </c>
      <c r="P82">
        <v>-1</v>
      </c>
      <c r="Q82">
        <v>0</v>
      </c>
      <c r="R82" t="s">
        <v>70</v>
      </c>
      <c r="S82">
        <v>0</v>
      </c>
      <c r="T82">
        <v>0</v>
      </c>
      <c r="U82">
        <v>780</v>
      </c>
      <c r="V82" t="s">
        <v>57</v>
      </c>
      <c r="W82">
        <v>0</v>
      </c>
      <c r="X82">
        <v>0</v>
      </c>
      <c r="Y82">
        <v>0</v>
      </c>
      <c r="Z82">
        <v>0</v>
      </c>
      <c r="AA82" t="s">
        <v>67</v>
      </c>
      <c r="AB82">
        <v>0</v>
      </c>
      <c r="AC82">
        <v>0</v>
      </c>
      <c r="AD82">
        <v>0</v>
      </c>
      <c r="AE82">
        <v>0</v>
      </c>
      <c r="AF82" t="s">
        <v>60</v>
      </c>
      <c r="AG82">
        <v>0</v>
      </c>
      <c r="AH82">
        <v>0</v>
      </c>
      <c r="AI82">
        <v>0</v>
      </c>
      <c r="AJ82">
        <v>0</v>
      </c>
      <c r="AK82" t="b">
        <v>0</v>
      </c>
      <c r="AL82" t="s">
        <v>58</v>
      </c>
      <c r="AM82" t="s">
        <v>58</v>
      </c>
      <c r="AN82" t="s">
        <v>71</v>
      </c>
      <c r="AO82">
        <v>14</v>
      </c>
      <c r="AP82">
        <v>2</v>
      </c>
      <c r="AQ82">
        <v>4</v>
      </c>
      <c r="AR82">
        <v>11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s">
        <v>61</v>
      </c>
      <c r="BA82" t="s">
        <v>57</v>
      </c>
      <c r="BC82" t="s">
        <v>58</v>
      </c>
      <c r="BD82" t="s">
        <v>58</v>
      </c>
      <c r="BE82">
        <v>5</v>
      </c>
    </row>
    <row r="83" spans="1:57" x14ac:dyDescent="0.25">
      <c r="A83" t="s">
        <v>254</v>
      </c>
      <c r="B83">
        <v>135</v>
      </c>
      <c r="C83">
        <v>0</v>
      </c>
      <c r="D83">
        <v>0</v>
      </c>
      <c r="E83">
        <v>0</v>
      </c>
      <c r="F83" t="s">
        <v>169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159</v>
      </c>
      <c r="N83">
        <v>-1</v>
      </c>
      <c r="O83">
        <v>0</v>
      </c>
      <c r="P83">
        <v>-1</v>
      </c>
      <c r="Q83">
        <v>0</v>
      </c>
      <c r="R83" t="s">
        <v>70</v>
      </c>
      <c r="S83">
        <v>0</v>
      </c>
      <c r="T83">
        <v>0</v>
      </c>
      <c r="U83">
        <v>1220</v>
      </c>
      <c r="V83" t="s">
        <v>57</v>
      </c>
      <c r="W83">
        <v>0</v>
      </c>
      <c r="X83">
        <v>0</v>
      </c>
      <c r="Y83">
        <v>0</v>
      </c>
      <c r="Z83">
        <v>0</v>
      </c>
      <c r="AA83" t="s">
        <v>60</v>
      </c>
      <c r="AB83">
        <v>0</v>
      </c>
      <c r="AC83">
        <v>0</v>
      </c>
      <c r="AD83">
        <v>0</v>
      </c>
      <c r="AE83">
        <v>0</v>
      </c>
      <c r="AF83" t="s">
        <v>60</v>
      </c>
      <c r="AG83">
        <v>0</v>
      </c>
      <c r="AH83">
        <v>0</v>
      </c>
      <c r="AI83">
        <v>0</v>
      </c>
      <c r="AJ83">
        <v>0</v>
      </c>
      <c r="AK83" t="b">
        <v>0</v>
      </c>
      <c r="AL83" t="s">
        <v>58</v>
      </c>
      <c r="AM83" t="s">
        <v>58</v>
      </c>
      <c r="AN83" t="s">
        <v>71</v>
      </c>
      <c r="AO83">
        <v>14</v>
      </c>
      <c r="AP83">
        <v>2</v>
      </c>
      <c r="AQ83">
        <v>13</v>
      </c>
      <c r="AR83">
        <v>11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s">
        <v>61</v>
      </c>
      <c r="BA83" t="s">
        <v>57</v>
      </c>
      <c r="BC83" t="s">
        <v>58</v>
      </c>
      <c r="BD83" t="s">
        <v>58</v>
      </c>
      <c r="BE83">
        <v>5</v>
      </c>
    </row>
    <row r="84" spans="1:57" x14ac:dyDescent="0.25">
      <c r="A84" t="s">
        <v>255</v>
      </c>
      <c r="B84">
        <v>239</v>
      </c>
      <c r="C84">
        <v>0</v>
      </c>
      <c r="D84">
        <v>0</v>
      </c>
      <c r="E84">
        <v>0</v>
      </c>
      <c r="F84" t="s">
        <v>173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174</v>
      </c>
      <c r="N84">
        <v>-1</v>
      </c>
      <c r="O84">
        <v>0</v>
      </c>
      <c r="P84">
        <v>-1</v>
      </c>
      <c r="Q84">
        <v>0</v>
      </c>
      <c r="R84" t="s">
        <v>70</v>
      </c>
      <c r="S84">
        <v>0</v>
      </c>
      <c r="T84">
        <v>0</v>
      </c>
      <c r="U84">
        <v>975</v>
      </c>
      <c r="V84" t="s">
        <v>57</v>
      </c>
      <c r="W84">
        <v>0</v>
      </c>
      <c r="X84">
        <v>0</v>
      </c>
      <c r="Y84">
        <v>0</v>
      </c>
      <c r="Z84">
        <v>0</v>
      </c>
      <c r="AA84" t="s">
        <v>67</v>
      </c>
      <c r="AB84">
        <v>0</v>
      </c>
      <c r="AC84">
        <v>0</v>
      </c>
      <c r="AD84">
        <v>0</v>
      </c>
      <c r="AE84">
        <v>0</v>
      </c>
      <c r="AF84" t="s">
        <v>60</v>
      </c>
      <c r="AG84">
        <v>0</v>
      </c>
      <c r="AH84">
        <v>0</v>
      </c>
      <c r="AI84">
        <v>0</v>
      </c>
      <c r="AJ84">
        <v>0</v>
      </c>
      <c r="AK84" t="b">
        <v>0</v>
      </c>
      <c r="AL84" t="s">
        <v>58</v>
      </c>
      <c r="AM84" t="s">
        <v>58</v>
      </c>
      <c r="AN84" t="s">
        <v>71</v>
      </c>
      <c r="AO84">
        <v>14</v>
      </c>
      <c r="AP84">
        <v>5</v>
      </c>
      <c r="AQ84">
        <v>8</v>
      </c>
      <c r="AR84">
        <v>11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s">
        <v>61</v>
      </c>
      <c r="BA84" t="s">
        <v>57</v>
      </c>
      <c r="BC84" t="s">
        <v>58</v>
      </c>
      <c r="BD84" t="s">
        <v>58</v>
      </c>
      <c r="BE84">
        <v>5</v>
      </c>
    </row>
    <row r="85" spans="1:57" x14ac:dyDescent="0.25">
      <c r="A85" t="s">
        <v>256</v>
      </c>
      <c r="B85">
        <v>204</v>
      </c>
      <c r="C85">
        <v>0</v>
      </c>
      <c r="D85">
        <v>0</v>
      </c>
      <c r="E85">
        <v>0</v>
      </c>
      <c r="F85" t="s">
        <v>143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153</v>
      </c>
      <c r="N85">
        <v>-1</v>
      </c>
      <c r="O85">
        <v>0</v>
      </c>
      <c r="P85">
        <v>-1</v>
      </c>
      <c r="Q85">
        <v>0</v>
      </c>
      <c r="R85" t="s">
        <v>70</v>
      </c>
      <c r="S85">
        <v>0</v>
      </c>
      <c r="T85">
        <v>0</v>
      </c>
      <c r="U85">
        <v>1220</v>
      </c>
      <c r="V85" t="s">
        <v>57</v>
      </c>
      <c r="W85">
        <v>0</v>
      </c>
      <c r="X85">
        <v>0</v>
      </c>
      <c r="Y85">
        <v>0</v>
      </c>
      <c r="Z85">
        <v>0</v>
      </c>
      <c r="AA85" t="s">
        <v>68</v>
      </c>
      <c r="AB85">
        <v>0</v>
      </c>
      <c r="AC85">
        <v>0</v>
      </c>
      <c r="AD85">
        <v>0</v>
      </c>
      <c r="AE85">
        <v>0</v>
      </c>
      <c r="AF85" t="s">
        <v>68</v>
      </c>
      <c r="AG85">
        <v>0</v>
      </c>
      <c r="AH85">
        <v>0</v>
      </c>
      <c r="AI85">
        <v>0</v>
      </c>
      <c r="AJ85">
        <v>0</v>
      </c>
      <c r="AK85" t="b">
        <v>0</v>
      </c>
      <c r="AL85" t="s">
        <v>58</v>
      </c>
      <c r="AM85" t="s">
        <v>58</v>
      </c>
      <c r="AN85" t="s">
        <v>71</v>
      </c>
      <c r="AO85">
        <v>14</v>
      </c>
      <c r="AP85">
        <v>5</v>
      </c>
      <c r="AQ85">
        <v>13</v>
      </c>
      <c r="AR85">
        <v>11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s">
        <v>61</v>
      </c>
      <c r="BA85" t="s">
        <v>57</v>
      </c>
      <c r="BC85" t="s">
        <v>58</v>
      </c>
      <c r="BD85" t="s">
        <v>58</v>
      </c>
      <c r="BE85">
        <v>5</v>
      </c>
    </row>
    <row r="86" spans="1:57" x14ac:dyDescent="0.25">
      <c r="A86" t="s">
        <v>257</v>
      </c>
      <c r="B86">
        <v>131</v>
      </c>
      <c r="C86">
        <v>0</v>
      </c>
      <c r="D86">
        <v>0</v>
      </c>
      <c r="E86">
        <v>0</v>
      </c>
      <c r="F86" t="s">
        <v>163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171</v>
      </c>
      <c r="N86">
        <v>-1</v>
      </c>
      <c r="O86">
        <v>0</v>
      </c>
      <c r="P86">
        <v>-1</v>
      </c>
      <c r="Q86">
        <v>0</v>
      </c>
      <c r="R86" t="s">
        <v>70</v>
      </c>
      <c r="S86">
        <v>0</v>
      </c>
      <c r="T86">
        <v>0</v>
      </c>
      <c r="U86">
        <v>780</v>
      </c>
      <c r="V86" t="s">
        <v>57</v>
      </c>
      <c r="W86">
        <v>0</v>
      </c>
      <c r="X86">
        <v>0</v>
      </c>
      <c r="Y86">
        <v>0</v>
      </c>
      <c r="Z86">
        <v>0</v>
      </c>
      <c r="AA86" t="s">
        <v>67</v>
      </c>
      <c r="AB86">
        <v>0</v>
      </c>
      <c r="AC86">
        <v>0</v>
      </c>
      <c r="AD86">
        <v>0</v>
      </c>
      <c r="AE86">
        <v>0</v>
      </c>
      <c r="AF86" t="s">
        <v>60</v>
      </c>
      <c r="AG86">
        <v>0</v>
      </c>
      <c r="AH86">
        <v>0</v>
      </c>
      <c r="AI86">
        <v>0</v>
      </c>
      <c r="AJ86">
        <v>0</v>
      </c>
      <c r="AK86" t="b">
        <v>0</v>
      </c>
      <c r="AL86" t="s">
        <v>58</v>
      </c>
      <c r="AM86" t="s">
        <v>58</v>
      </c>
      <c r="AN86" t="s">
        <v>71</v>
      </c>
      <c r="AO86">
        <v>14</v>
      </c>
      <c r="AP86">
        <v>6</v>
      </c>
      <c r="AQ86">
        <v>3</v>
      </c>
      <c r="AR86">
        <v>11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s">
        <v>61</v>
      </c>
      <c r="BA86" t="s">
        <v>57</v>
      </c>
      <c r="BC86" t="s">
        <v>58</v>
      </c>
      <c r="BD86" t="s">
        <v>58</v>
      </c>
      <c r="BE86">
        <v>5</v>
      </c>
    </row>
    <row r="87" spans="1:57" x14ac:dyDescent="0.25">
      <c r="A87" t="s">
        <v>258</v>
      </c>
      <c r="B87">
        <v>298</v>
      </c>
      <c r="C87">
        <v>0</v>
      </c>
      <c r="D87">
        <v>0</v>
      </c>
      <c r="E87">
        <v>0</v>
      </c>
      <c r="F87" t="s">
        <v>155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162</v>
      </c>
      <c r="N87">
        <v>-1</v>
      </c>
      <c r="O87">
        <v>0</v>
      </c>
      <c r="P87">
        <v>-1</v>
      </c>
      <c r="Q87">
        <v>0</v>
      </c>
      <c r="R87" t="s">
        <v>70</v>
      </c>
      <c r="S87">
        <v>0</v>
      </c>
      <c r="T87">
        <v>0</v>
      </c>
      <c r="U87">
        <v>780</v>
      </c>
      <c r="V87" t="s">
        <v>57</v>
      </c>
      <c r="W87">
        <v>0</v>
      </c>
      <c r="X87">
        <v>0</v>
      </c>
      <c r="Y87">
        <v>0</v>
      </c>
      <c r="Z87">
        <v>0</v>
      </c>
      <c r="AA87" t="s">
        <v>67</v>
      </c>
      <c r="AB87">
        <v>0</v>
      </c>
      <c r="AC87">
        <v>0</v>
      </c>
      <c r="AD87">
        <v>0</v>
      </c>
      <c r="AE87">
        <v>0</v>
      </c>
      <c r="AF87" t="s">
        <v>60</v>
      </c>
      <c r="AG87">
        <v>0</v>
      </c>
      <c r="AH87">
        <v>0</v>
      </c>
      <c r="AI87">
        <v>0</v>
      </c>
      <c r="AJ87">
        <v>0</v>
      </c>
      <c r="AK87" t="b">
        <v>0</v>
      </c>
      <c r="AL87" t="s">
        <v>58</v>
      </c>
      <c r="AM87" t="s">
        <v>58</v>
      </c>
      <c r="AN87" t="s">
        <v>71</v>
      </c>
      <c r="AO87">
        <v>14</v>
      </c>
      <c r="AP87">
        <v>6</v>
      </c>
      <c r="AQ87">
        <v>4</v>
      </c>
      <c r="AR87">
        <v>11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s">
        <v>61</v>
      </c>
      <c r="BA87" t="s">
        <v>57</v>
      </c>
      <c r="BC87" t="s">
        <v>58</v>
      </c>
      <c r="BD87" t="s">
        <v>58</v>
      </c>
      <c r="BE87">
        <v>5</v>
      </c>
    </row>
    <row r="88" spans="1:57" x14ac:dyDescent="0.25">
      <c r="A88" t="s">
        <v>259</v>
      </c>
      <c r="B88">
        <v>248</v>
      </c>
      <c r="C88">
        <v>0</v>
      </c>
      <c r="D88">
        <v>0</v>
      </c>
      <c r="E88">
        <v>0</v>
      </c>
      <c r="F88" t="s">
        <v>160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168</v>
      </c>
      <c r="N88">
        <v>-1</v>
      </c>
      <c r="O88">
        <v>0</v>
      </c>
      <c r="P88">
        <v>-1</v>
      </c>
      <c r="Q88">
        <v>0</v>
      </c>
      <c r="R88" t="s">
        <v>70</v>
      </c>
      <c r="S88">
        <v>0</v>
      </c>
      <c r="T88">
        <v>0</v>
      </c>
      <c r="U88">
        <v>975</v>
      </c>
      <c r="V88" t="s">
        <v>57</v>
      </c>
      <c r="W88">
        <v>0</v>
      </c>
      <c r="X88">
        <v>0</v>
      </c>
      <c r="Y88">
        <v>0</v>
      </c>
      <c r="Z88">
        <v>0</v>
      </c>
      <c r="AA88" t="s">
        <v>67</v>
      </c>
      <c r="AB88">
        <v>0</v>
      </c>
      <c r="AC88">
        <v>0</v>
      </c>
      <c r="AD88">
        <v>0</v>
      </c>
      <c r="AE88">
        <v>0</v>
      </c>
      <c r="AF88" t="s">
        <v>60</v>
      </c>
      <c r="AG88">
        <v>0</v>
      </c>
      <c r="AH88">
        <v>0</v>
      </c>
      <c r="AI88">
        <v>0</v>
      </c>
      <c r="AJ88">
        <v>0</v>
      </c>
      <c r="AK88" t="b">
        <v>0</v>
      </c>
      <c r="AL88" t="s">
        <v>58</v>
      </c>
      <c r="AM88" t="s">
        <v>58</v>
      </c>
      <c r="AN88" t="s">
        <v>71</v>
      </c>
      <c r="AO88">
        <v>14</v>
      </c>
      <c r="AP88">
        <v>7</v>
      </c>
      <c r="AQ88">
        <v>11</v>
      </c>
      <c r="AR88">
        <v>11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s">
        <v>61</v>
      </c>
      <c r="BA88" t="s">
        <v>57</v>
      </c>
      <c r="BC88" t="s">
        <v>58</v>
      </c>
      <c r="BD88" t="s">
        <v>58</v>
      </c>
      <c r="BE88">
        <v>5</v>
      </c>
    </row>
    <row r="89" spans="1:57" x14ac:dyDescent="0.25">
      <c r="A89" t="s">
        <v>260</v>
      </c>
      <c r="B89">
        <v>229</v>
      </c>
      <c r="C89">
        <v>0</v>
      </c>
      <c r="D89">
        <v>0</v>
      </c>
      <c r="E89">
        <v>0</v>
      </c>
      <c r="F89" t="s">
        <v>158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151</v>
      </c>
      <c r="N89">
        <v>-1</v>
      </c>
      <c r="O89">
        <v>0</v>
      </c>
      <c r="P89">
        <v>-1</v>
      </c>
      <c r="Q89">
        <v>0</v>
      </c>
      <c r="R89" t="s">
        <v>70</v>
      </c>
      <c r="S89">
        <v>0</v>
      </c>
      <c r="T89">
        <v>0</v>
      </c>
      <c r="U89">
        <v>965</v>
      </c>
      <c r="V89" t="s">
        <v>57</v>
      </c>
      <c r="W89">
        <v>0</v>
      </c>
      <c r="X89">
        <v>0</v>
      </c>
      <c r="Y89">
        <v>0</v>
      </c>
      <c r="Z89">
        <v>0</v>
      </c>
      <c r="AA89" t="s">
        <v>67</v>
      </c>
      <c r="AB89">
        <v>0</v>
      </c>
      <c r="AC89">
        <v>0</v>
      </c>
      <c r="AD89">
        <v>0</v>
      </c>
      <c r="AE89">
        <v>0</v>
      </c>
      <c r="AF89" t="s">
        <v>60</v>
      </c>
      <c r="AG89">
        <v>0</v>
      </c>
      <c r="AH89">
        <v>0</v>
      </c>
      <c r="AI89">
        <v>0</v>
      </c>
      <c r="AJ89">
        <v>0</v>
      </c>
      <c r="AK89" t="b">
        <v>0</v>
      </c>
      <c r="AL89" t="s">
        <v>58</v>
      </c>
      <c r="AM89" t="s">
        <v>58</v>
      </c>
      <c r="AN89" t="s">
        <v>71</v>
      </c>
      <c r="AO89">
        <v>14</v>
      </c>
      <c r="AP89">
        <v>10</v>
      </c>
      <c r="AQ89">
        <v>9</v>
      </c>
      <c r="AR89">
        <v>11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s">
        <v>61</v>
      </c>
      <c r="BA89" t="s">
        <v>57</v>
      </c>
      <c r="BC89" t="s">
        <v>58</v>
      </c>
      <c r="BD89" t="s">
        <v>58</v>
      </c>
      <c r="BE89">
        <v>5</v>
      </c>
    </row>
    <row r="90" spans="1:57" x14ac:dyDescent="0.25">
      <c r="A90" t="s">
        <v>261</v>
      </c>
      <c r="B90">
        <v>283</v>
      </c>
      <c r="C90">
        <v>0</v>
      </c>
      <c r="D90">
        <v>0</v>
      </c>
      <c r="E90">
        <v>0</v>
      </c>
      <c r="F90" t="s">
        <v>149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172</v>
      </c>
      <c r="N90">
        <v>-1</v>
      </c>
      <c r="O90">
        <v>0</v>
      </c>
      <c r="P90">
        <v>-1</v>
      </c>
      <c r="Q90">
        <v>0</v>
      </c>
      <c r="R90" t="s">
        <v>70</v>
      </c>
      <c r="S90">
        <v>0</v>
      </c>
      <c r="T90">
        <v>0</v>
      </c>
      <c r="U90">
        <v>750</v>
      </c>
      <c r="V90" t="s">
        <v>57</v>
      </c>
      <c r="W90">
        <v>0</v>
      </c>
      <c r="X90">
        <v>0</v>
      </c>
      <c r="Y90">
        <v>0</v>
      </c>
      <c r="Z90">
        <v>0</v>
      </c>
      <c r="AA90" t="s">
        <v>67</v>
      </c>
      <c r="AB90">
        <v>0</v>
      </c>
      <c r="AC90">
        <v>0</v>
      </c>
      <c r="AD90">
        <v>0</v>
      </c>
      <c r="AE90">
        <v>0</v>
      </c>
      <c r="AF90" t="s">
        <v>68</v>
      </c>
      <c r="AG90">
        <v>0</v>
      </c>
      <c r="AH90">
        <v>0</v>
      </c>
      <c r="AI90">
        <v>0</v>
      </c>
      <c r="AJ90">
        <v>0</v>
      </c>
      <c r="AK90" t="b">
        <v>0</v>
      </c>
      <c r="AL90" t="s">
        <v>58</v>
      </c>
      <c r="AM90" t="s">
        <v>58</v>
      </c>
      <c r="AN90" t="s">
        <v>71</v>
      </c>
      <c r="AO90">
        <v>14</v>
      </c>
      <c r="AP90">
        <v>11</v>
      </c>
      <c r="AQ90">
        <v>12</v>
      </c>
      <c r="AR90">
        <v>11</v>
      </c>
      <c r="AS90" t="b">
        <v>1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s">
        <v>61</v>
      </c>
      <c r="BA90" t="s">
        <v>57</v>
      </c>
      <c r="BC90" t="s">
        <v>58</v>
      </c>
      <c r="BD90" t="s">
        <v>58</v>
      </c>
      <c r="BE90">
        <v>5</v>
      </c>
    </row>
    <row r="91" spans="1:57" x14ac:dyDescent="0.25">
      <c r="A91" t="s">
        <v>262</v>
      </c>
      <c r="B91">
        <v>297</v>
      </c>
      <c r="C91">
        <v>0</v>
      </c>
      <c r="D91">
        <v>0</v>
      </c>
      <c r="E91">
        <v>0</v>
      </c>
      <c r="F91" t="s">
        <v>150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167</v>
      </c>
      <c r="N91">
        <v>-1</v>
      </c>
      <c r="O91">
        <v>0</v>
      </c>
      <c r="P91">
        <v>-1</v>
      </c>
      <c r="Q91">
        <v>0</v>
      </c>
      <c r="R91" t="s">
        <v>70</v>
      </c>
      <c r="S91">
        <v>0</v>
      </c>
      <c r="T91">
        <v>0</v>
      </c>
      <c r="U91">
        <v>965</v>
      </c>
      <c r="V91" t="s">
        <v>57</v>
      </c>
      <c r="W91">
        <v>0</v>
      </c>
      <c r="X91">
        <v>0</v>
      </c>
      <c r="Y91">
        <v>0</v>
      </c>
      <c r="Z91">
        <v>0</v>
      </c>
      <c r="AA91" t="s">
        <v>67</v>
      </c>
      <c r="AB91">
        <v>0</v>
      </c>
      <c r="AC91">
        <v>0</v>
      </c>
      <c r="AD91">
        <v>0</v>
      </c>
      <c r="AE91">
        <v>0</v>
      </c>
      <c r="AF91" t="s">
        <v>60</v>
      </c>
      <c r="AG91">
        <v>0</v>
      </c>
      <c r="AH91">
        <v>0</v>
      </c>
      <c r="AI91">
        <v>0</v>
      </c>
      <c r="AJ91">
        <v>0</v>
      </c>
      <c r="AK91" t="b">
        <v>0</v>
      </c>
      <c r="AL91" t="s">
        <v>58</v>
      </c>
      <c r="AM91" t="s">
        <v>58</v>
      </c>
      <c r="AN91" t="s">
        <v>71</v>
      </c>
      <c r="AO91">
        <v>14</v>
      </c>
      <c r="AP91">
        <v>13</v>
      </c>
      <c r="AQ91">
        <v>7</v>
      </c>
      <c r="AR91">
        <v>11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s">
        <v>61</v>
      </c>
      <c r="BA91" t="s">
        <v>57</v>
      </c>
      <c r="BC91" t="s">
        <v>58</v>
      </c>
      <c r="BD91" t="s">
        <v>58</v>
      </c>
      <c r="BE91">
        <v>5</v>
      </c>
    </row>
    <row r="92" spans="1:57" x14ac:dyDescent="0.25">
      <c r="A92" t="s">
        <v>263</v>
      </c>
      <c r="B92">
        <v>107</v>
      </c>
      <c r="C92">
        <v>0</v>
      </c>
      <c r="D92">
        <v>0</v>
      </c>
      <c r="E92">
        <v>0</v>
      </c>
      <c r="F92" t="s">
        <v>161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157</v>
      </c>
      <c r="N92">
        <v>-1</v>
      </c>
      <c r="O92">
        <v>0</v>
      </c>
      <c r="P92">
        <v>-1</v>
      </c>
      <c r="Q92">
        <v>0</v>
      </c>
      <c r="R92" t="s">
        <v>70</v>
      </c>
      <c r="S92">
        <v>0</v>
      </c>
      <c r="T92">
        <v>0</v>
      </c>
      <c r="U92">
        <v>780</v>
      </c>
      <c r="V92" t="s">
        <v>57</v>
      </c>
      <c r="W92">
        <v>0</v>
      </c>
      <c r="X92">
        <v>0</v>
      </c>
      <c r="Y92">
        <v>0</v>
      </c>
      <c r="Z92">
        <v>0</v>
      </c>
      <c r="AA92" t="s">
        <v>67</v>
      </c>
      <c r="AB92">
        <v>0</v>
      </c>
      <c r="AC92">
        <v>0</v>
      </c>
      <c r="AD92">
        <v>0</v>
      </c>
      <c r="AE92">
        <v>0</v>
      </c>
      <c r="AF92" t="s">
        <v>60</v>
      </c>
      <c r="AG92">
        <v>0</v>
      </c>
      <c r="AH92">
        <v>0</v>
      </c>
      <c r="AI92">
        <v>0</v>
      </c>
      <c r="AJ92">
        <v>0</v>
      </c>
      <c r="AK92" t="b">
        <v>0</v>
      </c>
      <c r="AL92" t="s">
        <v>58</v>
      </c>
      <c r="AM92" t="s">
        <v>58</v>
      </c>
      <c r="AN92" t="s">
        <v>71</v>
      </c>
      <c r="AO92">
        <v>14</v>
      </c>
      <c r="AP92">
        <v>14</v>
      </c>
      <c r="AQ92">
        <v>1</v>
      </c>
      <c r="AR92">
        <v>11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s">
        <v>61</v>
      </c>
      <c r="BA92" t="s">
        <v>57</v>
      </c>
      <c r="BC92" t="s">
        <v>58</v>
      </c>
      <c r="BD92" t="s">
        <v>58</v>
      </c>
      <c r="BE92">
        <v>5</v>
      </c>
    </row>
    <row r="93" spans="1:57" x14ac:dyDescent="0.25">
      <c r="A93" t="s">
        <v>264</v>
      </c>
      <c r="B93">
        <v>88</v>
      </c>
      <c r="C93">
        <v>0</v>
      </c>
      <c r="D93">
        <v>0</v>
      </c>
      <c r="E93">
        <v>0</v>
      </c>
      <c r="F93" t="s">
        <v>146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145</v>
      </c>
      <c r="N93">
        <v>-1</v>
      </c>
      <c r="O93">
        <v>0</v>
      </c>
      <c r="P93">
        <v>-1</v>
      </c>
      <c r="Q93">
        <v>0</v>
      </c>
      <c r="R93" t="s">
        <v>70</v>
      </c>
      <c r="S93">
        <v>0</v>
      </c>
      <c r="T93">
        <v>0</v>
      </c>
      <c r="U93">
        <v>1220</v>
      </c>
      <c r="V93" t="s">
        <v>57</v>
      </c>
      <c r="W93">
        <v>0</v>
      </c>
      <c r="X93">
        <v>0</v>
      </c>
      <c r="Y93">
        <v>0</v>
      </c>
      <c r="Z93">
        <v>0</v>
      </c>
      <c r="AA93" t="s">
        <v>60</v>
      </c>
      <c r="AB93">
        <v>0</v>
      </c>
      <c r="AC93">
        <v>0</v>
      </c>
      <c r="AD93">
        <v>0</v>
      </c>
      <c r="AE93">
        <v>0</v>
      </c>
      <c r="AF93" t="s">
        <v>60</v>
      </c>
      <c r="AG93">
        <v>0</v>
      </c>
      <c r="AH93">
        <v>0</v>
      </c>
      <c r="AI93">
        <v>0</v>
      </c>
      <c r="AJ93">
        <v>0</v>
      </c>
      <c r="AK93" t="b">
        <v>0</v>
      </c>
      <c r="AL93" t="s">
        <v>58</v>
      </c>
      <c r="AM93" t="s">
        <v>58</v>
      </c>
      <c r="AN93" t="s">
        <v>71</v>
      </c>
      <c r="AO93">
        <v>14</v>
      </c>
      <c r="AP93">
        <v>15</v>
      </c>
      <c r="AQ93">
        <v>13</v>
      </c>
      <c r="AR93">
        <v>11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s">
        <v>61</v>
      </c>
      <c r="BA93" t="s">
        <v>57</v>
      </c>
      <c r="BC93" t="s">
        <v>58</v>
      </c>
      <c r="BD93" t="s">
        <v>58</v>
      </c>
      <c r="BE93">
        <v>5</v>
      </c>
    </row>
    <row r="94" spans="1:57" x14ac:dyDescent="0.25">
      <c r="A94" t="s">
        <v>265</v>
      </c>
      <c r="B94">
        <v>143</v>
      </c>
      <c r="C94">
        <v>0</v>
      </c>
      <c r="D94">
        <v>0</v>
      </c>
      <c r="E94">
        <v>0</v>
      </c>
      <c r="F94" t="s">
        <v>170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144</v>
      </c>
      <c r="N94">
        <v>-1</v>
      </c>
      <c r="O94">
        <v>0</v>
      </c>
      <c r="P94">
        <v>-1</v>
      </c>
      <c r="Q94">
        <v>0</v>
      </c>
      <c r="R94" t="s">
        <v>70</v>
      </c>
      <c r="S94">
        <v>0</v>
      </c>
      <c r="T94">
        <v>0</v>
      </c>
      <c r="U94">
        <v>780</v>
      </c>
      <c r="V94" t="s">
        <v>57</v>
      </c>
      <c r="W94">
        <v>0</v>
      </c>
      <c r="X94">
        <v>0</v>
      </c>
      <c r="Y94">
        <v>0</v>
      </c>
      <c r="Z94">
        <v>0</v>
      </c>
      <c r="AA94" t="s">
        <v>67</v>
      </c>
      <c r="AB94">
        <v>0</v>
      </c>
      <c r="AC94">
        <v>0</v>
      </c>
      <c r="AD94">
        <v>0</v>
      </c>
      <c r="AE94">
        <v>0</v>
      </c>
      <c r="AF94" t="s">
        <v>60</v>
      </c>
      <c r="AG94">
        <v>0</v>
      </c>
      <c r="AH94">
        <v>0</v>
      </c>
      <c r="AI94">
        <v>0</v>
      </c>
      <c r="AJ94">
        <v>0</v>
      </c>
      <c r="AK94" t="b">
        <v>0</v>
      </c>
      <c r="AL94" t="s">
        <v>58</v>
      </c>
      <c r="AM94" t="s">
        <v>58</v>
      </c>
      <c r="AN94" t="s">
        <v>71</v>
      </c>
      <c r="AO94">
        <v>14</v>
      </c>
      <c r="AP94">
        <v>16</v>
      </c>
      <c r="AQ94">
        <v>5</v>
      </c>
      <c r="AR94">
        <v>11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s">
        <v>61</v>
      </c>
      <c r="BA94" t="s">
        <v>57</v>
      </c>
      <c r="BC94" t="s">
        <v>58</v>
      </c>
      <c r="BD94" t="s">
        <v>58</v>
      </c>
      <c r="BE94">
        <v>5</v>
      </c>
    </row>
    <row r="95" spans="1:57" x14ac:dyDescent="0.25">
      <c r="A95" t="s">
        <v>266</v>
      </c>
      <c r="B95">
        <v>155</v>
      </c>
      <c r="C95">
        <v>0</v>
      </c>
      <c r="D95">
        <v>0</v>
      </c>
      <c r="E95">
        <v>0</v>
      </c>
      <c r="F95" t="s">
        <v>156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147</v>
      </c>
      <c r="N95">
        <v>-1</v>
      </c>
      <c r="O95">
        <v>0</v>
      </c>
      <c r="P95">
        <v>-1</v>
      </c>
      <c r="Q95">
        <v>0</v>
      </c>
      <c r="R95" t="s">
        <v>70</v>
      </c>
      <c r="S95">
        <v>0</v>
      </c>
      <c r="T95">
        <v>0</v>
      </c>
      <c r="U95">
        <v>780</v>
      </c>
      <c r="V95" t="s">
        <v>57</v>
      </c>
      <c r="W95">
        <v>0</v>
      </c>
      <c r="X95">
        <v>0</v>
      </c>
      <c r="Y95">
        <v>0</v>
      </c>
      <c r="Z95">
        <v>0</v>
      </c>
      <c r="AA95" t="s">
        <v>67</v>
      </c>
      <c r="AB95">
        <v>0</v>
      </c>
      <c r="AC95">
        <v>0</v>
      </c>
      <c r="AD95">
        <v>0</v>
      </c>
      <c r="AE95">
        <v>0</v>
      </c>
      <c r="AF95" t="s">
        <v>60</v>
      </c>
      <c r="AG95">
        <v>0</v>
      </c>
      <c r="AH95">
        <v>0</v>
      </c>
      <c r="AI95">
        <v>0</v>
      </c>
      <c r="AJ95">
        <v>0</v>
      </c>
      <c r="AK95" t="b">
        <v>0</v>
      </c>
      <c r="AL95" t="s">
        <v>58</v>
      </c>
      <c r="AM95" t="s">
        <v>58</v>
      </c>
      <c r="AN95" t="s">
        <v>71</v>
      </c>
      <c r="AO95">
        <v>14</v>
      </c>
      <c r="AP95">
        <v>16</v>
      </c>
      <c r="AQ95">
        <v>6</v>
      </c>
      <c r="AR95">
        <v>11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s">
        <v>61</v>
      </c>
      <c r="BA95" t="s">
        <v>57</v>
      </c>
      <c r="BC95" t="s">
        <v>58</v>
      </c>
      <c r="BD95" t="s">
        <v>58</v>
      </c>
      <c r="BE95">
        <v>5</v>
      </c>
    </row>
    <row r="96" spans="1:57" x14ac:dyDescent="0.25">
      <c r="A96" t="s">
        <v>267</v>
      </c>
      <c r="B96">
        <v>64</v>
      </c>
      <c r="C96">
        <v>0</v>
      </c>
      <c r="D96">
        <v>0</v>
      </c>
      <c r="E96">
        <v>0</v>
      </c>
      <c r="F96" t="s">
        <v>172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160</v>
      </c>
      <c r="N96">
        <v>-1</v>
      </c>
      <c r="O96">
        <v>0</v>
      </c>
      <c r="P96">
        <v>-1</v>
      </c>
      <c r="Q96">
        <v>0</v>
      </c>
      <c r="R96" t="s">
        <v>70</v>
      </c>
      <c r="S96">
        <v>0</v>
      </c>
      <c r="T96">
        <v>0</v>
      </c>
      <c r="U96">
        <v>780</v>
      </c>
      <c r="V96" t="s">
        <v>57</v>
      </c>
      <c r="W96">
        <v>0</v>
      </c>
      <c r="X96">
        <v>0</v>
      </c>
      <c r="Y96">
        <v>0</v>
      </c>
      <c r="Z96">
        <v>0</v>
      </c>
      <c r="AA96" t="s">
        <v>67</v>
      </c>
      <c r="AB96">
        <v>0</v>
      </c>
      <c r="AC96">
        <v>0</v>
      </c>
      <c r="AD96">
        <v>0</v>
      </c>
      <c r="AE96">
        <v>0</v>
      </c>
      <c r="AF96" t="s">
        <v>60</v>
      </c>
      <c r="AG96">
        <v>0</v>
      </c>
      <c r="AH96">
        <v>0</v>
      </c>
      <c r="AI96">
        <v>0</v>
      </c>
      <c r="AJ96">
        <v>0</v>
      </c>
      <c r="AK96" t="b">
        <v>0</v>
      </c>
      <c r="AL96" t="s">
        <v>58</v>
      </c>
      <c r="AM96" t="s">
        <v>58</v>
      </c>
      <c r="AN96" t="s">
        <v>71</v>
      </c>
      <c r="AO96">
        <v>14</v>
      </c>
      <c r="AP96">
        <v>3</v>
      </c>
      <c r="AQ96">
        <v>0</v>
      </c>
      <c r="AR96">
        <v>11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s">
        <v>61</v>
      </c>
      <c r="BA96" t="s">
        <v>57</v>
      </c>
      <c r="BC96" t="s">
        <v>58</v>
      </c>
      <c r="BD96" t="s">
        <v>58</v>
      </c>
      <c r="BE96">
        <v>6</v>
      </c>
    </row>
    <row r="97" spans="1:57" x14ac:dyDescent="0.25">
      <c r="A97" t="s">
        <v>268</v>
      </c>
      <c r="B97">
        <v>189</v>
      </c>
      <c r="C97">
        <v>0</v>
      </c>
      <c r="D97">
        <v>0</v>
      </c>
      <c r="E97">
        <v>0</v>
      </c>
      <c r="F97" t="s">
        <v>147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158</v>
      </c>
      <c r="N97">
        <v>-1</v>
      </c>
      <c r="O97">
        <v>0</v>
      </c>
      <c r="P97">
        <v>-1</v>
      </c>
      <c r="Q97">
        <v>0</v>
      </c>
      <c r="R97" t="s">
        <v>70</v>
      </c>
      <c r="S97">
        <v>0</v>
      </c>
      <c r="T97">
        <v>0</v>
      </c>
      <c r="U97">
        <v>1220</v>
      </c>
      <c r="V97" t="s">
        <v>57</v>
      </c>
      <c r="W97">
        <v>0</v>
      </c>
      <c r="X97">
        <v>0</v>
      </c>
      <c r="Y97">
        <v>0</v>
      </c>
      <c r="Z97">
        <v>0</v>
      </c>
      <c r="AA97" t="s">
        <v>68</v>
      </c>
      <c r="AB97">
        <v>0</v>
      </c>
      <c r="AC97">
        <v>0</v>
      </c>
      <c r="AD97">
        <v>0</v>
      </c>
      <c r="AE97">
        <v>0</v>
      </c>
      <c r="AF97" t="s">
        <v>68</v>
      </c>
      <c r="AG97">
        <v>0</v>
      </c>
      <c r="AH97">
        <v>0</v>
      </c>
      <c r="AI97">
        <v>0</v>
      </c>
      <c r="AJ97">
        <v>0</v>
      </c>
      <c r="AK97" t="b">
        <v>0</v>
      </c>
      <c r="AL97" t="s">
        <v>58</v>
      </c>
      <c r="AM97" t="s">
        <v>58</v>
      </c>
      <c r="AN97" t="s">
        <v>71</v>
      </c>
      <c r="AO97">
        <v>14</v>
      </c>
      <c r="AP97">
        <v>3</v>
      </c>
      <c r="AQ97">
        <v>15</v>
      </c>
      <c r="AR97">
        <v>11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s">
        <v>61</v>
      </c>
      <c r="BA97" t="s">
        <v>57</v>
      </c>
      <c r="BC97" t="s">
        <v>58</v>
      </c>
      <c r="BD97" t="s">
        <v>58</v>
      </c>
      <c r="BE97">
        <v>6</v>
      </c>
    </row>
    <row r="98" spans="1:57" x14ac:dyDescent="0.25">
      <c r="A98" t="s">
        <v>269</v>
      </c>
      <c r="B98">
        <v>241</v>
      </c>
      <c r="C98">
        <v>0</v>
      </c>
      <c r="D98">
        <v>0</v>
      </c>
      <c r="E98">
        <v>0</v>
      </c>
      <c r="F98" t="s">
        <v>152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148</v>
      </c>
      <c r="N98">
        <v>-1</v>
      </c>
      <c r="O98">
        <v>0</v>
      </c>
      <c r="P98">
        <v>-1</v>
      </c>
      <c r="Q98">
        <v>0</v>
      </c>
      <c r="R98" t="s">
        <v>70</v>
      </c>
      <c r="S98">
        <v>0</v>
      </c>
      <c r="T98">
        <v>0</v>
      </c>
      <c r="U98">
        <v>780</v>
      </c>
      <c r="V98" t="s">
        <v>57</v>
      </c>
      <c r="W98">
        <v>0</v>
      </c>
      <c r="X98">
        <v>0</v>
      </c>
      <c r="Y98">
        <v>0</v>
      </c>
      <c r="Z98">
        <v>0</v>
      </c>
      <c r="AA98" t="s">
        <v>67</v>
      </c>
      <c r="AB98">
        <v>0</v>
      </c>
      <c r="AC98">
        <v>0</v>
      </c>
      <c r="AD98">
        <v>0</v>
      </c>
      <c r="AE98">
        <v>0</v>
      </c>
      <c r="AF98" t="s">
        <v>60</v>
      </c>
      <c r="AG98">
        <v>0</v>
      </c>
      <c r="AH98">
        <v>0</v>
      </c>
      <c r="AI98">
        <v>0</v>
      </c>
      <c r="AJ98">
        <v>0</v>
      </c>
      <c r="AK98" t="b">
        <v>0</v>
      </c>
      <c r="AL98" t="s">
        <v>58</v>
      </c>
      <c r="AM98" t="s">
        <v>58</v>
      </c>
      <c r="AN98" t="s">
        <v>71</v>
      </c>
      <c r="AO98">
        <v>14</v>
      </c>
      <c r="AP98">
        <v>4</v>
      </c>
      <c r="AQ98">
        <v>0</v>
      </c>
      <c r="AR98">
        <v>11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s">
        <v>61</v>
      </c>
      <c r="BA98" t="s">
        <v>57</v>
      </c>
      <c r="BC98" t="s">
        <v>58</v>
      </c>
      <c r="BD98" t="s">
        <v>58</v>
      </c>
      <c r="BE98">
        <v>6</v>
      </c>
    </row>
    <row r="99" spans="1:57" x14ac:dyDescent="0.25">
      <c r="A99" t="s">
        <v>270</v>
      </c>
      <c r="B99">
        <v>74</v>
      </c>
      <c r="C99">
        <v>0</v>
      </c>
      <c r="D99">
        <v>0</v>
      </c>
      <c r="E99">
        <v>0</v>
      </c>
      <c r="F99" t="s">
        <v>149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157</v>
      </c>
      <c r="N99">
        <v>-1</v>
      </c>
      <c r="O99">
        <v>0</v>
      </c>
      <c r="P99">
        <v>-1</v>
      </c>
      <c r="Q99">
        <v>0</v>
      </c>
      <c r="R99" t="s">
        <v>70</v>
      </c>
      <c r="S99">
        <v>0</v>
      </c>
      <c r="T99">
        <v>0</v>
      </c>
      <c r="U99">
        <v>780</v>
      </c>
      <c r="V99" t="s">
        <v>57</v>
      </c>
      <c r="W99">
        <v>0</v>
      </c>
      <c r="X99">
        <v>0</v>
      </c>
      <c r="Y99">
        <v>0</v>
      </c>
      <c r="Z99">
        <v>0</v>
      </c>
      <c r="AA99" t="s">
        <v>67</v>
      </c>
      <c r="AB99">
        <v>0</v>
      </c>
      <c r="AC99">
        <v>0</v>
      </c>
      <c r="AD99">
        <v>0</v>
      </c>
      <c r="AE99">
        <v>0</v>
      </c>
      <c r="AF99" t="s">
        <v>60</v>
      </c>
      <c r="AG99">
        <v>0</v>
      </c>
      <c r="AH99">
        <v>0</v>
      </c>
      <c r="AI99">
        <v>0</v>
      </c>
      <c r="AJ99">
        <v>0</v>
      </c>
      <c r="AK99" t="b">
        <v>0</v>
      </c>
      <c r="AL99" t="s">
        <v>58</v>
      </c>
      <c r="AM99" t="s">
        <v>58</v>
      </c>
      <c r="AN99" t="s">
        <v>71</v>
      </c>
      <c r="AO99">
        <v>14</v>
      </c>
      <c r="AP99">
        <v>3</v>
      </c>
      <c r="AQ99">
        <v>3</v>
      </c>
      <c r="AR99">
        <v>11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s">
        <v>61</v>
      </c>
      <c r="BA99" t="s">
        <v>57</v>
      </c>
      <c r="BC99" t="s">
        <v>58</v>
      </c>
      <c r="BD99" t="s">
        <v>58</v>
      </c>
      <c r="BE99">
        <v>6</v>
      </c>
    </row>
    <row r="100" spans="1:57" x14ac:dyDescent="0.25">
      <c r="A100" t="s">
        <v>271</v>
      </c>
      <c r="B100">
        <v>225</v>
      </c>
      <c r="C100">
        <v>0</v>
      </c>
      <c r="D100">
        <v>0</v>
      </c>
      <c r="E100">
        <v>0</v>
      </c>
      <c r="F100" t="s">
        <v>161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174</v>
      </c>
      <c r="N100">
        <v>-1</v>
      </c>
      <c r="O100">
        <v>0</v>
      </c>
      <c r="P100">
        <v>-1</v>
      </c>
      <c r="Q100">
        <v>0</v>
      </c>
      <c r="R100" t="s">
        <v>70</v>
      </c>
      <c r="S100">
        <v>0</v>
      </c>
      <c r="T100">
        <v>0</v>
      </c>
      <c r="U100">
        <v>965</v>
      </c>
      <c r="V100" t="s">
        <v>57</v>
      </c>
      <c r="W100">
        <v>0</v>
      </c>
      <c r="X100">
        <v>0</v>
      </c>
      <c r="Y100">
        <v>0</v>
      </c>
      <c r="Z100">
        <v>0</v>
      </c>
      <c r="AA100" t="s">
        <v>67</v>
      </c>
      <c r="AB100">
        <v>0</v>
      </c>
      <c r="AC100">
        <v>0</v>
      </c>
      <c r="AD100">
        <v>0</v>
      </c>
      <c r="AE100">
        <v>0</v>
      </c>
      <c r="AF100" t="s">
        <v>60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s">
        <v>58</v>
      </c>
      <c r="AM100" t="s">
        <v>58</v>
      </c>
      <c r="AN100" t="s">
        <v>71</v>
      </c>
      <c r="AO100">
        <v>14</v>
      </c>
      <c r="AP100">
        <v>2</v>
      </c>
      <c r="AQ100">
        <v>10</v>
      </c>
      <c r="AR100">
        <v>11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s">
        <v>61</v>
      </c>
      <c r="BA100" t="s">
        <v>57</v>
      </c>
      <c r="BC100" t="s">
        <v>58</v>
      </c>
      <c r="BD100" t="s">
        <v>58</v>
      </c>
      <c r="BE100">
        <v>6</v>
      </c>
    </row>
    <row r="101" spans="1:57" x14ac:dyDescent="0.25">
      <c r="A101" t="s">
        <v>272</v>
      </c>
      <c r="B101">
        <v>284</v>
      </c>
      <c r="C101">
        <v>0</v>
      </c>
      <c r="D101">
        <v>0</v>
      </c>
      <c r="E101">
        <v>0</v>
      </c>
      <c r="F101" t="s">
        <v>170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153</v>
      </c>
      <c r="N101">
        <v>-1</v>
      </c>
      <c r="O101">
        <v>0</v>
      </c>
      <c r="P101">
        <v>-1</v>
      </c>
      <c r="Q101">
        <v>0</v>
      </c>
      <c r="R101" t="s">
        <v>70</v>
      </c>
      <c r="S101">
        <v>0</v>
      </c>
      <c r="T101">
        <v>0</v>
      </c>
      <c r="U101">
        <v>1220</v>
      </c>
      <c r="V101" t="s">
        <v>57</v>
      </c>
      <c r="W101">
        <v>0</v>
      </c>
      <c r="X101">
        <v>0</v>
      </c>
      <c r="Y101">
        <v>0</v>
      </c>
      <c r="Z101">
        <v>0</v>
      </c>
      <c r="AA101" t="s">
        <v>68</v>
      </c>
      <c r="AB101">
        <v>0</v>
      </c>
      <c r="AC101">
        <v>0</v>
      </c>
      <c r="AD101">
        <v>0</v>
      </c>
      <c r="AE101">
        <v>0</v>
      </c>
      <c r="AF101" t="s">
        <v>68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s">
        <v>58</v>
      </c>
      <c r="AM101" t="s">
        <v>58</v>
      </c>
      <c r="AN101" t="s">
        <v>71</v>
      </c>
      <c r="AO101">
        <v>14</v>
      </c>
      <c r="AP101">
        <v>8</v>
      </c>
      <c r="AQ101">
        <v>13</v>
      </c>
      <c r="AR101">
        <v>11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s">
        <v>61</v>
      </c>
      <c r="BA101" t="s">
        <v>57</v>
      </c>
      <c r="BC101" t="s">
        <v>58</v>
      </c>
      <c r="BD101" t="s">
        <v>58</v>
      </c>
      <c r="BE101">
        <v>6</v>
      </c>
    </row>
    <row r="102" spans="1:57" x14ac:dyDescent="0.25">
      <c r="A102" t="s">
        <v>273</v>
      </c>
      <c r="B102">
        <v>134</v>
      </c>
      <c r="C102">
        <v>0</v>
      </c>
      <c r="D102">
        <v>0</v>
      </c>
      <c r="E102">
        <v>0</v>
      </c>
      <c r="F102" t="s">
        <v>144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164</v>
      </c>
      <c r="N102">
        <v>-1</v>
      </c>
      <c r="O102">
        <v>0</v>
      </c>
      <c r="P102">
        <v>-1</v>
      </c>
      <c r="Q102">
        <v>0</v>
      </c>
      <c r="R102" t="s">
        <v>70</v>
      </c>
      <c r="S102">
        <v>0</v>
      </c>
      <c r="T102">
        <v>0</v>
      </c>
      <c r="U102">
        <v>1220</v>
      </c>
      <c r="V102" t="s">
        <v>57</v>
      </c>
      <c r="W102">
        <v>0</v>
      </c>
      <c r="X102">
        <v>0</v>
      </c>
      <c r="Y102">
        <v>0</v>
      </c>
      <c r="Z102">
        <v>0</v>
      </c>
      <c r="AA102" t="s">
        <v>60</v>
      </c>
      <c r="AB102">
        <v>0</v>
      </c>
      <c r="AC102">
        <v>0</v>
      </c>
      <c r="AD102">
        <v>0</v>
      </c>
      <c r="AE102">
        <v>0</v>
      </c>
      <c r="AF102" t="s">
        <v>60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s">
        <v>58</v>
      </c>
      <c r="AM102" t="s">
        <v>58</v>
      </c>
      <c r="AN102" t="s">
        <v>71</v>
      </c>
      <c r="AO102">
        <v>14</v>
      </c>
      <c r="AP102">
        <v>9</v>
      </c>
      <c r="AQ102">
        <v>11</v>
      </c>
      <c r="AR102">
        <v>11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s">
        <v>61</v>
      </c>
      <c r="BA102" t="s">
        <v>57</v>
      </c>
      <c r="BC102" t="s">
        <v>58</v>
      </c>
      <c r="BD102" t="s">
        <v>58</v>
      </c>
      <c r="BE102">
        <v>6</v>
      </c>
    </row>
    <row r="103" spans="1:57" x14ac:dyDescent="0.25">
      <c r="A103" t="s">
        <v>274</v>
      </c>
      <c r="B103">
        <v>100</v>
      </c>
      <c r="C103">
        <v>0</v>
      </c>
      <c r="D103">
        <v>0</v>
      </c>
      <c r="E103">
        <v>0</v>
      </c>
      <c r="F103" t="s">
        <v>154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162</v>
      </c>
      <c r="N103">
        <v>-1</v>
      </c>
      <c r="O103">
        <v>0</v>
      </c>
      <c r="P103">
        <v>-1</v>
      </c>
      <c r="Q103">
        <v>0</v>
      </c>
      <c r="R103" t="s">
        <v>70</v>
      </c>
      <c r="S103">
        <v>0</v>
      </c>
      <c r="T103">
        <v>0</v>
      </c>
      <c r="U103">
        <v>780</v>
      </c>
      <c r="V103" t="s">
        <v>57</v>
      </c>
      <c r="W103">
        <v>0</v>
      </c>
      <c r="X103">
        <v>0</v>
      </c>
      <c r="Y103">
        <v>0</v>
      </c>
      <c r="Z103">
        <v>0</v>
      </c>
      <c r="AA103" t="s">
        <v>67</v>
      </c>
      <c r="AB103">
        <v>0</v>
      </c>
      <c r="AC103">
        <v>0</v>
      </c>
      <c r="AD103">
        <v>0</v>
      </c>
      <c r="AE103">
        <v>0</v>
      </c>
      <c r="AF103" t="s">
        <v>60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s">
        <v>58</v>
      </c>
      <c r="AM103" t="s">
        <v>58</v>
      </c>
      <c r="AN103" t="s">
        <v>71</v>
      </c>
      <c r="AO103">
        <v>14</v>
      </c>
      <c r="AP103">
        <v>13</v>
      </c>
      <c r="AQ103">
        <v>2</v>
      </c>
      <c r="AR103">
        <v>11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s">
        <v>61</v>
      </c>
      <c r="BA103" t="s">
        <v>57</v>
      </c>
      <c r="BC103" t="s">
        <v>58</v>
      </c>
      <c r="BD103" t="s">
        <v>58</v>
      </c>
      <c r="BE103">
        <v>6</v>
      </c>
    </row>
    <row r="104" spans="1:57" x14ac:dyDescent="0.25">
      <c r="A104" t="s">
        <v>275</v>
      </c>
      <c r="B104">
        <v>68</v>
      </c>
      <c r="C104">
        <v>0</v>
      </c>
      <c r="D104">
        <v>0</v>
      </c>
      <c r="E104">
        <v>0</v>
      </c>
      <c r="F104" t="s">
        <v>145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171</v>
      </c>
      <c r="N104">
        <v>-1</v>
      </c>
      <c r="O104">
        <v>0</v>
      </c>
      <c r="P104">
        <v>-1</v>
      </c>
      <c r="Q104">
        <v>0</v>
      </c>
      <c r="R104" t="s">
        <v>70</v>
      </c>
      <c r="S104">
        <v>0</v>
      </c>
      <c r="T104">
        <v>0</v>
      </c>
      <c r="U104">
        <v>1220</v>
      </c>
      <c r="V104" t="s">
        <v>57</v>
      </c>
      <c r="W104">
        <v>0</v>
      </c>
      <c r="X104">
        <v>0</v>
      </c>
      <c r="Y104">
        <v>0</v>
      </c>
      <c r="Z104">
        <v>0</v>
      </c>
      <c r="AA104" t="s">
        <v>60</v>
      </c>
      <c r="AB104">
        <v>0</v>
      </c>
      <c r="AC104">
        <v>0</v>
      </c>
      <c r="AD104">
        <v>0</v>
      </c>
      <c r="AE104">
        <v>0</v>
      </c>
      <c r="AF104" t="s">
        <v>60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s">
        <v>58</v>
      </c>
      <c r="AM104" t="s">
        <v>58</v>
      </c>
      <c r="AN104" t="s">
        <v>71</v>
      </c>
      <c r="AO104">
        <v>14</v>
      </c>
      <c r="AP104">
        <v>14</v>
      </c>
      <c r="AQ104">
        <v>13</v>
      </c>
      <c r="AR104">
        <v>11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s">
        <v>61</v>
      </c>
      <c r="BA104" t="s">
        <v>57</v>
      </c>
      <c r="BC104" t="s">
        <v>58</v>
      </c>
      <c r="BD104" t="s">
        <v>58</v>
      </c>
      <c r="BE104">
        <v>6</v>
      </c>
    </row>
    <row r="105" spans="1:57" x14ac:dyDescent="0.25">
      <c r="A105" t="s">
        <v>276</v>
      </c>
      <c r="B105">
        <v>233</v>
      </c>
      <c r="C105">
        <v>0</v>
      </c>
      <c r="D105">
        <v>0</v>
      </c>
      <c r="E105">
        <v>0</v>
      </c>
      <c r="F105" t="s">
        <v>169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151</v>
      </c>
      <c r="N105">
        <v>-1</v>
      </c>
      <c r="O105">
        <v>0</v>
      </c>
      <c r="P105">
        <v>-1</v>
      </c>
      <c r="Q105">
        <v>0</v>
      </c>
      <c r="R105" t="s">
        <v>70</v>
      </c>
      <c r="S105">
        <v>0</v>
      </c>
      <c r="T105">
        <v>0</v>
      </c>
      <c r="U105">
        <v>1230</v>
      </c>
      <c r="V105" t="s">
        <v>57</v>
      </c>
      <c r="W105">
        <v>0</v>
      </c>
      <c r="X105">
        <v>0</v>
      </c>
      <c r="Y105">
        <v>0</v>
      </c>
      <c r="Z105">
        <v>0</v>
      </c>
      <c r="AA105" t="s">
        <v>65</v>
      </c>
      <c r="AB105">
        <v>0</v>
      </c>
      <c r="AC105">
        <v>0</v>
      </c>
      <c r="AD105">
        <v>0</v>
      </c>
      <c r="AE105">
        <v>0</v>
      </c>
      <c r="AF105" t="s">
        <v>65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s">
        <v>58</v>
      </c>
      <c r="AM105" t="s">
        <v>58</v>
      </c>
      <c r="AN105" t="s">
        <v>71</v>
      </c>
      <c r="AO105">
        <v>14</v>
      </c>
      <c r="AP105">
        <v>15</v>
      </c>
      <c r="AQ105">
        <v>14</v>
      </c>
      <c r="AR105">
        <v>11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s">
        <v>61</v>
      </c>
      <c r="BA105" t="s">
        <v>57</v>
      </c>
      <c r="BC105" t="s">
        <v>58</v>
      </c>
      <c r="BD105" t="s">
        <v>58</v>
      </c>
      <c r="BE105">
        <v>6</v>
      </c>
    </row>
    <row r="106" spans="1:57" x14ac:dyDescent="0.25">
      <c r="A106" t="s">
        <v>277</v>
      </c>
      <c r="B106">
        <v>314</v>
      </c>
      <c r="C106">
        <v>0</v>
      </c>
      <c r="D106">
        <v>0</v>
      </c>
      <c r="E106">
        <v>0</v>
      </c>
      <c r="F106" t="s">
        <v>168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143</v>
      </c>
      <c r="N106">
        <v>-1</v>
      </c>
      <c r="O106">
        <v>0</v>
      </c>
      <c r="P106">
        <v>-1</v>
      </c>
      <c r="Q106">
        <v>0</v>
      </c>
      <c r="R106" t="s">
        <v>70</v>
      </c>
      <c r="S106">
        <v>0</v>
      </c>
      <c r="T106">
        <v>0</v>
      </c>
      <c r="U106">
        <v>780</v>
      </c>
      <c r="V106" t="s">
        <v>57</v>
      </c>
      <c r="W106">
        <v>0</v>
      </c>
      <c r="X106">
        <v>0</v>
      </c>
      <c r="Y106">
        <v>0</v>
      </c>
      <c r="Z106">
        <v>0</v>
      </c>
      <c r="AA106" t="s">
        <v>67</v>
      </c>
      <c r="AB106">
        <v>0</v>
      </c>
      <c r="AC106">
        <v>0</v>
      </c>
      <c r="AD106">
        <v>0</v>
      </c>
      <c r="AE106">
        <v>0</v>
      </c>
      <c r="AF106" t="s">
        <v>60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s">
        <v>58</v>
      </c>
      <c r="AM106" t="s">
        <v>58</v>
      </c>
      <c r="AN106" t="s">
        <v>71</v>
      </c>
      <c r="AO106">
        <v>14</v>
      </c>
      <c r="AP106">
        <v>17</v>
      </c>
      <c r="AQ106">
        <v>1</v>
      </c>
      <c r="AR106">
        <v>11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s">
        <v>61</v>
      </c>
      <c r="BA106" t="s">
        <v>57</v>
      </c>
      <c r="BC106" t="s">
        <v>58</v>
      </c>
      <c r="BD106" t="s">
        <v>58</v>
      </c>
      <c r="BE106">
        <v>6</v>
      </c>
    </row>
    <row r="107" spans="1:57" x14ac:dyDescent="0.25">
      <c r="A107" t="s">
        <v>278</v>
      </c>
      <c r="B107">
        <v>124</v>
      </c>
      <c r="C107">
        <v>0</v>
      </c>
      <c r="D107">
        <v>0</v>
      </c>
      <c r="E107">
        <v>0</v>
      </c>
      <c r="F107" t="s">
        <v>163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173</v>
      </c>
      <c r="N107">
        <v>-1</v>
      </c>
      <c r="O107">
        <v>0</v>
      </c>
      <c r="P107">
        <v>-1</v>
      </c>
      <c r="Q107">
        <v>0</v>
      </c>
      <c r="R107" t="s">
        <v>70</v>
      </c>
      <c r="S107">
        <v>0</v>
      </c>
      <c r="T107">
        <v>0</v>
      </c>
      <c r="U107">
        <v>965</v>
      </c>
      <c r="V107" t="s">
        <v>57</v>
      </c>
      <c r="W107">
        <v>0</v>
      </c>
      <c r="X107">
        <v>0</v>
      </c>
      <c r="Y107">
        <v>0</v>
      </c>
      <c r="Z107">
        <v>0</v>
      </c>
      <c r="AA107" t="s">
        <v>67</v>
      </c>
      <c r="AB107">
        <v>0</v>
      </c>
      <c r="AC107">
        <v>0</v>
      </c>
      <c r="AD107">
        <v>0</v>
      </c>
      <c r="AE107">
        <v>0</v>
      </c>
      <c r="AF107" t="s">
        <v>60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s">
        <v>58</v>
      </c>
      <c r="AM107" t="s">
        <v>58</v>
      </c>
      <c r="AN107" t="s">
        <v>71</v>
      </c>
      <c r="AO107">
        <v>14</v>
      </c>
      <c r="AP107">
        <v>15</v>
      </c>
      <c r="AQ107">
        <v>8</v>
      </c>
      <c r="AR107">
        <v>11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s">
        <v>61</v>
      </c>
      <c r="BA107" t="s">
        <v>57</v>
      </c>
      <c r="BC107" t="s">
        <v>58</v>
      </c>
      <c r="BD107" t="s">
        <v>58</v>
      </c>
      <c r="BE107">
        <v>6</v>
      </c>
    </row>
    <row r="108" spans="1:57" x14ac:dyDescent="0.25">
      <c r="A108" t="s">
        <v>279</v>
      </c>
      <c r="B108">
        <v>87</v>
      </c>
      <c r="C108">
        <v>0</v>
      </c>
      <c r="D108">
        <v>0</v>
      </c>
      <c r="E108">
        <v>0</v>
      </c>
      <c r="F108" t="s">
        <v>159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156</v>
      </c>
      <c r="N108">
        <v>-1</v>
      </c>
      <c r="O108">
        <v>0</v>
      </c>
      <c r="P108">
        <v>-1</v>
      </c>
      <c r="Q108">
        <v>0</v>
      </c>
      <c r="R108" t="s">
        <v>70</v>
      </c>
      <c r="S108">
        <v>0</v>
      </c>
      <c r="T108">
        <v>0</v>
      </c>
      <c r="U108">
        <v>780</v>
      </c>
      <c r="V108" t="s">
        <v>57</v>
      </c>
      <c r="W108">
        <v>0</v>
      </c>
      <c r="X108">
        <v>0</v>
      </c>
      <c r="Y108">
        <v>0</v>
      </c>
      <c r="Z108">
        <v>0</v>
      </c>
      <c r="AA108" t="s">
        <v>67</v>
      </c>
      <c r="AB108">
        <v>0</v>
      </c>
      <c r="AC108">
        <v>0</v>
      </c>
      <c r="AD108">
        <v>0</v>
      </c>
      <c r="AE108">
        <v>0</v>
      </c>
      <c r="AF108" t="s">
        <v>60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s">
        <v>58</v>
      </c>
      <c r="AM108" t="s">
        <v>58</v>
      </c>
      <c r="AN108" t="s">
        <v>71</v>
      </c>
      <c r="AO108">
        <v>14</v>
      </c>
      <c r="AP108">
        <v>17</v>
      </c>
      <c r="AQ108">
        <v>5</v>
      </c>
      <c r="AR108">
        <v>11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s">
        <v>61</v>
      </c>
      <c r="BA108" t="s">
        <v>57</v>
      </c>
      <c r="BC108" t="s">
        <v>58</v>
      </c>
      <c r="BD108" t="s">
        <v>58</v>
      </c>
      <c r="BE108">
        <v>6</v>
      </c>
    </row>
    <row r="109" spans="1:57" x14ac:dyDescent="0.25">
      <c r="A109" t="s">
        <v>280</v>
      </c>
      <c r="B109">
        <v>304</v>
      </c>
      <c r="C109">
        <v>0</v>
      </c>
      <c r="D109">
        <v>0</v>
      </c>
      <c r="E109">
        <v>0</v>
      </c>
      <c r="F109" t="s">
        <v>148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147</v>
      </c>
      <c r="N109">
        <v>-1</v>
      </c>
      <c r="O109">
        <v>0</v>
      </c>
      <c r="P109">
        <v>-1</v>
      </c>
      <c r="Q109">
        <v>0</v>
      </c>
      <c r="R109" t="s">
        <v>70</v>
      </c>
      <c r="S109">
        <v>0</v>
      </c>
      <c r="T109">
        <v>0</v>
      </c>
      <c r="U109">
        <v>780</v>
      </c>
      <c r="V109" t="s">
        <v>57</v>
      </c>
      <c r="W109">
        <v>0</v>
      </c>
      <c r="X109">
        <v>0</v>
      </c>
      <c r="Y109">
        <v>0</v>
      </c>
      <c r="Z109">
        <v>0</v>
      </c>
      <c r="AA109" t="s">
        <v>67</v>
      </c>
      <c r="AB109">
        <v>0</v>
      </c>
      <c r="AC109">
        <v>0</v>
      </c>
      <c r="AD109">
        <v>0</v>
      </c>
      <c r="AE109">
        <v>0</v>
      </c>
      <c r="AF109" t="s">
        <v>60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s">
        <v>58</v>
      </c>
      <c r="AM109" t="s">
        <v>58</v>
      </c>
      <c r="AN109" t="s">
        <v>71</v>
      </c>
      <c r="AO109">
        <v>14</v>
      </c>
      <c r="AP109">
        <v>0</v>
      </c>
      <c r="AQ109">
        <v>1</v>
      </c>
      <c r="AR109">
        <v>11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s">
        <v>61</v>
      </c>
      <c r="BA109" t="s">
        <v>57</v>
      </c>
      <c r="BC109" t="s">
        <v>58</v>
      </c>
      <c r="BD109" t="s">
        <v>58</v>
      </c>
      <c r="BE109">
        <v>7</v>
      </c>
    </row>
    <row r="110" spans="1:57" x14ac:dyDescent="0.25">
      <c r="A110" t="s">
        <v>281</v>
      </c>
      <c r="B110">
        <v>119</v>
      </c>
      <c r="C110">
        <v>0</v>
      </c>
      <c r="D110">
        <v>0</v>
      </c>
      <c r="E110">
        <v>0</v>
      </c>
      <c r="F110" t="s">
        <v>174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159</v>
      </c>
      <c r="N110">
        <v>-1</v>
      </c>
      <c r="O110">
        <v>0</v>
      </c>
      <c r="P110">
        <v>-1</v>
      </c>
      <c r="Q110">
        <v>0</v>
      </c>
      <c r="R110" t="s">
        <v>70</v>
      </c>
      <c r="S110">
        <v>0</v>
      </c>
      <c r="T110">
        <v>0</v>
      </c>
      <c r="U110">
        <v>780</v>
      </c>
      <c r="V110" t="s">
        <v>57</v>
      </c>
      <c r="W110">
        <v>0</v>
      </c>
      <c r="X110">
        <v>0</v>
      </c>
      <c r="Y110">
        <v>0</v>
      </c>
      <c r="Z110">
        <v>0</v>
      </c>
      <c r="AA110" t="s">
        <v>67</v>
      </c>
      <c r="AB110">
        <v>0</v>
      </c>
      <c r="AC110">
        <v>0</v>
      </c>
      <c r="AD110">
        <v>0</v>
      </c>
      <c r="AE110">
        <v>0</v>
      </c>
      <c r="AF110" t="s">
        <v>60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s">
        <v>58</v>
      </c>
      <c r="AM110" t="s">
        <v>58</v>
      </c>
      <c r="AN110" t="s">
        <v>71</v>
      </c>
      <c r="AO110">
        <v>14</v>
      </c>
      <c r="AP110">
        <v>0</v>
      </c>
      <c r="AQ110">
        <v>3</v>
      </c>
      <c r="AR110">
        <v>11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s">
        <v>61</v>
      </c>
      <c r="BA110" t="s">
        <v>57</v>
      </c>
      <c r="BC110" t="s">
        <v>58</v>
      </c>
      <c r="BD110" t="s">
        <v>58</v>
      </c>
      <c r="BE110">
        <v>7</v>
      </c>
    </row>
    <row r="111" spans="1:57" x14ac:dyDescent="0.25">
      <c r="A111" t="s">
        <v>282</v>
      </c>
      <c r="B111">
        <v>312</v>
      </c>
      <c r="C111">
        <v>0</v>
      </c>
      <c r="D111">
        <v>0</v>
      </c>
      <c r="E111">
        <v>0</v>
      </c>
      <c r="F111" t="s">
        <v>153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168</v>
      </c>
      <c r="N111">
        <v>-1</v>
      </c>
      <c r="O111">
        <v>0</v>
      </c>
      <c r="P111">
        <v>-1</v>
      </c>
      <c r="Q111">
        <v>0</v>
      </c>
      <c r="R111" t="s">
        <v>70</v>
      </c>
      <c r="S111">
        <v>0</v>
      </c>
      <c r="T111">
        <v>0</v>
      </c>
      <c r="U111">
        <v>965</v>
      </c>
      <c r="V111" t="s">
        <v>57</v>
      </c>
      <c r="W111">
        <v>0</v>
      </c>
      <c r="X111">
        <v>0</v>
      </c>
      <c r="Y111">
        <v>0</v>
      </c>
      <c r="Z111">
        <v>0</v>
      </c>
      <c r="AA111" t="s">
        <v>67</v>
      </c>
      <c r="AB111">
        <v>0</v>
      </c>
      <c r="AC111">
        <v>0</v>
      </c>
      <c r="AD111">
        <v>0</v>
      </c>
      <c r="AE111">
        <v>0</v>
      </c>
      <c r="AF111" t="s">
        <v>60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s">
        <v>58</v>
      </c>
      <c r="AM111" t="s">
        <v>58</v>
      </c>
      <c r="AN111" t="s">
        <v>71</v>
      </c>
      <c r="AO111">
        <v>14</v>
      </c>
      <c r="AP111">
        <v>0</v>
      </c>
      <c r="AQ111">
        <v>8</v>
      </c>
      <c r="AR111">
        <v>11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s">
        <v>61</v>
      </c>
      <c r="BA111" t="s">
        <v>57</v>
      </c>
      <c r="BC111" t="s">
        <v>58</v>
      </c>
      <c r="BD111" t="s">
        <v>58</v>
      </c>
      <c r="BE111">
        <v>7</v>
      </c>
    </row>
    <row r="112" spans="1:57" x14ac:dyDescent="0.25">
      <c r="A112" t="s">
        <v>283</v>
      </c>
      <c r="B112">
        <v>271</v>
      </c>
      <c r="C112">
        <v>0</v>
      </c>
      <c r="D112">
        <v>0</v>
      </c>
      <c r="E112">
        <v>0</v>
      </c>
      <c r="F112" t="s">
        <v>154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156</v>
      </c>
      <c r="N112">
        <v>-1</v>
      </c>
      <c r="O112">
        <v>0</v>
      </c>
      <c r="P112">
        <v>-1</v>
      </c>
      <c r="Q112">
        <v>0</v>
      </c>
      <c r="R112" t="s">
        <v>70</v>
      </c>
      <c r="S112">
        <v>0</v>
      </c>
      <c r="T112">
        <v>0</v>
      </c>
      <c r="U112">
        <v>780</v>
      </c>
      <c r="V112" t="s">
        <v>57</v>
      </c>
      <c r="W112">
        <v>0</v>
      </c>
      <c r="X112">
        <v>0</v>
      </c>
      <c r="Y112">
        <v>0</v>
      </c>
      <c r="Z112">
        <v>0</v>
      </c>
      <c r="AA112" t="s">
        <v>67</v>
      </c>
      <c r="AB112">
        <v>0</v>
      </c>
      <c r="AC112">
        <v>0</v>
      </c>
      <c r="AD112">
        <v>0</v>
      </c>
      <c r="AE112">
        <v>0</v>
      </c>
      <c r="AF112" t="s">
        <v>60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s">
        <v>58</v>
      </c>
      <c r="AM112" t="s">
        <v>58</v>
      </c>
      <c r="AN112" t="s">
        <v>71</v>
      </c>
      <c r="AO112">
        <v>14</v>
      </c>
      <c r="AP112">
        <v>1</v>
      </c>
      <c r="AQ112">
        <v>3</v>
      </c>
      <c r="AR112">
        <v>11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s">
        <v>61</v>
      </c>
      <c r="BA112" t="s">
        <v>57</v>
      </c>
      <c r="BC112" t="s">
        <v>58</v>
      </c>
      <c r="BD112" t="s">
        <v>58</v>
      </c>
      <c r="BE112">
        <v>7</v>
      </c>
    </row>
    <row r="113" spans="1:57" x14ac:dyDescent="0.25">
      <c r="A113" t="s">
        <v>284</v>
      </c>
      <c r="B113">
        <v>127</v>
      </c>
      <c r="C113">
        <v>0</v>
      </c>
      <c r="D113">
        <v>0</v>
      </c>
      <c r="E113">
        <v>0</v>
      </c>
      <c r="F113" t="s">
        <v>166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162</v>
      </c>
      <c r="N113">
        <v>-1</v>
      </c>
      <c r="O113">
        <v>0</v>
      </c>
      <c r="P113">
        <v>-1</v>
      </c>
      <c r="Q113">
        <v>0</v>
      </c>
      <c r="R113" t="s">
        <v>70</v>
      </c>
      <c r="S113">
        <v>0</v>
      </c>
      <c r="T113">
        <v>0</v>
      </c>
      <c r="U113">
        <v>780</v>
      </c>
      <c r="V113" t="s">
        <v>57</v>
      </c>
      <c r="W113">
        <v>0</v>
      </c>
      <c r="X113">
        <v>0</v>
      </c>
      <c r="Y113">
        <v>0</v>
      </c>
      <c r="Z113">
        <v>0</v>
      </c>
      <c r="AA113" t="s">
        <v>67</v>
      </c>
      <c r="AB113">
        <v>0</v>
      </c>
      <c r="AC113">
        <v>0</v>
      </c>
      <c r="AD113">
        <v>0</v>
      </c>
      <c r="AE113">
        <v>0</v>
      </c>
      <c r="AF113" t="s">
        <v>60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s">
        <v>58</v>
      </c>
      <c r="AM113" t="s">
        <v>58</v>
      </c>
      <c r="AN113" t="s">
        <v>71</v>
      </c>
      <c r="AO113">
        <v>14</v>
      </c>
      <c r="AP113">
        <v>3</v>
      </c>
      <c r="AQ113">
        <v>2</v>
      </c>
      <c r="AR113">
        <v>11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s">
        <v>61</v>
      </c>
      <c r="BA113" t="s">
        <v>57</v>
      </c>
      <c r="BC113" t="s">
        <v>58</v>
      </c>
      <c r="BD113" t="s">
        <v>58</v>
      </c>
      <c r="BE113">
        <v>7</v>
      </c>
    </row>
    <row r="114" spans="1:57" x14ac:dyDescent="0.25">
      <c r="A114" t="s">
        <v>285</v>
      </c>
      <c r="B114">
        <v>105</v>
      </c>
      <c r="C114">
        <v>0</v>
      </c>
      <c r="D114">
        <v>0</v>
      </c>
      <c r="E114">
        <v>0</v>
      </c>
      <c r="F114" t="s">
        <v>171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173</v>
      </c>
      <c r="N114">
        <v>-1</v>
      </c>
      <c r="O114">
        <v>0</v>
      </c>
      <c r="P114">
        <v>-1</v>
      </c>
      <c r="Q114">
        <v>0</v>
      </c>
      <c r="R114" t="s">
        <v>70</v>
      </c>
      <c r="S114">
        <v>0</v>
      </c>
      <c r="T114">
        <v>0</v>
      </c>
      <c r="U114">
        <v>965</v>
      </c>
      <c r="V114" t="s">
        <v>57</v>
      </c>
      <c r="W114">
        <v>0</v>
      </c>
      <c r="X114">
        <v>0</v>
      </c>
      <c r="Y114">
        <v>0</v>
      </c>
      <c r="Z114">
        <v>0</v>
      </c>
      <c r="AA114" t="s">
        <v>67</v>
      </c>
      <c r="AB114">
        <v>0</v>
      </c>
      <c r="AC114">
        <v>0</v>
      </c>
      <c r="AD114">
        <v>0</v>
      </c>
      <c r="AE114">
        <v>0</v>
      </c>
      <c r="AF114" t="s">
        <v>60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s">
        <v>58</v>
      </c>
      <c r="AM114" t="s">
        <v>58</v>
      </c>
      <c r="AN114" t="s">
        <v>71</v>
      </c>
      <c r="AO114">
        <v>14</v>
      </c>
      <c r="AP114">
        <v>2</v>
      </c>
      <c r="AQ114">
        <v>8</v>
      </c>
      <c r="AR114">
        <v>11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s">
        <v>61</v>
      </c>
      <c r="BA114" t="s">
        <v>57</v>
      </c>
      <c r="BC114" t="s">
        <v>58</v>
      </c>
      <c r="BD114" t="s">
        <v>58</v>
      </c>
      <c r="BE114">
        <v>7</v>
      </c>
    </row>
    <row r="115" spans="1:57" x14ac:dyDescent="0.25">
      <c r="A115" t="s">
        <v>286</v>
      </c>
      <c r="B115">
        <v>114</v>
      </c>
      <c r="C115">
        <v>0</v>
      </c>
      <c r="D115">
        <v>0</v>
      </c>
      <c r="E115">
        <v>0</v>
      </c>
      <c r="F115" t="s">
        <v>143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160</v>
      </c>
      <c r="N115">
        <v>-1</v>
      </c>
      <c r="O115">
        <v>0</v>
      </c>
      <c r="P115">
        <v>-1</v>
      </c>
      <c r="Q115">
        <v>0</v>
      </c>
      <c r="R115" t="s">
        <v>70</v>
      </c>
      <c r="S115">
        <v>0</v>
      </c>
      <c r="T115">
        <v>0</v>
      </c>
      <c r="U115">
        <v>975</v>
      </c>
      <c r="V115" t="s">
        <v>57</v>
      </c>
      <c r="W115">
        <v>0</v>
      </c>
      <c r="X115">
        <v>0</v>
      </c>
      <c r="Y115">
        <v>0</v>
      </c>
      <c r="Z115">
        <v>0</v>
      </c>
      <c r="AA115" t="s">
        <v>67</v>
      </c>
      <c r="AB115">
        <v>0</v>
      </c>
      <c r="AC115">
        <v>0</v>
      </c>
      <c r="AD115">
        <v>0</v>
      </c>
      <c r="AE115">
        <v>0</v>
      </c>
      <c r="AF115" t="s">
        <v>60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s">
        <v>58</v>
      </c>
      <c r="AM115" t="s">
        <v>58</v>
      </c>
      <c r="AN115" t="s">
        <v>71</v>
      </c>
      <c r="AO115">
        <v>14</v>
      </c>
      <c r="AP115">
        <v>1</v>
      </c>
      <c r="AQ115">
        <v>12</v>
      </c>
      <c r="AR115">
        <v>11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s">
        <v>61</v>
      </c>
      <c r="BA115" t="s">
        <v>57</v>
      </c>
      <c r="BC115" t="s">
        <v>58</v>
      </c>
      <c r="BD115" t="s">
        <v>58</v>
      </c>
      <c r="BE115">
        <v>7</v>
      </c>
    </row>
    <row r="116" spans="1:57" x14ac:dyDescent="0.25">
      <c r="A116" t="s">
        <v>287</v>
      </c>
      <c r="B116">
        <v>223</v>
      </c>
      <c r="C116">
        <v>0</v>
      </c>
      <c r="D116">
        <v>0</v>
      </c>
      <c r="E116">
        <v>0</v>
      </c>
      <c r="F116" t="s">
        <v>157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146</v>
      </c>
      <c r="N116">
        <v>-1</v>
      </c>
      <c r="O116">
        <v>0</v>
      </c>
      <c r="P116">
        <v>-1</v>
      </c>
      <c r="Q116">
        <v>0</v>
      </c>
      <c r="R116" t="s">
        <v>70</v>
      </c>
      <c r="S116">
        <v>0</v>
      </c>
      <c r="T116">
        <v>0</v>
      </c>
      <c r="U116">
        <v>780</v>
      </c>
      <c r="V116" t="s">
        <v>57</v>
      </c>
      <c r="W116">
        <v>0</v>
      </c>
      <c r="X116">
        <v>0</v>
      </c>
      <c r="Y116">
        <v>0</v>
      </c>
      <c r="Z116">
        <v>0</v>
      </c>
      <c r="AA116" t="s">
        <v>67</v>
      </c>
      <c r="AB116">
        <v>0</v>
      </c>
      <c r="AC116">
        <v>0</v>
      </c>
      <c r="AD116">
        <v>0</v>
      </c>
      <c r="AE116">
        <v>0</v>
      </c>
      <c r="AF116" t="s">
        <v>60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s">
        <v>58</v>
      </c>
      <c r="AM116" t="s">
        <v>58</v>
      </c>
      <c r="AN116" t="s">
        <v>71</v>
      </c>
      <c r="AO116">
        <v>14</v>
      </c>
      <c r="AP116">
        <v>4</v>
      </c>
      <c r="AQ116">
        <v>1</v>
      </c>
      <c r="AR116">
        <v>11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s">
        <v>61</v>
      </c>
      <c r="BA116" t="s">
        <v>57</v>
      </c>
      <c r="BC116" t="s">
        <v>58</v>
      </c>
      <c r="BD116" t="s">
        <v>58</v>
      </c>
      <c r="BE116">
        <v>7</v>
      </c>
    </row>
    <row r="117" spans="1:57" x14ac:dyDescent="0.25">
      <c r="A117" t="s">
        <v>288</v>
      </c>
      <c r="B117">
        <v>179</v>
      </c>
      <c r="C117">
        <v>0</v>
      </c>
      <c r="D117">
        <v>0</v>
      </c>
      <c r="E117">
        <v>0</v>
      </c>
      <c r="F117" t="s">
        <v>170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163</v>
      </c>
      <c r="N117">
        <v>-1</v>
      </c>
      <c r="O117">
        <v>0</v>
      </c>
      <c r="P117">
        <v>-1</v>
      </c>
      <c r="Q117">
        <v>0</v>
      </c>
      <c r="R117" t="s">
        <v>70</v>
      </c>
      <c r="S117">
        <v>0</v>
      </c>
      <c r="T117">
        <v>0</v>
      </c>
      <c r="U117">
        <v>780</v>
      </c>
      <c r="V117" t="s">
        <v>57</v>
      </c>
      <c r="W117">
        <v>0</v>
      </c>
      <c r="X117">
        <v>0</v>
      </c>
      <c r="Y117">
        <v>0</v>
      </c>
      <c r="Z117">
        <v>0</v>
      </c>
      <c r="AA117" t="s">
        <v>67</v>
      </c>
      <c r="AB117">
        <v>0</v>
      </c>
      <c r="AC117">
        <v>0</v>
      </c>
      <c r="AD117">
        <v>0</v>
      </c>
      <c r="AE117">
        <v>0</v>
      </c>
      <c r="AF117" t="s">
        <v>60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s">
        <v>58</v>
      </c>
      <c r="AM117" t="s">
        <v>58</v>
      </c>
      <c r="AN117" t="s">
        <v>71</v>
      </c>
      <c r="AO117">
        <v>14</v>
      </c>
      <c r="AP117">
        <v>3</v>
      </c>
      <c r="AQ117">
        <v>7</v>
      </c>
      <c r="AR117">
        <v>11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s">
        <v>61</v>
      </c>
      <c r="BA117" t="s">
        <v>57</v>
      </c>
      <c r="BC117" t="s">
        <v>58</v>
      </c>
      <c r="BD117" t="s">
        <v>58</v>
      </c>
      <c r="BE117">
        <v>7</v>
      </c>
    </row>
    <row r="118" spans="1:57" x14ac:dyDescent="0.25">
      <c r="A118" t="s">
        <v>289</v>
      </c>
      <c r="B118">
        <v>212</v>
      </c>
      <c r="C118">
        <v>0</v>
      </c>
      <c r="D118">
        <v>0</v>
      </c>
      <c r="E118">
        <v>0</v>
      </c>
      <c r="F118" t="s">
        <v>167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145</v>
      </c>
      <c r="N118">
        <v>-1</v>
      </c>
      <c r="O118">
        <v>0</v>
      </c>
      <c r="P118">
        <v>-1</v>
      </c>
      <c r="Q118">
        <v>0</v>
      </c>
      <c r="R118" t="s">
        <v>70</v>
      </c>
      <c r="S118">
        <v>0</v>
      </c>
      <c r="T118">
        <v>0</v>
      </c>
      <c r="U118">
        <v>1220</v>
      </c>
      <c r="V118" t="s">
        <v>57</v>
      </c>
      <c r="W118">
        <v>0</v>
      </c>
      <c r="X118">
        <v>0</v>
      </c>
      <c r="Y118">
        <v>0</v>
      </c>
      <c r="Z118">
        <v>0</v>
      </c>
      <c r="AA118" t="s">
        <v>60</v>
      </c>
      <c r="AB118">
        <v>0</v>
      </c>
      <c r="AC118">
        <v>0</v>
      </c>
      <c r="AD118">
        <v>0</v>
      </c>
      <c r="AE118">
        <v>0</v>
      </c>
      <c r="AF118" t="s">
        <v>60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s">
        <v>58</v>
      </c>
      <c r="AM118" t="s">
        <v>58</v>
      </c>
      <c r="AN118" t="s">
        <v>71</v>
      </c>
      <c r="AO118">
        <v>14</v>
      </c>
      <c r="AP118">
        <v>6</v>
      </c>
      <c r="AQ118">
        <v>10</v>
      </c>
      <c r="AR118">
        <v>11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s">
        <v>61</v>
      </c>
      <c r="BA118" t="s">
        <v>57</v>
      </c>
      <c r="BC118" t="s">
        <v>58</v>
      </c>
      <c r="BD118" t="s">
        <v>58</v>
      </c>
      <c r="BE118">
        <v>7</v>
      </c>
    </row>
    <row r="119" spans="1:57" x14ac:dyDescent="0.25">
      <c r="A119" t="s">
        <v>290</v>
      </c>
      <c r="B119">
        <v>111</v>
      </c>
      <c r="C119">
        <v>0</v>
      </c>
      <c r="D119">
        <v>0</v>
      </c>
      <c r="E119">
        <v>0</v>
      </c>
      <c r="F119" t="s">
        <v>150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172</v>
      </c>
      <c r="N119">
        <v>-1</v>
      </c>
      <c r="O119">
        <v>0</v>
      </c>
      <c r="P119">
        <v>-1</v>
      </c>
      <c r="Q119">
        <v>0</v>
      </c>
      <c r="R119" t="s">
        <v>70</v>
      </c>
      <c r="S119">
        <v>0</v>
      </c>
      <c r="T119">
        <v>0</v>
      </c>
      <c r="U119">
        <v>1230</v>
      </c>
      <c r="V119" t="s">
        <v>57</v>
      </c>
      <c r="W119">
        <v>0</v>
      </c>
      <c r="X119">
        <v>0</v>
      </c>
      <c r="Y119">
        <v>0</v>
      </c>
      <c r="Z119">
        <v>0</v>
      </c>
      <c r="AA119" t="s">
        <v>65</v>
      </c>
      <c r="AB119">
        <v>0</v>
      </c>
      <c r="AC119">
        <v>0</v>
      </c>
      <c r="AD119">
        <v>0</v>
      </c>
      <c r="AE119">
        <v>0</v>
      </c>
      <c r="AF119" t="s">
        <v>65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s">
        <v>58</v>
      </c>
      <c r="AM119" t="s">
        <v>58</v>
      </c>
      <c r="AN119" t="s">
        <v>71</v>
      </c>
      <c r="AO119">
        <v>14</v>
      </c>
      <c r="AP119">
        <v>9</v>
      </c>
      <c r="AQ119">
        <v>12</v>
      </c>
      <c r="AR119">
        <v>11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s">
        <v>61</v>
      </c>
      <c r="BA119" t="s">
        <v>57</v>
      </c>
      <c r="BC119" t="s">
        <v>58</v>
      </c>
      <c r="BD119" t="s">
        <v>58</v>
      </c>
      <c r="BE119">
        <v>7</v>
      </c>
    </row>
    <row r="120" spans="1:57" x14ac:dyDescent="0.25">
      <c r="A120" t="s">
        <v>291</v>
      </c>
      <c r="B120">
        <v>245</v>
      </c>
      <c r="C120">
        <v>0</v>
      </c>
      <c r="D120">
        <v>0</v>
      </c>
      <c r="E120">
        <v>0</v>
      </c>
      <c r="F120" t="s">
        <v>158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149</v>
      </c>
      <c r="N120">
        <v>-1</v>
      </c>
      <c r="O120">
        <v>0</v>
      </c>
      <c r="P120">
        <v>-1</v>
      </c>
      <c r="Q120">
        <v>0</v>
      </c>
      <c r="R120" t="s">
        <v>70</v>
      </c>
      <c r="S120">
        <v>0</v>
      </c>
      <c r="T120">
        <v>0</v>
      </c>
      <c r="U120">
        <v>780</v>
      </c>
      <c r="V120" t="s">
        <v>57</v>
      </c>
      <c r="W120">
        <v>0</v>
      </c>
      <c r="X120">
        <v>0</v>
      </c>
      <c r="Y120">
        <v>0</v>
      </c>
      <c r="Z120">
        <v>0</v>
      </c>
      <c r="AA120" t="s">
        <v>67</v>
      </c>
      <c r="AB120">
        <v>0</v>
      </c>
      <c r="AC120">
        <v>0</v>
      </c>
      <c r="AD120">
        <v>0</v>
      </c>
      <c r="AE120">
        <v>0</v>
      </c>
      <c r="AF120" t="s">
        <v>60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s">
        <v>58</v>
      </c>
      <c r="AM120" t="s">
        <v>58</v>
      </c>
      <c r="AN120" t="s">
        <v>71</v>
      </c>
      <c r="AO120">
        <v>14</v>
      </c>
      <c r="AP120">
        <v>6</v>
      </c>
      <c r="AQ120">
        <v>5</v>
      </c>
      <c r="AR120">
        <v>11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s">
        <v>61</v>
      </c>
      <c r="BA120" t="s">
        <v>57</v>
      </c>
      <c r="BC120" t="s">
        <v>58</v>
      </c>
      <c r="BD120" t="s">
        <v>58</v>
      </c>
      <c r="BE120">
        <v>7</v>
      </c>
    </row>
    <row r="121" spans="1:57" x14ac:dyDescent="0.25">
      <c r="A121" t="s">
        <v>292</v>
      </c>
      <c r="B121">
        <v>285</v>
      </c>
      <c r="C121">
        <v>0</v>
      </c>
      <c r="D121">
        <v>0</v>
      </c>
      <c r="E121">
        <v>0</v>
      </c>
      <c r="F121" t="s">
        <v>152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169</v>
      </c>
      <c r="N121">
        <v>-1</v>
      </c>
      <c r="O121">
        <v>0</v>
      </c>
      <c r="P121">
        <v>-1</v>
      </c>
      <c r="Q121">
        <v>0</v>
      </c>
      <c r="R121" t="s">
        <v>70</v>
      </c>
      <c r="S121">
        <v>0</v>
      </c>
      <c r="T121">
        <v>0</v>
      </c>
      <c r="U121">
        <v>780</v>
      </c>
      <c r="V121" t="s">
        <v>57</v>
      </c>
      <c r="W121">
        <v>0</v>
      </c>
      <c r="X121">
        <v>0</v>
      </c>
      <c r="Y121">
        <v>0</v>
      </c>
      <c r="Z121">
        <v>0</v>
      </c>
      <c r="AA121" t="s">
        <v>67</v>
      </c>
      <c r="AB121">
        <v>0</v>
      </c>
      <c r="AC121">
        <v>0</v>
      </c>
      <c r="AD121">
        <v>0</v>
      </c>
      <c r="AE121">
        <v>0</v>
      </c>
      <c r="AF121" t="s">
        <v>60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s">
        <v>58</v>
      </c>
      <c r="AM121" t="s">
        <v>58</v>
      </c>
      <c r="AN121" t="s">
        <v>71</v>
      </c>
      <c r="AO121">
        <v>14</v>
      </c>
      <c r="AP121">
        <v>11</v>
      </c>
      <c r="AQ121">
        <v>0</v>
      </c>
      <c r="AR121">
        <v>11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s">
        <v>61</v>
      </c>
      <c r="BA121" t="s">
        <v>57</v>
      </c>
      <c r="BC121" t="s">
        <v>58</v>
      </c>
      <c r="BD121" t="s">
        <v>58</v>
      </c>
      <c r="BE121">
        <v>7</v>
      </c>
    </row>
    <row r="122" spans="1:57" x14ac:dyDescent="0.25">
      <c r="A122" t="s">
        <v>293</v>
      </c>
      <c r="B122">
        <v>313</v>
      </c>
      <c r="C122">
        <v>0</v>
      </c>
      <c r="D122">
        <v>0</v>
      </c>
      <c r="E122">
        <v>0</v>
      </c>
      <c r="F122" t="s">
        <v>164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151</v>
      </c>
      <c r="N122">
        <v>-1</v>
      </c>
      <c r="O122">
        <v>0</v>
      </c>
      <c r="P122">
        <v>-1</v>
      </c>
      <c r="Q122">
        <v>0</v>
      </c>
      <c r="R122" t="s">
        <v>70</v>
      </c>
      <c r="S122">
        <v>0</v>
      </c>
      <c r="T122">
        <v>0</v>
      </c>
      <c r="U122">
        <v>975</v>
      </c>
      <c r="V122" t="s">
        <v>57</v>
      </c>
      <c r="W122">
        <v>0</v>
      </c>
      <c r="X122">
        <v>0</v>
      </c>
      <c r="Y122">
        <v>0</v>
      </c>
      <c r="Z122">
        <v>0</v>
      </c>
      <c r="AA122" t="s">
        <v>67</v>
      </c>
      <c r="AB122">
        <v>0</v>
      </c>
      <c r="AC122">
        <v>0</v>
      </c>
      <c r="AD122">
        <v>0</v>
      </c>
      <c r="AE122">
        <v>0</v>
      </c>
      <c r="AF122" t="s">
        <v>60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s">
        <v>58</v>
      </c>
      <c r="AM122" t="s">
        <v>58</v>
      </c>
      <c r="AN122" t="s">
        <v>71</v>
      </c>
      <c r="AO122">
        <v>14</v>
      </c>
      <c r="AP122">
        <v>13</v>
      </c>
      <c r="AQ122">
        <v>9</v>
      </c>
      <c r="AR122">
        <v>11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s">
        <v>61</v>
      </c>
      <c r="BA122" t="s">
        <v>57</v>
      </c>
      <c r="BC122" t="s">
        <v>58</v>
      </c>
      <c r="BD122" t="s">
        <v>58</v>
      </c>
      <c r="BE122">
        <v>7</v>
      </c>
    </row>
    <row r="123" spans="1:57" x14ac:dyDescent="0.25">
      <c r="A123" t="s">
        <v>294</v>
      </c>
      <c r="B123">
        <v>326</v>
      </c>
      <c r="C123">
        <v>0</v>
      </c>
      <c r="D123">
        <v>0</v>
      </c>
      <c r="E123">
        <v>0</v>
      </c>
      <c r="F123" t="s">
        <v>155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165</v>
      </c>
      <c r="N123">
        <v>-1</v>
      </c>
      <c r="O123">
        <v>0</v>
      </c>
      <c r="P123">
        <v>-1</v>
      </c>
      <c r="Q123">
        <v>0</v>
      </c>
      <c r="R123" t="s">
        <v>70</v>
      </c>
      <c r="S123">
        <v>0</v>
      </c>
      <c r="T123">
        <v>0</v>
      </c>
      <c r="U123">
        <v>975</v>
      </c>
      <c r="V123" t="s">
        <v>57</v>
      </c>
      <c r="W123">
        <v>0</v>
      </c>
      <c r="X123">
        <v>0</v>
      </c>
      <c r="Y123">
        <v>0</v>
      </c>
      <c r="Z123">
        <v>0</v>
      </c>
      <c r="AA123" t="s">
        <v>67</v>
      </c>
      <c r="AB123">
        <v>0</v>
      </c>
      <c r="AC123">
        <v>0</v>
      </c>
      <c r="AD123">
        <v>0</v>
      </c>
      <c r="AE123">
        <v>0</v>
      </c>
      <c r="AF123" t="s">
        <v>60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s">
        <v>58</v>
      </c>
      <c r="AM123" t="s">
        <v>58</v>
      </c>
      <c r="AN123" t="s">
        <v>71</v>
      </c>
      <c r="AO123">
        <v>14</v>
      </c>
      <c r="AP123">
        <v>15</v>
      </c>
      <c r="AQ123">
        <v>12</v>
      </c>
      <c r="AR123">
        <v>11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s">
        <v>61</v>
      </c>
      <c r="BA123" t="s">
        <v>57</v>
      </c>
      <c r="BC123" t="s">
        <v>58</v>
      </c>
      <c r="BD123" t="s">
        <v>58</v>
      </c>
      <c r="BE123">
        <v>7</v>
      </c>
    </row>
    <row r="124" spans="1:57" x14ac:dyDescent="0.25">
      <c r="A124" t="s">
        <v>295</v>
      </c>
      <c r="B124">
        <v>172</v>
      </c>
      <c r="C124">
        <v>0</v>
      </c>
      <c r="D124">
        <v>0</v>
      </c>
      <c r="E124">
        <v>0</v>
      </c>
      <c r="F124" t="s">
        <v>157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147</v>
      </c>
      <c r="N124">
        <v>-1</v>
      </c>
      <c r="O124">
        <v>0</v>
      </c>
      <c r="P124">
        <v>-1</v>
      </c>
      <c r="Q124">
        <v>0</v>
      </c>
      <c r="R124" t="s">
        <v>70</v>
      </c>
      <c r="S124">
        <v>0</v>
      </c>
      <c r="T124">
        <v>0</v>
      </c>
      <c r="U124">
        <v>780</v>
      </c>
      <c r="V124" t="s">
        <v>57</v>
      </c>
      <c r="W124">
        <v>0</v>
      </c>
      <c r="X124">
        <v>0</v>
      </c>
      <c r="Y124">
        <v>0</v>
      </c>
      <c r="Z124">
        <v>0</v>
      </c>
      <c r="AA124" t="s">
        <v>67</v>
      </c>
      <c r="AB124">
        <v>0</v>
      </c>
      <c r="AC124">
        <v>0</v>
      </c>
      <c r="AD124">
        <v>0</v>
      </c>
      <c r="AE124">
        <v>0</v>
      </c>
      <c r="AF124" t="s">
        <v>60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s">
        <v>58</v>
      </c>
      <c r="AM124" t="s">
        <v>58</v>
      </c>
      <c r="AN124" t="s">
        <v>71</v>
      </c>
      <c r="AO124">
        <v>14</v>
      </c>
      <c r="AP124">
        <v>1</v>
      </c>
      <c r="AQ124">
        <v>4</v>
      </c>
      <c r="AR124">
        <v>11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s">
        <v>61</v>
      </c>
      <c r="BA124" t="s">
        <v>57</v>
      </c>
      <c r="BC124" t="s">
        <v>58</v>
      </c>
      <c r="BD124" t="s">
        <v>58</v>
      </c>
      <c r="BE124">
        <v>8</v>
      </c>
    </row>
    <row r="125" spans="1:57" x14ac:dyDescent="0.25">
      <c r="A125" t="s">
        <v>296</v>
      </c>
      <c r="B125">
        <v>261</v>
      </c>
      <c r="C125">
        <v>0</v>
      </c>
      <c r="D125">
        <v>0</v>
      </c>
      <c r="E125">
        <v>0</v>
      </c>
      <c r="F125" t="s">
        <v>174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151</v>
      </c>
      <c r="N125">
        <v>-1</v>
      </c>
      <c r="O125">
        <v>0</v>
      </c>
      <c r="P125">
        <v>-1</v>
      </c>
      <c r="Q125">
        <v>0</v>
      </c>
      <c r="R125" t="s">
        <v>70</v>
      </c>
      <c r="S125">
        <v>0</v>
      </c>
      <c r="T125">
        <v>0</v>
      </c>
      <c r="U125">
        <v>975</v>
      </c>
      <c r="V125" t="s">
        <v>57</v>
      </c>
      <c r="W125">
        <v>0</v>
      </c>
      <c r="X125">
        <v>0</v>
      </c>
      <c r="Y125">
        <v>0</v>
      </c>
      <c r="Z125">
        <v>0</v>
      </c>
      <c r="AA125" t="s">
        <v>67</v>
      </c>
      <c r="AB125">
        <v>0</v>
      </c>
      <c r="AC125">
        <v>0</v>
      </c>
      <c r="AD125">
        <v>0</v>
      </c>
      <c r="AE125">
        <v>0</v>
      </c>
      <c r="AF125" t="s">
        <v>60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s">
        <v>58</v>
      </c>
      <c r="AM125" t="s">
        <v>58</v>
      </c>
      <c r="AN125" t="s">
        <v>71</v>
      </c>
      <c r="AO125">
        <v>14</v>
      </c>
      <c r="AP125">
        <v>4</v>
      </c>
      <c r="AQ125">
        <v>8</v>
      </c>
      <c r="AR125">
        <v>11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s">
        <v>61</v>
      </c>
      <c r="BA125" t="s">
        <v>57</v>
      </c>
      <c r="BC125" t="s">
        <v>58</v>
      </c>
      <c r="BD125" t="s">
        <v>58</v>
      </c>
      <c r="BE125">
        <v>8</v>
      </c>
    </row>
    <row r="126" spans="1:57" x14ac:dyDescent="0.25">
      <c r="A126" t="s">
        <v>297</v>
      </c>
      <c r="B126">
        <v>213</v>
      </c>
      <c r="C126">
        <v>0</v>
      </c>
      <c r="D126">
        <v>0</v>
      </c>
      <c r="E126">
        <v>0</v>
      </c>
      <c r="F126" t="s">
        <v>148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171</v>
      </c>
      <c r="N126">
        <v>-1</v>
      </c>
      <c r="O126">
        <v>0</v>
      </c>
      <c r="P126">
        <v>-1</v>
      </c>
      <c r="Q126">
        <v>0</v>
      </c>
      <c r="R126" t="s">
        <v>70</v>
      </c>
      <c r="S126">
        <v>0</v>
      </c>
      <c r="T126">
        <v>0</v>
      </c>
      <c r="U126">
        <v>1230</v>
      </c>
      <c r="V126" t="s">
        <v>57</v>
      </c>
      <c r="W126">
        <v>0</v>
      </c>
      <c r="X126">
        <v>0</v>
      </c>
      <c r="Y126">
        <v>0</v>
      </c>
      <c r="Z126">
        <v>0</v>
      </c>
      <c r="AA126" t="s">
        <v>65</v>
      </c>
      <c r="AB126">
        <v>0</v>
      </c>
      <c r="AC126">
        <v>0</v>
      </c>
      <c r="AD126">
        <v>0</v>
      </c>
      <c r="AE126">
        <v>0</v>
      </c>
      <c r="AF126" t="s">
        <v>65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s">
        <v>58</v>
      </c>
      <c r="AM126" t="s">
        <v>58</v>
      </c>
      <c r="AN126" t="s">
        <v>71</v>
      </c>
      <c r="AO126">
        <v>14</v>
      </c>
      <c r="AP126">
        <v>5</v>
      </c>
      <c r="AQ126">
        <v>12</v>
      </c>
      <c r="AR126">
        <v>11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s">
        <v>61</v>
      </c>
      <c r="BA126" t="s">
        <v>57</v>
      </c>
      <c r="BC126" t="s">
        <v>58</v>
      </c>
      <c r="BD126" t="s">
        <v>58</v>
      </c>
      <c r="BE126">
        <v>8</v>
      </c>
    </row>
    <row r="127" spans="1:57" x14ac:dyDescent="0.25">
      <c r="A127" t="s">
        <v>298</v>
      </c>
      <c r="B127">
        <v>205</v>
      </c>
      <c r="C127">
        <v>0</v>
      </c>
      <c r="D127">
        <v>0</v>
      </c>
      <c r="E127">
        <v>0</v>
      </c>
      <c r="F127" t="s">
        <v>144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169</v>
      </c>
      <c r="N127">
        <v>-1</v>
      </c>
      <c r="O127">
        <v>0</v>
      </c>
      <c r="P127">
        <v>-1</v>
      </c>
      <c r="Q127">
        <v>0</v>
      </c>
      <c r="R127" t="s">
        <v>70</v>
      </c>
      <c r="S127">
        <v>0</v>
      </c>
      <c r="T127">
        <v>0</v>
      </c>
      <c r="U127">
        <v>975</v>
      </c>
      <c r="V127" t="s">
        <v>57</v>
      </c>
      <c r="W127">
        <v>0</v>
      </c>
      <c r="X127">
        <v>0</v>
      </c>
      <c r="Y127">
        <v>0</v>
      </c>
      <c r="Z127">
        <v>0</v>
      </c>
      <c r="AA127" t="s">
        <v>67</v>
      </c>
      <c r="AB127">
        <v>0</v>
      </c>
      <c r="AC127">
        <v>0</v>
      </c>
      <c r="AD127">
        <v>0</v>
      </c>
      <c r="AE127">
        <v>0</v>
      </c>
      <c r="AF127" t="s">
        <v>60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s">
        <v>58</v>
      </c>
      <c r="AM127" t="s">
        <v>58</v>
      </c>
      <c r="AN127" t="s">
        <v>71</v>
      </c>
      <c r="AO127">
        <v>14</v>
      </c>
      <c r="AP127">
        <v>4</v>
      </c>
      <c r="AQ127">
        <v>11</v>
      </c>
      <c r="AR127">
        <v>11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s">
        <v>61</v>
      </c>
      <c r="BA127" t="s">
        <v>57</v>
      </c>
      <c r="BC127" t="s">
        <v>58</v>
      </c>
      <c r="BD127" t="s">
        <v>58</v>
      </c>
      <c r="BE127">
        <v>8</v>
      </c>
    </row>
    <row r="128" spans="1:57" x14ac:dyDescent="0.25">
      <c r="A128" t="s">
        <v>299</v>
      </c>
      <c r="B128">
        <v>228</v>
      </c>
      <c r="C128">
        <v>0</v>
      </c>
      <c r="D128">
        <v>0</v>
      </c>
      <c r="E128">
        <v>0</v>
      </c>
      <c r="F128" t="s">
        <v>170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145</v>
      </c>
      <c r="N128">
        <v>-1</v>
      </c>
      <c r="O128">
        <v>0</v>
      </c>
      <c r="P128">
        <v>-1</v>
      </c>
      <c r="Q128">
        <v>0</v>
      </c>
      <c r="R128" t="s">
        <v>70</v>
      </c>
      <c r="S128">
        <v>0</v>
      </c>
      <c r="T128">
        <v>0</v>
      </c>
      <c r="U128">
        <v>780</v>
      </c>
      <c r="V128" t="s">
        <v>57</v>
      </c>
      <c r="W128">
        <v>0</v>
      </c>
      <c r="X128">
        <v>0</v>
      </c>
      <c r="Y128">
        <v>0</v>
      </c>
      <c r="Z128">
        <v>0</v>
      </c>
      <c r="AA128" t="s">
        <v>67</v>
      </c>
      <c r="AB128">
        <v>0</v>
      </c>
      <c r="AC128">
        <v>0</v>
      </c>
      <c r="AD128">
        <v>0</v>
      </c>
      <c r="AE128">
        <v>0</v>
      </c>
      <c r="AF128" t="s">
        <v>60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s">
        <v>58</v>
      </c>
      <c r="AM128" t="s">
        <v>58</v>
      </c>
      <c r="AN128" t="s">
        <v>71</v>
      </c>
      <c r="AO128">
        <v>14</v>
      </c>
      <c r="AP128">
        <v>4</v>
      </c>
      <c r="AQ128">
        <v>7</v>
      </c>
      <c r="AR128">
        <v>11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s">
        <v>61</v>
      </c>
      <c r="BA128" t="s">
        <v>57</v>
      </c>
      <c r="BC128" t="s">
        <v>58</v>
      </c>
      <c r="BD128" t="s">
        <v>58</v>
      </c>
      <c r="BE128">
        <v>8</v>
      </c>
    </row>
    <row r="129" spans="1:57" x14ac:dyDescent="0.25">
      <c r="A129" t="s">
        <v>300</v>
      </c>
      <c r="B129">
        <v>305</v>
      </c>
      <c r="C129">
        <v>0</v>
      </c>
      <c r="D129">
        <v>0</v>
      </c>
      <c r="E129">
        <v>0</v>
      </c>
      <c r="F129" t="s">
        <v>155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173</v>
      </c>
      <c r="N129">
        <v>-1</v>
      </c>
      <c r="O129">
        <v>0</v>
      </c>
      <c r="P129">
        <v>-1</v>
      </c>
      <c r="Q129">
        <v>0</v>
      </c>
      <c r="R129" t="s">
        <v>70</v>
      </c>
      <c r="S129">
        <v>0</v>
      </c>
      <c r="T129">
        <v>0</v>
      </c>
      <c r="U129">
        <v>975</v>
      </c>
      <c r="V129" t="s">
        <v>57</v>
      </c>
      <c r="W129">
        <v>0</v>
      </c>
      <c r="X129">
        <v>0</v>
      </c>
      <c r="Y129">
        <v>0</v>
      </c>
      <c r="Z129">
        <v>0</v>
      </c>
      <c r="AA129" t="s">
        <v>67</v>
      </c>
      <c r="AB129">
        <v>0</v>
      </c>
      <c r="AC129">
        <v>0</v>
      </c>
      <c r="AD129">
        <v>0</v>
      </c>
      <c r="AE129">
        <v>0</v>
      </c>
      <c r="AF129" t="s">
        <v>60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s">
        <v>58</v>
      </c>
      <c r="AM129" t="s">
        <v>58</v>
      </c>
      <c r="AN129" t="s">
        <v>71</v>
      </c>
      <c r="AO129">
        <v>14</v>
      </c>
      <c r="AP129">
        <v>8</v>
      </c>
      <c r="AQ129">
        <v>9</v>
      </c>
      <c r="AR129">
        <v>11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s">
        <v>61</v>
      </c>
      <c r="BA129" t="s">
        <v>57</v>
      </c>
      <c r="BC129" t="s">
        <v>58</v>
      </c>
      <c r="BD129" t="s">
        <v>58</v>
      </c>
      <c r="BE129">
        <v>8</v>
      </c>
    </row>
    <row r="130" spans="1:57" x14ac:dyDescent="0.25">
      <c r="A130" t="s">
        <v>301</v>
      </c>
      <c r="B130">
        <v>149</v>
      </c>
      <c r="C130">
        <v>0</v>
      </c>
      <c r="D130">
        <v>0</v>
      </c>
      <c r="E130">
        <v>0</v>
      </c>
      <c r="F130" t="s">
        <v>158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154</v>
      </c>
      <c r="N130">
        <v>-1</v>
      </c>
      <c r="O130">
        <v>0</v>
      </c>
      <c r="P130">
        <v>-1</v>
      </c>
      <c r="Q130">
        <v>0</v>
      </c>
      <c r="R130" t="s">
        <v>70</v>
      </c>
      <c r="S130">
        <v>0</v>
      </c>
      <c r="T130">
        <v>0</v>
      </c>
      <c r="U130">
        <v>975</v>
      </c>
      <c r="V130" t="s">
        <v>57</v>
      </c>
      <c r="W130">
        <v>0</v>
      </c>
      <c r="X130">
        <v>0</v>
      </c>
      <c r="Y130">
        <v>0</v>
      </c>
      <c r="Z130">
        <v>0</v>
      </c>
      <c r="AA130" t="s">
        <v>67</v>
      </c>
      <c r="AB130">
        <v>0</v>
      </c>
      <c r="AC130">
        <v>0</v>
      </c>
      <c r="AD130">
        <v>0</v>
      </c>
      <c r="AE130">
        <v>0</v>
      </c>
      <c r="AF130" t="s">
        <v>60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s">
        <v>58</v>
      </c>
      <c r="AM130" t="s">
        <v>58</v>
      </c>
      <c r="AN130" t="s">
        <v>71</v>
      </c>
      <c r="AO130">
        <v>14</v>
      </c>
      <c r="AP130">
        <v>9</v>
      </c>
      <c r="AQ130">
        <v>10</v>
      </c>
      <c r="AR130">
        <v>11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s">
        <v>61</v>
      </c>
      <c r="BA130" t="s">
        <v>57</v>
      </c>
      <c r="BC130" t="s">
        <v>58</v>
      </c>
      <c r="BD130" t="s">
        <v>58</v>
      </c>
      <c r="BE130">
        <v>8</v>
      </c>
    </row>
    <row r="131" spans="1:57" x14ac:dyDescent="0.25">
      <c r="A131" t="s">
        <v>302</v>
      </c>
      <c r="B131">
        <v>150</v>
      </c>
      <c r="C131">
        <v>0</v>
      </c>
      <c r="D131">
        <v>0</v>
      </c>
      <c r="E131">
        <v>0</v>
      </c>
      <c r="F131" t="s">
        <v>143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168</v>
      </c>
      <c r="N131">
        <v>-1</v>
      </c>
      <c r="O131">
        <v>0</v>
      </c>
      <c r="P131">
        <v>-1</v>
      </c>
      <c r="Q131">
        <v>0</v>
      </c>
      <c r="R131" t="s">
        <v>70</v>
      </c>
      <c r="S131">
        <v>0</v>
      </c>
      <c r="T131">
        <v>0</v>
      </c>
      <c r="U131">
        <v>965</v>
      </c>
      <c r="V131" t="s">
        <v>57</v>
      </c>
      <c r="W131">
        <v>0</v>
      </c>
      <c r="X131">
        <v>0</v>
      </c>
      <c r="Y131">
        <v>0</v>
      </c>
      <c r="Z131">
        <v>0</v>
      </c>
      <c r="AA131" t="s">
        <v>67</v>
      </c>
      <c r="AB131">
        <v>0</v>
      </c>
      <c r="AC131">
        <v>0</v>
      </c>
      <c r="AD131">
        <v>0</v>
      </c>
      <c r="AE131">
        <v>0</v>
      </c>
      <c r="AF131" t="s">
        <v>60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s">
        <v>58</v>
      </c>
      <c r="AM131" t="s">
        <v>58</v>
      </c>
      <c r="AN131" t="s">
        <v>71</v>
      </c>
      <c r="AO131">
        <v>14</v>
      </c>
      <c r="AP131">
        <v>9</v>
      </c>
      <c r="AQ131">
        <v>8</v>
      </c>
      <c r="AR131">
        <v>11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s">
        <v>61</v>
      </c>
      <c r="BA131" t="s">
        <v>57</v>
      </c>
      <c r="BC131" t="s">
        <v>58</v>
      </c>
      <c r="BD131" t="s">
        <v>58</v>
      </c>
      <c r="BE131">
        <v>8</v>
      </c>
    </row>
    <row r="132" spans="1:57" x14ac:dyDescent="0.25">
      <c r="A132" t="s">
        <v>303</v>
      </c>
      <c r="B132">
        <v>286</v>
      </c>
      <c r="C132">
        <v>0</v>
      </c>
      <c r="D132">
        <v>0</v>
      </c>
      <c r="E132">
        <v>0</v>
      </c>
      <c r="F132" t="s">
        <v>166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161</v>
      </c>
      <c r="N132">
        <v>-1</v>
      </c>
      <c r="O132">
        <v>0</v>
      </c>
      <c r="P132">
        <v>-1</v>
      </c>
      <c r="Q132">
        <v>0</v>
      </c>
      <c r="R132" t="s">
        <v>70</v>
      </c>
      <c r="S132">
        <v>0</v>
      </c>
      <c r="T132">
        <v>0</v>
      </c>
      <c r="U132">
        <v>780</v>
      </c>
      <c r="V132" t="s">
        <v>57</v>
      </c>
      <c r="W132">
        <v>0</v>
      </c>
      <c r="X132">
        <v>0</v>
      </c>
      <c r="Y132">
        <v>0</v>
      </c>
      <c r="Z132">
        <v>0</v>
      </c>
      <c r="AA132" t="s">
        <v>67</v>
      </c>
      <c r="AB132">
        <v>0</v>
      </c>
      <c r="AC132">
        <v>0</v>
      </c>
      <c r="AD132">
        <v>0</v>
      </c>
      <c r="AE132">
        <v>0</v>
      </c>
      <c r="AF132" t="s">
        <v>60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s">
        <v>58</v>
      </c>
      <c r="AM132" t="s">
        <v>58</v>
      </c>
      <c r="AN132" t="s">
        <v>71</v>
      </c>
      <c r="AO132">
        <v>14</v>
      </c>
      <c r="AP132">
        <v>13</v>
      </c>
      <c r="AQ132">
        <v>0</v>
      </c>
      <c r="AR132">
        <v>11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s">
        <v>61</v>
      </c>
      <c r="BA132" t="s">
        <v>57</v>
      </c>
      <c r="BC132" t="s">
        <v>58</v>
      </c>
      <c r="BD132" t="s">
        <v>58</v>
      </c>
      <c r="BE132">
        <v>8</v>
      </c>
    </row>
    <row r="133" spans="1:57" x14ac:dyDescent="0.25">
      <c r="A133" t="s">
        <v>304</v>
      </c>
      <c r="B133">
        <v>97</v>
      </c>
      <c r="C133">
        <v>0</v>
      </c>
      <c r="D133">
        <v>0</v>
      </c>
      <c r="E133">
        <v>0</v>
      </c>
      <c r="F133" t="s">
        <v>162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165</v>
      </c>
      <c r="N133">
        <v>-1</v>
      </c>
      <c r="O133">
        <v>0</v>
      </c>
      <c r="P133">
        <v>-1</v>
      </c>
      <c r="Q133">
        <v>0</v>
      </c>
      <c r="R133" t="s">
        <v>70</v>
      </c>
      <c r="S133">
        <v>0</v>
      </c>
      <c r="T133">
        <v>0</v>
      </c>
      <c r="U133">
        <v>780</v>
      </c>
      <c r="V133" t="s">
        <v>57</v>
      </c>
      <c r="W133">
        <v>0</v>
      </c>
      <c r="X133">
        <v>0</v>
      </c>
      <c r="Y133">
        <v>0</v>
      </c>
      <c r="Z133">
        <v>0</v>
      </c>
      <c r="AA133" t="s">
        <v>67</v>
      </c>
      <c r="AB133">
        <v>0</v>
      </c>
      <c r="AC133">
        <v>0</v>
      </c>
      <c r="AD133">
        <v>0</v>
      </c>
      <c r="AE133">
        <v>0</v>
      </c>
      <c r="AF133" t="s">
        <v>60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s">
        <v>58</v>
      </c>
      <c r="AM133" t="s">
        <v>58</v>
      </c>
      <c r="AN133" t="s">
        <v>71</v>
      </c>
      <c r="AO133">
        <v>14</v>
      </c>
      <c r="AP133">
        <v>14</v>
      </c>
      <c r="AQ133">
        <v>0</v>
      </c>
      <c r="AR133">
        <v>11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s">
        <v>61</v>
      </c>
      <c r="BA133" t="s">
        <v>57</v>
      </c>
      <c r="BC133" t="s">
        <v>58</v>
      </c>
      <c r="BD133" t="s">
        <v>58</v>
      </c>
      <c r="BE133">
        <v>8</v>
      </c>
    </row>
    <row r="134" spans="1:57" x14ac:dyDescent="0.25">
      <c r="A134" t="s">
        <v>305</v>
      </c>
      <c r="B134">
        <v>253</v>
      </c>
      <c r="C134">
        <v>0</v>
      </c>
      <c r="D134">
        <v>0</v>
      </c>
      <c r="E134">
        <v>0</v>
      </c>
      <c r="F134" t="s">
        <v>159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152</v>
      </c>
      <c r="N134">
        <v>-1</v>
      </c>
      <c r="O134">
        <v>0</v>
      </c>
      <c r="P134">
        <v>-1</v>
      </c>
      <c r="Q134">
        <v>0</v>
      </c>
      <c r="R134" t="s">
        <v>70</v>
      </c>
      <c r="S134">
        <v>0</v>
      </c>
      <c r="T134">
        <v>0</v>
      </c>
      <c r="U134">
        <v>1220</v>
      </c>
      <c r="V134" t="s">
        <v>57</v>
      </c>
      <c r="W134">
        <v>0</v>
      </c>
      <c r="X134">
        <v>0</v>
      </c>
      <c r="Y134">
        <v>0</v>
      </c>
      <c r="Z134">
        <v>0</v>
      </c>
      <c r="AA134" t="s">
        <v>68</v>
      </c>
      <c r="AB134">
        <v>0</v>
      </c>
      <c r="AC134">
        <v>0</v>
      </c>
      <c r="AD134">
        <v>0</v>
      </c>
      <c r="AE134">
        <v>0</v>
      </c>
      <c r="AF134" t="s">
        <v>68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s">
        <v>58</v>
      </c>
      <c r="AM134" t="s">
        <v>58</v>
      </c>
      <c r="AN134" t="s">
        <v>71</v>
      </c>
      <c r="AO134">
        <v>14</v>
      </c>
      <c r="AP134">
        <v>14</v>
      </c>
      <c r="AQ134">
        <v>15</v>
      </c>
      <c r="AR134">
        <v>11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s">
        <v>61</v>
      </c>
      <c r="BA134" t="s">
        <v>57</v>
      </c>
      <c r="BC134" t="s">
        <v>58</v>
      </c>
      <c r="BD134" t="s">
        <v>58</v>
      </c>
      <c r="BE134">
        <v>8</v>
      </c>
    </row>
    <row r="135" spans="1:57" x14ac:dyDescent="0.25">
      <c r="A135" t="s">
        <v>306</v>
      </c>
      <c r="B135">
        <v>202</v>
      </c>
      <c r="C135">
        <v>0</v>
      </c>
      <c r="D135">
        <v>0</v>
      </c>
      <c r="E135">
        <v>0</v>
      </c>
      <c r="F135" t="s">
        <v>146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164</v>
      </c>
      <c r="N135">
        <v>-1</v>
      </c>
      <c r="O135">
        <v>0</v>
      </c>
      <c r="P135">
        <v>-1</v>
      </c>
      <c r="Q135">
        <v>0</v>
      </c>
      <c r="R135" t="s">
        <v>70</v>
      </c>
      <c r="S135">
        <v>0</v>
      </c>
      <c r="T135">
        <v>0</v>
      </c>
      <c r="U135">
        <v>1230</v>
      </c>
      <c r="V135" t="s">
        <v>57</v>
      </c>
      <c r="W135">
        <v>0</v>
      </c>
      <c r="X135">
        <v>0</v>
      </c>
      <c r="Y135">
        <v>0</v>
      </c>
      <c r="Z135">
        <v>0</v>
      </c>
      <c r="AA135" t="s">
        <v>65</v>
      </c>
      <c r="AB135">
        <v>0</v>
      </c>
      <c r="AC135">
        <v>0</v>
      </c>
      <c r="AD135">
        <v>0</v>
      </c>
      <c r="AE135">
        <v>0</v>
      </c>
      <c r="AF135" t="s">
        <v>65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s">
        <v>58</v>
      </c>
      <c r="AM135" t="s">
        <v>58</v>
      </c>
      <c r="AN135" t="s">
        <v>71</v>
      </c>
      <c r="AO135">
        <v>14</v>
      </c>
      <c r="AP135">
        <v>16</v>
      </c>
      <c r="AQ135">
        <v>14</v>
      </c>
      <c r="AR135">
        <v>11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s">
        <v>61</v>
      </c>
      <c r="BA135" t="s">
        <v>57</v>
      </c>
      <c r="BC135" t="s">
        <v>58</v>
      </c>
      <c r="BD135" t="s">
        <v>58</v>
      </c>
      <c r="BE135">
        <v>8</v>
      </c>
    </row>
    <row r="136" spans="1:57" x14ac:dyDescent="0.25">
      <c r="A136" t="s">
        <v>307</v>
      </c>
      <c r="B136">
        <v>207</v>
      </c>
      <c r="C136">
        <v>0</v>
      </c>
      <c r="D136">
        <v>0</v>
      </c>
      <c r="E136">
        <v>0</v>
      </c>
      <c r="F136" t="s">
        <v>149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150</v>
      </c>
      <c r="N136">
        <v>-1</v>
      </c>
      <c r="O136">
        <v>0</v>
      </c>
      <c r="P136">
        <v>-1</v>
      </c>
      <c r="Q136">
        <v>0</v>
      </c>
      <c r="R136" t="s">
        <v>70</v>
      </c>
      <c r="S136">
        <v>0</v>
      </c>
      <c r="T136">
        <v>0</v>
      </c>
      <c r="U136">
        <v>1220</v>
      </c>
      <c r="V136" t="s">
        <v>57</v>
      </c>
      <c r="W136">
        <v>0</v>
      </c>
      <c r="X136">
        <v>0</v>
      </c>
      <c r="Y136">
        <v>0</v>
      </c>
      <c r="Z136">
        <v>0</v>
      </c>
      <c r="AA136" t="s">
        <v>60</v>
      </c>
      <c r="AB136">
        <v>0</v>
      </c>
      <c r="AC136">
        <v>0</v>
      </c>
      <c r="AD136">
        <v>0</v>
      </c>
      <c r="AE136">
        <v>0</v>
      </c>
      <c r="AF136" t="s">
        <v>60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s">
        <v>58</v>
      </c>
      <c r="AM136" t="s">
        <v>58</v>
      </c>
      <c r="AN136" t="s">
        <v>71</v>
      </c>
      <c r="AO136">
        <v>14</v>
      </c>
      <c r="AP136">
        <v>17</v>
      </c>
      <c r="AQ136">
        <v>15</v>
      </c>
      <c r="AR136">
        <v>11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s">
        <v>61</v>
      </c>
      <c r="BA136" t="s">
        <v>57</v>
      </c>
      <c r="BC136" t="s">
        <v>58</v>
      </c>
      <c r="BD136" t="s">
        <v>58</v>
      </c>
      <c r="BE136">
        <v>8</v>
      </c>
    </row>
    <row r="137" spans="1:57" x14ac:dyDescent="0.25">
      <c r="A137" t="s">
        <v>308</v>
      </c>
      <c r="B137">
        <v>302</v>
      </c>
      <c r="C137">
        <v>0</v>
      </c>
      <c r="D137">
        <v>0</v>
      </c>
      <c r="E137">
        <v>0</v>
      </c>
      <c r="F137" t="s">
        <v>172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167</v>
      </c>
      <c r="N137">
        <v>-1</v>
      </c>
      <c r="O137">
        <v>0</v>
      </c>
      <c r="P137">
        <v>-1</v>
      </c>
      <c r="Q137">
        <v>0</v>
      </c>
      <c r="R137" t="s">
        <v>70</v>
      </c>
      <c r="S137">
        <v>0</v>
      </c>
      <c r="T137">
        <v>0</v>
      </c>
      <c r="U137">
        <v>975</v>
      </c>
      <c r="V137" t="s">
        <v>57</v>
      </c>
      <c r="W137">
        <v>0</v>
      </c>
      <c r="X137">
        <v>0</v>
      </c>
      <c r="Y137">
        <v>0</v>
      </c>
      <c r="Z137">
        <v>0</v>
      </c>
      <c r="AA137" t="s">
        <v>67</v>
      </c>
      <c r="AB137">
        <v>0</v>
      </c>
      <c r="AC137">
        <v>0</v>
      </c>
      <c r="AD137">
        <v>0</v>
      </c>
      <c r="AE137">
        <v>0</v>
      </c>
      <c r="AF137" t="s">
        <v>60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s">
        <v>58</v>
      </c>
      <c r="AM137" t="s">
        <v>58</v>
      </c>
      <c r="AN137" t="s">
        <v>71</v>
      </c>
      <c r="AO137">
        <v>14</v>
      </c>
      <c r="AP137">
        <v>17</v>
      </c>
      <c r="AQ137">
        <v>12</v>
      </c>
      <c r="AR137">
        <v>11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s">
        <v>61</v>
      </c>
      <c r="BA137" t="s">
        <v>57</v>
      </c>
      <c r="BC137" t="s">
        <v>58</v>
      </c>
      <c r="BD137" t="s">
        <v>58</v>
      </c>
      <c r="BE137">
        <v>8</v>
      </c>
    </row>
    <row r="138" spans="1:57" x14ac:dyDescent="0.25">
      <c r="A138" t="s">
        <v>309</v>
      </c>
      <c r="B138">
        <v>79</v>
      </c>
      <c r="C138">
        <v>0</v>
      </c>
      <c r="D138">
        <v>0</v>
      </c>
      <c r="E138">
        <v>0</v>
      </c>
      <c r="F138" t="s">
        <v>145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148</v>
      </c>
      <c r="N138">
        <v>-1</v>
      </c>
      <c r="O138">
        <v>0</v>
      </c>
      <c r="P138">
        <v>-1</v>
      </c>
      <c r="Q138">
        <v>0</v>
      </c>
      <c r="R138" t="s">
        <v>70</v>
      </c>
      <c r="S138">
        <v>0</v>
      </c>
      <c r="T138">
        <v>0</v>
      </c>
      <c r="U138">
        <v>965</v>
      </c>
      <c r="V138" t="s">
        <v>57</v>
      </c>
      <c r="W138">
        <v>0</v>
      </c>
      <c r="X138">
        <v>0</v>
      </c>
      <c r="Y138">
        <v>0</v>
      </c>
      <c r="Z138">
        <v>0</v>
      </c>
      <c r="AA138" t="s">
        <v>67</v>
      </c>
      <c r="AB138">
        <v>0</v>
      </c>
      <c r="AC138">
        <v>0</v>
      </c>
      <c r="AD138">
        <v>0</v>
      </c>
      <c r="AE138">
        <v>0</v>
      </c>
      <c r="AF138" t="s">
        <v>60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s">
        <v>58</v>
      </c>
      <c r="AM138" t="s">
        <v>58</v>
      </c>
      <c r="AN138" t="s">
        <v>71</v>
      </c>
      <c r="AO138">
        <v>14</v>
      </c>
      <c r="AP138">
        <v>1</v>
      </c>
      <c r="AQ138">
        <v>8</v>
      </c>
      <c r="AR138">
        <v>11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s">
        <v>61</v>
      </c>
      <c r="BA138" t="s">
        <v>57</v>
      </c>
      <c r="BC138" t="s">
        <v>58</v>
      </c>
      <c r="BD138" t="s">
        <v>58</v>
      </c>
      <c r="BE138">
        <v>9</v>
      </c>
    </row>
    <row r="139" spans="1:57" x14ac:dyDescent="0.25">
      <c r="A139" t="s">
        <v>310</v>
      </c>
      <c r="B139">
        <v>125</v>
      </c>
      <c r="C139">
        <v>0</v>
      </c>
      <c r="D139">
        <v>0</v>
      </c>
      <c r="E139">
        <v>0</v>
      </c>
      <c r="F139" t="s">
        <v>160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167</v>
      </c>
      <c r="N139">
        <v>-1</v>
      </c>
      <c r="O139">
        <v>0</v>
      </c>
      <c r="P139">
        <v>-1</v>
      </c>
      <c r="Q139">
        <v>0</v>
      </c>
      <c r="R139" t="s">
        <v>70</v>
      </c>
      <c r="S139">
        <v>0</v>
      </c>
      <c r="T139">
        <v>0</v>
      </c>
      <c r="U139">
        <v>975</v>
      </c>
      <c r="V139" t="s">
        <v>57</v>
      </c>
      <c r="W139">
        <v>0</v>
      </c>
      <c r="X139">
        <v>0</v>
      </c>
      <c r="Y139">
        <v>0</v>
      </c>
      <c r="Z139">
        <v>0</v>
      </c>
      <c r="AA139" t="s">
        <v>67</v>
      </c>
      <c r="AB139">
        <v>0</v>
      </c>
      <c r="AC139">
        <v>0</v>
      </c>
      <c r="AD139">
        <v>0</v>
      </c>
      <c r="AE139">
        <v>0</v>
      </c>
      <c r="AF139" t="s">
        <v>60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s">
        <v>58</v>
      </c>
      <c r="AM139" t="s">
        <v>58</v>
      </c>
      <c r="AN139" t="s">
        <v>71</v>
      </c>
      <c r="AO139">
        <v>14</v>
      </c>
      <c r="AP139">
        <v>0</v>
      </c>
      <c r="AQ139">
        <v>11</v>
      </c>
      <c r="AR139">
        <v>11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s">
        <v>61</v>
      </c>
      <c r="BA139" t="s">
        <v>57</v>
      </c>
      <c r="BC139" t="s">
        <v>58</v>
      </c>
      <c r="BD139" t="s">
        <v>58</v>
      </c>
      <c r="BE139">
        <v>9</v>
      </c>
    </row>
    <row r="140" spans="1:57" x14ac:dyDescent="0.25">
      <c r="A140" t="s">
        <v>311</v>
      </c>
      <c r="B140">
        <v>309</v>
      </c>
      <c r="C140">
        <v>0</v>
      </c>
      <c r="D140">
        <v>0</v>
      </c>
      <c r="E140">
        <v>0</v>
      </c>
      <c r="F140" t="s">
        <v>150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144</v>
      </c>
      <c r="N140">
        <v>-1</v>
      </c>
      <c r="O140">
        <v>0</v>
      </c>
      <c r="P140">
        <v>-1</v>
      </c>
      <c r="Q140">
        <v>0</v>
      </c>
      <c r="R140" t="s">
        <v>70</v>
      </c>
      <c r="S140">
        <v>0</v>
      </c>
      <c r="T140">
        <v>0</v>
      </c>
      <c r="U140">
        <v>780</v>
      </c>
      <c r="V140" t="s">
        <v>57</v>
      </c>
      <c r="W140">
        <v>0</v>
      </c>
      <c r="X140">
        <v>0</v>
      </c>
      <c r="Y140">
        <v>0</v>
      </c>
      <c r="Z140">
        <v>0</v>
      </c>
      <c r="AA140" t="s">
        <v>67</v>
      </c>
      <c r="AB140">
        <v>0</v>
      </c>
      <c r="AC140">
        <v>0</v>
      </c>
      <c r="AD140">
        <v>0</v>
      </c>
      <c r="AE140">
        <v>0</v>
      </c>
      <c r="AF140" t="s">
        <v>60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s">
        <v>58</v>
      </c>
      <c r="AM140" t="s">
        <v>58</v>
      </c>
      <c r="AN140" t="s">
        <v>71</v>
      </c>
      <c r="AO140">
        <v>14</v>
      </c>
      <c r="AP140">
        <v>2</v>
      </c>
      <c r="AQ140">
        <v>3</v>
      </c>
      <c r="AR140">
        <v>11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s">
        <v>61</v>
      </c>
      <c r="BA140" t="s">
        <v>57</v>
      </c>
      <c r="BC140" t="s">
        <v>58</v>
      </c>
      <c r="BD140" t="s">
        <v>58</v>
      </c>
      <c r="BE140">
        <v>9</v>
      </c>
    </row>
    <row r="141" spans="1:57" x14ac:dyDescent="0.25">
      <c r="A141" t="s">
        <v>312</v>
      </c>
      <c r="B141">
        <v>311</v>
      </c>
      <c r="C141">
        <v>0</v>
      </c>
      <c r="D141">
        <v>0</v>
      </c>
      <c r="E141">
        <v>0</v>
      </c>
      <c r="F141" t="s">
        <v>172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158</v>
      </c>
      <c r="N141">
        <v>-1</v>
      </c>
      <c r="O141">
        <v>0</v>
      </c>
      <c r="P141">
        <v>-1</v>
      </c>
      <c r="Q141">
        <v>0</v>
      </c>
      <c r="R141" t="s">
        <v>70</v>
      </c>
      <c r="S141">
        <v>0</v>
      </c>
      <c r="T141">
        <v>0</v>
      </c>
      <c r="U141">
        <v>780</v>
      </c>
      <c r="V141" t="s">
        <v>57</v>
      </c>
      <c r="W141">
        <v>0</v>
      </c>
      <c r="X141">
        <v>0</v>
      </c>
      <c r="Y141">
        <v>0</v>
      </c>
      <c r="Z141">
        <v>0</v>
      </c>
      <c r="AA141" t="s">
        <v>67</v>
      </c>
      <c r="AB141">
        <v>0</v>
      </c>
      <c r="AC141">
        <v>0</v>
      </c>
      <c r="AD141">
        <v>0</v>
      </c>
      <c r="AE141">
        <v>0</v>
      </c>
      <c r="AF141" t="s">
        <v>60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s">
        <v>58</v>
      </c>
      <c r="AM141" t="s">
        <v>58</v>
      </c>
      <c r="AN141" t="s">
        <v>71</v>
      </c>
      <c r="AO141">
        <v>14</v>
      </c>
      <c r="AP141">
        <v>4</v>
      </c>
      <c r="AQ141">
        <v>6</v>
      </c>
      <c r="AR141">
        <v>11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s">
        <v>61</v>
      </c>
      <c r="BA141" t="s">
        <v>57</v>
      </c>
      <c r="BC141" t="s">
        <v>58</v>
      </c>
      <c r="BD141" t="s">
        <v>58</v>
      </c>
      <c r="BE141">
        <v>9</v>
      </c>
    </row>
    <row r="142" spans="1:57" x14ac:dyDescent="0.25">
      <c r="A142" t="s">
        <v>313</v>
      </c>
      <c r="B142">
        <v>218</v>
      </c>
      <c r="C142">
        <v>0</v>
      </c>
      <c r="D142">
        <v>0</v>
      </c>
      <c r="E142">
        <v>0</v>
      </c>
      <c r="F142" t="s">
        <v>155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159</v>
      </c>
      <c r="N142">
        <v>-1</v>
      </c>
      <c r="O142">
        <v>0</v>
      </c>
      <c r="P142">
        <v>-1</v>
      </c>
      <c r="Q142">
        <v>0</v>
      </c>
      <c r="R142" t="s">
        <v>70</v>
      </c>
      <c r="S142">
        <v>0</v>
      </c>
      <c r="T142">
        <v>0</v>
      </c>
      <c r="U142">
        <v>1220</v>
      </c>
      <c r="V142" t="s">
        <v>57</v>
      </c>
      <c r="W142">
        <v>0</v>
      </c>
      <c r="X142">
        <v>0</v>
      </c>
      <c r="Y142">
        <v>0</v>
      </c>
      <c r="Z142">
        <v>0</v>
      </c>
      <c r="AA142" t="s">
        <v>68</v>
      </c>
      <c r="AB142">
        <v>0</v>
      </c>
      <c r="AC142">
        <v>0</v>
      </c>
      <c r="AD142">
        <v>0</v>
      </c>
      <c r="AE142">
        <v>0</v>
      </c>
      <c r="AF142" t="s">
        <v>68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s">
        <v>58</v>
      </c>
      <c r="AM142" t="s">
        <v>58</v>
      </c>
      <c r="AN142" t="s">
        <v>71</v>
      </c>
      <c r="AO142">
        <v>14</v>
      </c>
      <c r="AP142">
        <v>7</v>
      </c>
      <c r="AQ142">
        <v>14</v>
      </c>
      <c r="AR142">
        <v>11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s">
        <v>61</v>
      </c>
      <c r="BA142" t="s">
        <v>57</v>
      </c>
      <c r="BC142" t="s">
        <v>58</v>
      </c>
      <c r="BD142" t="s">
        <v>58</v>
      </c>
      <c r="BE142">
        <v>9</v>
      </c>
    </row>
    <row r="143" spans="1:57" x14ac:dyDescent="0.25">
      <c r="A143" t="s">
        <v>314</v>
      </c>
      <c r="B143">
        <v>191</v>
      </c>
      <c r="C143">
        <v>0</v>
      </c>
      <c r="D143">
        <v>0</v>
      </c>
      <c r="E143">
        <v>0</v>
      </c>
      <c r="F143" t="s">
        <v>153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157</v>
      </c>
      <c r="N143">
        <v>-1</v>
      </c>
      <c r="O143">
        <v>0</v>
      </c>
      <c r="P143">
        <v>-1</v>
      </c>
      <c r="Q143">
        <v>0</v>
      </c>
      <c r="R143" t="s">
        <v>70</v>
      </c>
      <c r="S143">
        <v>0</v>
      </c>
      <c r="T143">
        <v>0</v>
      </c>
      <c r="U143">
        <v>780</v>
      </c>
      <c r="V143" t="s">
        <v>57</v>
      </c>
      <c r="W143">
        <v>0</v>
      </c>
      <c r="X143">
        <v>0</v>
      </c>
      <c r="Y143">
        <v>0</v>
      </c>
      <c r="Z143">
        <v>0</v>
      </c>
      <c r="AA143" t="s">
        <v>67</v>
      </c>
      <c r="AB143">
        <v>0</v>
      </c>
      <c r="AC143">
        <v>0</v>
      </c>
      <c r="AD143">
        <v>0</v>
      </c>
      <c r="AE143">
        <v>0</v>
      </c>
      <c r="AF143" t="s">
        <v>60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s">
        <v>58</v>
      </c>
      <c r="AM143" t="s">
        <v>58</v>
      </c>
      <c r="AN143" t="s">
        <v>71</v>
      </c>
      <c r="AO143">
        <v>14</v>
      </c>
      <c r="AP143">
        <v>7</v>
      </c>
      <c r="AQ143">
        <v>3</v>
      </c>
      <c r="AR143">
        <v>11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s">
        <v>61</v>
      </c>
      <c r="BA143" t="s">
        <v>57</v>
      </c>
      <c r="BC143" t="s">
        <v>58</v>
      </c>
      <c r="BD143" t="s">
        <v>58</v>
      </c>
      <c r="BE143">
        <v>9</v>
      </c>
    </row>
    <row r="144" spans="1:57" x14ac:dyDescent="0.25">
      <c r="A144" t="s">
        <v>315</v>
      </c>
      <c r="B144">
        <v>138</v>
      </c>
      <c r="C144">
        <v>0</v>
      </c>
      <c r="D144">
        <v>0</v>
      </c>
      <c r="E144">
        <v>0</v>
      </c>
      <c r="F144" t="s">
        <v>152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173</v>
      </c>
      <c r="N144">
        <v>-1</v>
      </c>
      <c r="O144">
        <v>0</v>
      </c>
      <c r="P144">
        <v>-1</v>
      </c>
      <c r="Q144">
        <v>0</v>
      </c>
      <c r="R144" t="s">
        <v>70</v>
      </c>
      <c r="S144">
        <v>0</v>
      </c>
      <c r="T144">
        <v>0</v>
      </c>
      <c r="U144">
        <v>965</v>
      </c>
      <c r="V144" t="s">
        <v>57</v>
      </c>
      <c r="W144">
        <v>0</v>
      </c>
      <c r="X144">
        <v>0</v>
      </c>
      <c r="Y144">
        <v>0</v>
      </c>
      <c r="Z144">
        <v>0</v>
      </c>
      <c r="AA144" t="s">
        <v>67</v>
      </c>
      <c r="AB144">
        <v>0</v>
      </c>
      <c r="AC144">
        <v>0</v>
      </c>
      <c r="AD144">
        <v>0</v>
      </c>
      <c r="AE144">
        <v>0</v>
      </c>
      <c r="AF144" t="s">
        <v>60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s">
        <v>58</v>
      </c>
      <c r="AM144" t="s">
        <v>58</v>
      </c>
      <c r="AN144" t="s">
        <v>71</v>
      </c>
      <c r="AO144">
        <v>14</v>
      </c>
      <c r="AP144">
        <v>10</v>
      </c>
      <c r="AQ144">
        <v>10</v>
      </c>
      <c r="AR144">
        <v>11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s">
        <v>61</v>
      </c>
      <c r="BA144" t="s">
        <v>57</v>
      </c>
      <c r="BC144" t="s">
        <v>58</v>
      </c>
      <c r="BD144" t="s">
        <v>58</v>
      </c>
      <c r="BE144">
        <v>9</v>
      </c>
    </row>
    <row r="145" spans="1:57" x14ac:dyDescent="0.25">
      <c r="A145" t="s">
        <v>316</v>
      </c>
      <c r="B145">
        <v>83</v>
      </c>
      <c r="C145">
        <v>0</v>
      </c>
      <c r="D145">
        <v>0</v>
      </c>
      <c r="E145">
        <v>0</v>
      </c>
      <c r="F145" t="s">
        <v>165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161</v>
      </c>
      <c r="N145">
        <v>-1</v>
      </c>
      <c r="O145">
        <v>0</v>
      </c>
      <c r="P145">
        <v>-1</v>
      </c>
      <c r="Q145">
        <v>0</v>
      </c>
      <c r="R145" t="s">
        <v>70</v>
      </c>
      <c r="S145">
        <v>0</v>
      </c>
      <c r="T145">
        <v>0</v>
      </c>
      <c r="U145">
        <v>1220</v>
      </c>
      <c r="V145" t="s">
        <v>57</v>
      </c>
      <c r="W145">
        <v>0</v>
      </c>
      <c r="X145">
        <v>0</v>
      </c>
      <c r="Y145">
        <v>0</v>
      </c>
      <c r="Z145">
        <v>0</v>
      </c>
      <c r="AA145" t="s">
        <v>60</v>
      </c>
      <c r="AB145">
        <v>0</v>
      </c>
      <c r="AC145">
        <v>0</v>
      </c>
      <c r="AD145">
        <v>0</v>
      </c>
      <c r="AE145">
        <v>0</v>
      </c>
      <c r="AF145" t="s">
        <v>60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s">
        <v>58</v>
      </c>
      <c r="AM145" t="s">
        <v>58</v>
      </c>
      <c r="AN145" t="s">
        <v>71</v>
      </c>
      <c r="AO145">
        <v>14</v>
      </c>
      <c r="AP145">
        <v>10</v>
      </c>
      <c r="AQ145">
        <v>12</v>
      </c>
      <c r="AR145">
        <v>11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s">
        <v>61</v>
      </c>
      <c r="BA145" t="s">
        <v>57</v>
      </c>
      <c r="BC145" t="s">
        <v>58</v>
      </c>
      <c r="BD145" t="s">
        <v>58</v>
      </c>
      <c r="BE145">
        <v>9</v>
      </c>
    </row>
    <row r="146" spans="1:57" x14ac:dyDescent="0.25">
      <c r="A146" t="s">
        <v>317</v>
      </c>
      <c r="B146">
        <v>110</v>
      </c>
      <c r="C146">
        <v>0</v>
      </c>
      <c r="D146">
        <v>0</v>
      </c>
      <c r="E146">
        <v>0</v>
      </c>
      <c r="F146" t="s">
        <v>166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154</v>
      </c>
      <c r="N146">
        <v>-1</v>
      </c>
      <c r="O146">
        <v>0</v>
      </c>
      <c r="P146">
        <v>-1</v>
      </c>
      <c r="Q146">
        <v>0</v>
      </c>
      <c r="R146" t="s">
        <v>70</v>
      </c>
      <c r="S146">
        <v>0</v>
      </c>
      <c r="T146">
        <v>0</v>
      </c>
      <c r="U146">
        <v>780</v>
      </c>
      <c r="V146" t="s">
        <v>57</v>
      </c>
      <c r="W146">
        <v>0</v>
      </c>
      <c r="X146">
        <v>0</v>
      </c>
      <c r="Y146">
        <v>0</v>
      </c>
      <c r="Z146">
        <v>0</v>
      </c>
      <c r="AA146" t="s">
        <v>67</v>
      </c>
      <c r="AB146">
        <v>0</v>
      </c>
      <c r="AC146">
        <v>0</v>
      </c>
      <c r="AD146">
        <v>0</v>
      </c>
      <c r="AE146">
        <v>0</v>
      </c>
      <c r="AF146" t="s">
        <v>60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s">
        <v>58</v>
      </c>
      <c r="AM146" t="s">
        <v>58</v>
      </c>
      <c r="AN146" t="s">
        <v>71</v>
      </c>
      <c r="AO146">
        <v>14</v>
      </c>
      <c r="AP146">
        <v>12</v>
      </c>
      <c r="AQ146">
        <v>1</v>
      </c>
      <c r="AR146">
        <v>11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s">
        <v>61</v>
      </c>
      <c r="BA146" t="s">
        <v>57</v>
      </c>
      <c r="BC146" t="s">
        <v>58</v>
      </c>
      <c r="BD146" t="s">
        <v>58</v>
      </c>
      <c r="BE146">
        <v>9</v>
      </c>
    </row>
    <row r="147" spans="1:57" x14ac:dyDescent="0.25">
      <c r="A147" t="s">
        <v>318</v>
      </c>
      <c r="B147">
        <v>101</v>
      </c>
      <c r="C147">
        <v>0</v>
      </c>
      <c r="D147">
        <v>0</v>
      </c>
      <c r="E147">
        <v>0</v>
      </c>
      <c r="F147" t="s">
        <v>171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146</v>
      </c>
      <c r="N147">
        <v>-1</v>
      </c>
      <c r="O147">
        <v>0</v>
      </c>
      <c r="P147">
        <v>-1</v>
      </c>
      <c r="Q147">
        <v>0</v>
      </c>
      <c r="R147" t="s">
        <v>70</v>
      </c>
      <c r="S147">
        <v>0</v>
      </c>
      <c r="T147">
        <v>0</v>
      </c>
      <c r="U147">
        <v>1220</v>
      </c>
      <c r="V147" t="s">
        <v>57</v>
      </c>
      <c r="W147">
        <v>0</v>
      </c>
      <c r="X147">
        <v>0</v>
      </c>
      <c r="Y147">
        <v>0</v>
      </c>
      <c r="Z147">
        <v>0</v>
      </c>
      <c r="AA147" t="s">
        <v>60</v>
      </c>
      <c r="AB147">
        <v>0</v>
      </c>
      <c r="AC147">
        <v>0</v>
      </c>
      <c r="AD147">
        <v>0</v>
      </c>
      <c r="AE147">
        <v>0</v>
      </c>
      <c r="AF147" t="s">
        <v>60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s">
        <v>58</v>
      </c>
      <c r="AM147" t="s">
        <v>58</v>
      </c>
      <c r="AN147" t="s">
        <v>71</v>
      </c>
      <c r="AO147">
        <v>14</v>
      </c>
      <c r="AP147">
        <v>13</v>
      </c>
      <c r="AQ147">
        <v>11</v>
      </c>
      <c r="AR147">
        <v>11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s">
        <v>61</v>
      </c>
      <c r="BA147" t="s">
        <v>57</v>
      </c>
      <c r="BC147" t="s">
        <v>58</v>
      </c>
      <c r="BD147" t="s">
        <v>58</v>
      </c>
      <c r="BE147">
        <v>9</v>
      </c>
    </row>
    <row r="148" spans="1:57" x14ac:dyDescent="0.25">
      <c r="A148" t="s">
        <v>319</v>
      </c>
      <c r="B148">
        <v>103</v>
      </c>
      <c r="C148">
        <v>0</v>
      </c>
      <c r="D148">
        <v>0</v>
      </c>
      <c r="E148">
        <v>0</v>
      </c>
      <c r="F148" t="s">
        <v>147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163</v>
      </c>
      <c r="N148">
        <v>-1</v>
      </c>
      <c r="O148">
        <v>0</v>
      </c>
      <c r="P148">
        <v>-1</v>
      </c>
      <c r="Q148">
        <v>0</v>
      </c>
      <c r="R148" t="s">
        <v>70</v>
      </c>
      <c r="S148">
        <v>0</v>
      </c>
      <c r="T148">
        <v>0</v>
      </c>
      <c r="U148">
        <v>780</v>
      </c>
      <c r="V148" t="s">
        <v>57</v>
      </c>
      <c r="W148">
        <v>0</v>
      </c>
      <c r="X148">
        <v>0</v>
      </c>
      <c r="Y148">
        <v>0</v>
      </c>
      <c r="Z148">
        <v>0</v>
      </c>
      <c r="AA148" t="s">
        <v>67</v>
      </c>
      <c r="AB148">
        <v>0</v>
      </c>
      <c r="AC148">
        <v>0</v>
      </c>
      <c r="AD148">
        <v>0</v>
      </c>
      <c r="AE148">
        <v>0</v>
      </c>
      <c r="AF148" t="s">
        <v>60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s">
        <v>58</v>
      </c>
      <c r="AM148" t="s">
        <v>58</v>
      </c>
      <c r="AN148" t="s">
        <v>71</v>
      </c>
      <c r="AO148">
        <v>14</v>
      </c>
      <c r="AP148">
        <v>13</v>
      </c>
      <c r="AQ148">
        <v>6</v>
      </c>
      <c r="AR148">
        <v>11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s">
        <v>61</v>
      </c>
      <c r="BA148" t="s">
        <v>57</v>
      </c>
      <c r="BC148" t="s">
        <v>58</v>
      </c>
      <c r="BD148" t="s">
        <v>58</v>
      </c>
      <c r="BE148">
        <v>9</v>
      </c>
    </row>
    <row r="149" spans="1:57" x14ac:dyDescent="0.25">
      <c r="A149" t="s">
        <v>320</v>
      </c>
      <c r="B149">
        <v>199</v>
      </c>
      <c r="C149">
        <v>0</v>
      </c>
      <c r="D149">
        <v>0</v>
      </c>
      <c r="E149">
        <v>0</v>
      </c>
      <c r="F149" t="s">
        <v>162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156</v>
      </c>
      <c r="N149">
        <v>-1</v>
      </c>
      <c r="O149">
        <v>0</v>
      </c>
      <c r="P149">
        <v>-1</v>
      </c>
      <c r="Q149">
        <v>0</v>
      </c>
      <c r="R149" t="s">
        <v>70</v>
      </c>
      <c r="S149">
        <v>0</v>
      </c>
      <c r="T149">
        <v>0</v>
      </c>
      <c r="U149">
        <v>780</v>
      </c>
      <c r="V149" t="s">
        <v>57</v>
      </c>
      <c r="W149">
        <v>0</v>
      </c>
      <c r="X149">
        <v>0</v>
      </c>
      <c r="Y149">
        <v>0</v>
      </c>
      <c r="Z149">
        <v>0</v>
      </c>
      <c r="AA149" t="s">
        <v>67</v>
      </c>
      <c r="AB149">
        <v>0</v>
      </c>
      <c r="AC149">
        <v>0</v>
      </c>
      <c r="AD149">
        <v>0</v>
      </c>
      <c r="AE149">
        <v>0</v>
      </c>
      <c r="AF149" t="s">
        <v>60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s">
        <v>58</v>
      </c>
      <c r="AM149" t="s">
        <v>58</v>
      </c>
      <c r="AN149" t="s">
        <v>71</v>
      </c>
      <c r="AO149">
        <v>14</v>
      </c>
      <c r="AP149">
        <v>12</v>
      </c>
      <c r="AQ149">
        <v>6</v>
      </c>
      <c r="AR149">
        <v>11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s">
        <v>61</v>
      </c>
      <c r="BA149" t="s">
        <v>57</v>
      </c>
      <c r="BC149" t="s">
        <v>58</v>
      </c>
      <c r="BD149" t="s">
        <v>58</v>
      </c>
      <c r="BE149">
        <v>9</v>
      </c>
    </row>
    <row r="150" spans="1:57" x14ac:dyDescent="0.25">
      <c r="A150" t="s">
        <v>321</v>
      </c>
      <c r="B150">
        <v>226</v>
      </c>
      <c r="C150">
        <v>0</v>
      </c>
      <c r="D150">
        <v>0</v>
      </c>
      <c r="E150">
        <v>0</v>
      </c>
      <c r="F150" t="s">
        <v>164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170</v>
      </c>
      <c r="N150">
        <v>-1</v>
      </c>
      <c r="O150">
        <v>0</v>
      </c>
      <c r="P150">
        <v>-1</v>
      </c>
      <c r="Q150">
        <v>0</v>
      </c>
      <c r="R150" t="s">
        <v>70</v>
      </c>
      <c r="S150">
        <v>0</v>
      </c>
      <c r="T150">
        <v>0</v>
      </c>
      <c r="U150">
        <v>780</v>
      </c>
      <c r="V150" t="s">
        <v>57</v>
      </c>
      <c r="W150">
        <v>0</v>
      </c>
      <c r="X150">
        <v>0</v>
      </c>
      <c r="Y150">
        <v>0</v>
      </c>
      <c r="Z150">
        <v>0</v>
      </c>
      <c r="AA150" t="s">
        <v>67</v>
      </c>
      <c r="AB150">
        <v>0</v>
      </c>
      <c r="AC150">
        <v>0</v>
      </c>
      <c r="AD150">
        <v>0</v>
      </c>
      <c r="AE150">
        <v>0</v>
      </c>
      <c r="AF150" t="s">
        <v>60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s">
        <v>58</v>
      </c>
      <c r="AM150" t="s">
        <v>58</v>
      </c>
      <c r="AN150" t="s">
        <v>71</v>
      </c>
      <c r="AO150">
        <v>14</v>
      </c>
      <c r="AP150">
        <v>15</v>
      </c>
      <c r="AQ150">
        <v>1</v>
      </c>
      <c r="AR150">
        <v>11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s">
        <v>61</v>
      </c>
      <c r="BA150" t="s">
        <v>57</v>
      </c>
      <c r="BC150" t="s">
        <v>58</v>
      </c>
      <c r="BD150" t="s">
        <v>58</v>
      </c>
      <c r="BE150">
        <v>9</v>
      </c>
    </row>
    <row r="151" spans="1:57" x14ac:dyDescent="0.25">
      <c r="A151" t="s">
        <v>322</v>
      </c>
      <c r="B151">
        <v>145</v>
      </c>
      <c r="C151">
        <v>0</v>
      </c>
      <c r="D151">
        <v>0</v>
      </c>
      <c r="E151">
        <v>0</v>
      </c>
      <c r="F151" t="s">
        <v>169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168</v>
      </c>
      <c r="N151">
        <v>-1</v>
      </c>
      <c r="O151">
        <v>0</v>
      </c>
      <c r="P151">
        <v>-1</v>
      </c>
      <c r="Q151">
        <v>0</v>
      </c>
      <c r="R151" t="s">
        <v>70</v>
      </c>
      <c r="S151">
        <v>0</v>
      </c>
      <c r="T151">
        <v>0</v>
      </c>
      <c r="U151">
        <v>975</v>
      </c>
      <c r="V151" t="s">
        <v>57</v>
      </c>
      <c r="W151">
        <v>0</v>
      </c>
      <c r="X151">
        <v>0</v>
      </c>
      <c r="Y151">
        <v>0</v>
      </c>
      <c r="Z151">
        <v>0</v>
      </c>
      <c r="AA151" t="s">
        <v>67</v>
      </c>
      <c r="AB151">
        <v>0</v>
      </c>
      <c r="AC151">
        <v>0</v>
      </c>
      <c r="AD151">
        <v>0</v>
      </c>
      <c r="AE151">
        <v>0</v>
      </c>
      <c r="AF151" t="s">
        <v>60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s">
        <v>58</v>
      </c>
      <c r="AM151" t="s">
        <v>58</v>
      </c>
      <c r="AN151" t="s">
        <v>71</v>
      </c>
      <c r="AO151">
        <v>14</v>
      </c>
      <c r="AP151">
        <v>16</v>
      </c>
      <c r="AQ151">
        <v>12</v>
      </c>
      <c r="AR151">
        <v>11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s">
        <v>61</v>
      </c>
      <c r="BA151" t="s">
        <v>57</v>
      </c>
      <c r="BC151" t="s">
        <v>58</v>
      </c>
      <c r="BD151" t="s">
        <v>58</v>
      </c>
      <c r="BE151">
        <v>9</v>
      </c>
    </row>
    <row r="152" spans="1:57" x14ac:dyDescent="0.25">
      <c r="A152" t="s">
        <v>323</v>
      </c>
      <c r="B152">
        <v>126</v>
      </c>
      <c r="C152">
        <v>0</v>
      </c>
      <c r="D152">
        <v>0</v>
      </c>
      <c r="E152">
        <v>0</v>
      </c>
      <c r="F152" t="s">
        <v>169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155</v>
      </c>
      <c r="N152">
        <v>-1</v>
      </c>
      <c r="O152">
        <v>0</v>
      </c>
      <c r="P152">
        <v>-1</v>
      </c>
      <c r="Q152">
        <v>0</v>
      </c>
      <c r="R152" t="s">
        <v>70</v>
      </c>
      <c r="S152">
        <v>0</v>
      </c>
      <c r="T152">
        <v>0</v>
      </c>
      <c r="U152">
        <v>1230</v>
      </c>
      <c r="V152" t="s">
        <v>57</v>
      </c>
      <c r="W152">
        <v>0</v>
      </c>
      <c r="X152">
        <v>0</v>
      </c>
      <c r="Y152">
        <v>0</v>
      </c>
      <c r="Z152">
        <v>0</v>
      </c>
      <c r="AA152" t="s">
        <v>65</v>
      </c>
      <c r="AB152">
        <v>0</v>
      </c>
      <c r="AC152">
        <v>0</v>
      </c>
      <c r="AD152">
        <v>0</v>
      </c>
      <c r="AE152">
        <v>0</v>
      </c>
      <c r="AF152" t="s">
        <v>65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s">
        <v>58</v>
      </c>
      <c r="AM152" t="s">
        <v>58</v>
      </c>
      <c r="AN152" t="s">
        <v>71</v>
      </c>
      <c r="AO152">
        <v>14</v>
      </c>
      <c r="AP152">
        <v>1</v>
      </c>
      <c r="AQ152">
        <v>14</v>
      </c>
      <c r="AR152">
        <v>11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s">
        <v>61</v>
      </c>
      <c r="BA152" t="s">
        <v>57</v>
      </c>
      <c r="BC152" t="s">
        <v>58</v>
      </c>
      <c r="BD152" t="s">
        <v>58</v>
      </c>
      <c r="BE152">
        <v>10</v>
      </c>
    </row>
    <row r="153" spans="1:57" x14ac:dyDescent="0.25">
      <c r="A153" t="s">
        <v>324</v>
      </c>
      <c r="B153">
        <v>236</v>
      </c>
      <c r="C153">
        <v>0</v>
      </c>
      <c r="D153">
        <v>0</v>
      </c>
      <c r="E153">
        <v>0</v>
      </c>
      <c r="F153" t="s">
        <v>146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151</v>
      </c>
      <c r="N153">
        <v>-1</v>
      </c>
      <c r="O153">
        <v>0</v>
      </c>
      <c r="P153">
        <v>-1</v>
      </c>
      <c r="Q153">
        <v>0</v>
      </c>
      <c r="R153" t="s">
        <v>70</v>
      </c>
      <c r="S153">
        <v>0</v>
      </c>
      <c r="T153">
        <v>0</v>
      </c>
      <c r="U153">
        <v>965</v>
      </c>
      <c r="V153" t="s">
        <v>57</v>
      </c>
      <c r="W153">
        <v>0</v>
      </c>
      <c r="X153">
        <v>0</v>
      </c>
      <c r="Y153">
        <v>0</v>
      </c>
      <c r="Z153">
        <v>0</v>
      </c>
      <c r="AA153" t="s">
        <v>67</v>
      </c>
      <c r="AB153">
        <v>0</v>
      </c>
      <c r="AC153">
        <v>0</v>
      </c>
      <c r="AD153">
        <v>0</v>
      </c>
      <c r="AE153">
        <v>0</v>
      </c>
      <c r="AF153" t="s">
        <v>60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s">
        <v>58</v>
      </c>
      <c r="AM153" t="s">
        <v>58</v>
      </c>
      <c r="AN153" t="s">
        <v>71</v>
      </c>
      <c r="AO153">
        <v>14</v>
      </c>
      <c r="AP153">
        <v>2</v>
      </c>
      <c r="AQ153">
        <v>9</v>
      </c>
      <c r="AR153">
        <v>11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s">
        <v>61</v>
      </c>
      <c r="BA153" t="s">
        <v>57</v>
      </c>
      <c r="BC153" t="s">
        <v>58</v>
      </c>
      <c r="BD153" t="s">
        <v>58</v>
      </c>
      <c r="BE153">
        <v>10</v>
      </c>
    </row>
    <row r="154" spans="1:57" x14ac:dyDescent="0.25">
      <c r="A154" t="s">
        <v>325</v>
      </c>
      <c r="B154">
        <v>306</v>
      </c>
      <c r="C154">
        <v>0</v>
      </c>
      <c r="D154">
        <v>0</v>
      </c>
      <c r="E154">
        <v>0</v>
      </c>
      <c r="F154" t="s">
        <v>156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152</v>
      </c>
      <c r="N154">
        <v>-1</v>
      </c>
      <c r="O154">
        <v>0</v>
      </c>
      <c r="P154">
        <v>-1</v>
      </c>
      <c r="Q154">
        <v>0</v>
      </c>
      <c r="R154" t="s">
        <v>70</v>
      </c>
      <c r="S154">
        <v>0</v>
      </c>
      <c r="T154">
        <v>0</v>
      </c>
      <c r="U154">
        <v>975</v>
      </c>
      <c r="V154" t="s">
        <v>57</v>
      </c>
      <c r="W154">
        <v>0</v>
      </c>
      <c r="X154">
        <v>0</v>
      </c>
      <c r="Y154">
        <v>0</v>
      </c>
      <c r="Z154">
        <v>0</v>
      </c>
      <c r="AA154" t="s">
        <v>67</v>
      </c>
      <c r="AB154">
        <v>0</v>
      </c>
      <c r="AC154">
        <v>0</v>
      </c>
      <c r="AD154">
        <v>0</v>
      </c>
      <c r="AE154">
        <v>0</v>
      </c>
      <c r="AF154" t="s">
        <v>60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s">
        <v>58</v>
      </c>
      <c r="AM154" t="s">
        <v>58</v>
      </c>
      <c r="AN154" t="s">
        <v>71</v>
      </c>
      <c r="AO154">
        <v>14</v>
      </c>
      <c r="AP154">
        <v>5</v>
      </c>
      <c r="AQ154">
        <v>9</v>
      </c>
      <c r="AR154">
        <v>11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s">
        <v>61</v>
      </c>
      <c r="BA154" t="s">
        <v>57</v>
      </c>
      <c r="BC154" t="s">
        <v>58</v>
      </c>
      <c r="BD154" t="s">
        <v>58</v>
      </c>
      <c r="BE154">
        <v>10</v>
      </c>
    </row>
    <row r="155" spans="1:57" x14ac:dyDescent="0.25">
      <c r="A155" t="s">
        <v>326</v>
      </c>
      <c r="B155">
        <v>163</v>
      </c>
      <c r="C155">
        <v>0</v>
      </c>
      <c r="D155">
        <v>0</v>
      </c>
      <c r="E155">
        <v>0</v>
      </c>
      <c r="F155" t="s">
        <v>150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160</v>
      </c>
      <c r="N155">
        <v>-1</v>
      </c>
      <c r="O155">
        <v>0</v>
      </c>
      <c r="P155">
        <v>-1</v>
      </c>
      <c r="Q155">
        <v>0</v>
      </c>
      <c r="R155" t="s">
        <v>70</v>
      </c>
      <c r="S155">
        <v>0</v>
      </c>
      <c r="T155">
        <v>0</v>
      </c>
      <c r="U155">
        <v>780</v>
      </c>
      <c r="V155" t="s">
        <v>57</v>
      </c>
      <c r="W155">
        <v>0</v>
      </c>
      <c r="X155">
        <v>0</v>
      </c>
      <c r="Y155">
        <v>0</v>
      </c>
      <c r="Z155">
        <v>0</v>
      </c>
      <c r="AA155" t="s">
        <v>67</v>
      </c>
      <c r="AB155">
        <v>0</v>
      </c>
      <c r="AC155">
        <v>0</v>
      </c>
      <c r="AD155">
        <v>0</v>
      </c>
      <c r="AE155">
        <v>0</v>
      </c>
      <c r="AF155" t="s">
        <v>60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s">
        <v>58</v>
      </c>
      <c r="AM155" t="s">
        <v>58</v>
      </c>
      <c r="AN155" t="s">
        <v>71</v>
      </c>
      <c r="AO155">
        <v>14</v>
      </c>
      <c r="AP155">
        <v>8</v>
      </c>
      <c r="AQ155">
        <v>0</v>
      </c>
      <c r="AR155">
        <v>11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s">
        <v>61</v>
      </c>
      <c r="BA155" t="s">
        <v>57</v>
      </c>
      <c r="BC155" t="s">
        <v>58</v>
      </c>
      <c r="BD155" t="s">
        <v>58</v>
      </c>
      <c r="BE155">
        <v>10</v>
      </c>
    </row>
    <row r="156" spans="1:57" x14ac:dyDescent="0.25">
      <c r="A156" t="s">
        <v>327</v>
      </c>
      <c r="B156">
        <v>188</v>
      </c>
      <c r="C156">
        <v>0</v>
      </c>
      <c r="D156">
        <v>0</v>
      </c>
      <c r="E156">
        <v>0</v>
      </c>
      <c r="F156" t="s">
        <v>165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174</v>
      </c>
      <c r="N156">
        <v>-1</v>
      </c>
      <c r="O156">
        <v>0</v>
      </c>
      <c r="P156">
        <v>-1</v>
      </c>
      <c r="Q156">
        <v>0</v>
      </c>
      <c r="R156" t="s">
        <v>70</v>
      </c>
      <c r="S156">
        <v>0</v>
      </c>
      <c r="T156">
        <v>0</v>
      </c>
      <c r="U156">
        <v>975</v>
      </c>
      <c r="V156" t="s">
        <v>57</v>
      </c>
      <c r="W156">
        <v>0</v>
      </c>
      <c r="X156">
        <v>0</v>
      </c>
      <c r="Y156">
        <v>0</v>
      </c>
      <c r="Z156">
        <v>0</v>
      </c>
      <c r="AA156" t="s">
        <v>67</v>
      </c>
      <c r="AB156">
        <v>0</v>
      </c>
      <c r="AC156">
        <v>0</v>
      </c>
      <c r="AD156">
        <v>0</v>
      </c>
      <c r="AE156">
        <v>0</v>
      </c>
      <c r="AF156" t="s">
        <v>60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s">
        <v>58</v>
      </c>
      <c r="AM156" t="s">
        <v>58</v>
      </c>
      <c r="AN156" t="s">
        <v>71</v>
      </c>
      <c r="AO156">
        <v>14</v>
      </c>
      <c r="AP156">
        <v>7</v>
      </c>
      <c r="AQ156">
        <v>10</v>
      </c>
      <c r="AR156">
        <v>11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s">
        <v>61</v>
      </c>
      <c r="BA156" t="s">
        <v>57</v>
      </c>
      <c r="BC156" t="s">
        <v>58</v>
      </c>
      <c r="BD156" t="s">
        <v>58</v>
      </c>
      <c r="BE156">
        <v>10</v>
      </c>
    </row>
    <row r="157" spans="1:57" x14ac:dyDescent="0.25">
      <c r="A157" t="s">
        <v>328</v>
      </c>
      <c r="B157">
        <v>303</v>
      </c>
      <c r="C157">
        <v>0</v>
      </c>
      <c r="D157">
        <v>0</v>
      </c>
      <c r="E157">
        <v>0</v>
      </c>
      <c r="F157" t="s">
        <v>163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153</v>
      </c>
      <c r="N157">
        <v>-1</v>
      </c>
      <c r="O157">
        <v>0</v>
      </c>
      <c r="P157">
        <v>-1</v>
      </c>
      <c r="Q157">
        <v>0</v>
      </c>
      <c r="R157" t="s">
        <v>70</v>
      </c>
      <c r="S157">
        <v>0</v>
      </c>
      <c r="T157">
        <v>0</v>
      </c>
      <c r="U157">
        <v>780</v>
      </c>
      <c r="V157" t="s">
        <v>57</v>
      </c>
      <c r="W157">
        <v>0</v>
      </c>
      <c r="X157">
        <v>0</v>
      </c>
      <c r="Y157">
        <v>0</v>
      </c>
      <c r="Z157">
        <v>0</v>
      </c>
      <c r="AA157" t="s">
        <v>67</v>
      </c>
      <c r="AB157">
        <v>0</v>
      </c>
      <c r="AC157">
        <v>0</v>
      </c>
      <c r="AD157">
        <v>0</v>
      </c>
      <c r="AE157">
        <v>0</v>
      </c>
      <c r="AF157" t="s">
        <v>60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s">
        <v>58</v>
      </c>
      <c r="AM157" t="s">
        <v>58</v>
      </c>
      <c r="AN157" t="s">
        <v>71</v>
      </c>
      <c r="AO157">
        <v>14</v>
      </c>
      <c r="AP157">
        <v>9</v>
      </c>
      <c r="AQ157">
        <v>2</v>
      </c>
      <c r="AR157">
        <v>11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s">
        <v>61</v>
      </c>
      <c r="BA157" t="s">
        <v>57</v>
      </c>
      <c r="BC157" t="s">
        <v>58</v>
      </c>
      <c r="BD157" t="s">
        <v>58</v>
      </c>
      <c r="BE157">
        <v>10</v>
      </c>
    </row>
    <row r="158" spans="1:57" x14ac:dyDescent="0.25">
      <c r="A158" t="s">
        <v>329</v>
      </c>
      <c r="B158">
        <v>159</v>
      </c>
      <c r="C158">
        <v>0</v>
      </c>
      <c r="D158">
        <v>0</v>
      </c>
      <c r="E158">
        <v>0</v>
      </c>
      <c r="F158" t="s">
        <v>149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143</v>
      </c>
      <c r="N158">
        <v>-1</v>
      </c>
      <c r="O158">
        <v>0</v>
      </c>
      <c r="P158">
        <v>-1</v>
      </c>
      <c r="Q158">
        <v>0</v>
      </c>
      <c r="R158" t="s">
        <v>70</v>
      </c>
      <c r="S158">
        <v>0</v>
      </c>
      <c r="T158">
        <v>0</v>
      </c>
      <c r="U158">
        <v>780</v>
      </c>
      <c r="V158" t="s">
        <v>57</v>
      </c>
      <c r="W158">
        <v>0</v>
      </c>
      <c r="X158">
        <v>0</v>
      </c>
      <c r="Y158">
        <v>0</v>
      </c>
      <c r="Z158">
        <v>0</v>
      </c>
      <c r="AA158" t="s">
        <v>67</v>
      </c>
      <c r="AB158">
        <v>0</v>
      </c>
      <c r="AC158">
        <v>0</v>
      </c>
      <c r="AD158">
        <v>0</v>
      </c>
      <c r="AE158">
        <v>0</v>
      </c>
      <c r="AF158" t="s">
        <v>60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s">
        <v>58</v>
      </c>
      <c r="AM158" t="s">
        <v>58</v>
      </c>
      <c r="AN158" t="s">
        <v>71</v>
      </c>
      <c r="AO158">
        <v>14</v>
      </c>
      <c r="AP158">
        <v>10</v>
      </c>
      <c r="AQ158">
        <v>3</v>
      </c>
      <c r="AR158">
        <v>11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s">
        <v>61</v>
      </c>
      <c r="BA158" t="s">
        <v>57</v>
      </c>
      <c r="BC158" t="s">
        <v>58</v>
      </c>
      <c r="BD158" t="s">
        <v>58</v>
      </c>
      <c r="BE158">
        <v>10</v>
      </c>
    </row>
    <row r="159" spans="1:57" x14ac:dyDescent="0.25">
      <c r="A159" t="s">
        <v>330</v>
      </c>
      <c r="B159">
        <v>80</v>
      </c>
      <c r="C159">
        <v>0</v>
      </c>
      <c r="D159">
        <v>0</v>
      </c>
      <c r="E159">
        <v>0</v>
      </c>
      <c r="F159" t="s">
        <v>164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145</v>
      </c>
      <c r="N159">
        <v>-1</v>
      </c>
      <c r="O159">
        <v>0</v>
      </c>
      <c r="P159">
        <v>-1</v>
      </c>
      <c r="Q159">
        <v>0</v>
      </c>
      <c r="R159" t="s">
        <v>70</v>
      </c>
      <c r="S159">
        <v>0</v>
      </c>
      <c r="T159">
        <v>0</v>
      </c>
      <c r="U159">
        <v>780</v>
      </c>
      <c r="V159" t="s">
        <v>57</v>
      </c>
      <c r="W159">
        <v>0</v>
      </c>
      <c r="X159">
        <v>0</v>
      </c>
      <c r="Y159">
        <v>0</v>
      </c>
      <c r="Z159">
        <v>0</v>
      </c>
      <c r="AA159" t="s">
        <v>67</v>
      </c>
      <c r="AB159">
        <v>0</v>
      </c>
      <c r="AC159">
        <v>0</v>
      </c>
      <c r="AD159">
        <v>0</v>
      </c>
      <c r="AE159">
        <v>0</v>
      </c>
      <c r="AF159" t="s">
        <v>60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s">
        <v>58</v>
      </c>
      <c r="AM159" t="s">
        <v>58</v>
      </c>
      <c r="AN159" t="s">
        <v>71</v>
      </c>
      <c r="AO159">
        <v>14</v>
      </c>
      <c r="AP159">
        <v>10</v>
      </c>
      <c r="AQ159">
        <v>4</v>
      </c>
      <c r="AR159">
        <v>11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s">
        <v>61</v>
      </c>
      <c r="BA159" t="s">
        <v>57</v>
      </c>
      <c r="BC159" t="s">
        <v>58</v>
      </c>
      <c r="BD159" t="s">
        <v>58</v>
      </c>
      <c r="BE159">
        <v>10</v>
      </c>
    </row>
    <row r="160" spans="1:57" x14ac:dyDescent="0.25">
      <c r="A160" t="s">
        <v>331</v>
      </c>
      <c r="B160">
        <v>132</v>
      </c>
      <c r="C160">
        <v>0</v>
      </c>
      <c r="D160">
        <v>0</v>
      </c>
      <c r="E160">
        <v>0</v>
      </c>
      <c r="F160" t="s">
        <v>144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168</v>
      </c>
      <c r="N160">
        <v>-1</v>
      </c>
      <c r="O160">
        <v>0</v>
      </c>
      <c r="P160">
        <v>-1</v>
      </c>
      <c r="Q160">
        <v>0</v>
      </c>
      <c r="R160" t="s">
        <v>70</v>
      </c>
      <c r="S160">
        <v>0</v>
      </c>
      <c r="T160">
        <v>0</v>
      </c>
      <c r="U160">
        <v>1220</v>
      </c>
      <c r="V160" t="s">
        <v>57</v>
      </c>
      <c r="W160">
        <v>0</v>
      </c>
      <c r="X160">
        <v>0</v>
      </c>
      <c r="Y160">
        <v>0</v>
      </c>
      <c r="Z160">
        <v>0</v>
      </c>
      <c r="AA160" t="s">
        <v>60</v>
      </c>
      <c r="AB160">
        <v>0</v>
      </c>
      <c r="AC160">
        <v>0</v>
      </c>
      <c r="AD160">
        <v>0</v>
      </c>
      <c r="AE160">
        <v>0</v>
      </c>
      <c r="AF160" t="s">
        <v>60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s">
        <v>58</v>
      </c>
      <c r="AM160" t="s">
        <v>58</v>
      </c>
      <c r="AN160" t="s">
        <v>71</v>
      </c>
      <c r="AO160">
        <v>14</v>
      </c>
      <c r="AP160">
        <v>11</v>
      </c>
      <c r="AQ160">
        <v>10</v>
      </c>
      <c r="AR160">
        <v>11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s">
        <v>61</v>
      </c>
      <c r="BA160" t="s">
        <v>57</v>
      </c>
      <c r="BC160" t="s">
        <v>58</v>
      </c>
      <c r="BD160" t="s">
        <v>58</v>
      </c>
      <c r="BE160">
        <v>10</v>
      </c>
    </row>
    <row r="161" spans="1:57" x14ac:dyDescent="0.25">
      <c r="A161" t="s">
        <v>332</v>
      </c>
      <c r="B161">
        <v>274</v>
      </c>
      <c r="C161">
        <v>0</v>
      </c>
      <c r="D161">
        <v>0</v>
      </c>
      <c r="E161">
        <v>0</v>
      </c>
      <c r="F161" t="s">
        <v>161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159</v>
      </c>
      <c r="N161">
        <v>-1</v>
      </c>
      <c r="O161">
        <v>0</v>
      </c>
      <c r="P161">
        <v>-1</v>
      </c>
      <c r="Q161">
        <v>0</v>
      </c>
      <c r="R161" t="s">
        <v>70</v>
      </c>
      <c r="S161">
        <v>0</v>
      </c>
      <c r="T161">
        <v>0</v>
      </c>
      <c r="U161">
        <v>1230</v>
      </c>
      <c r="V161" t="s">
        <v>57</v>
      </c>
      <c r="W161">
        <v>0</v>
      </c>
      <c r="X161">
        <v>0</v>
      </c>
      <c r="Y161">
        <v>0</v>
      </c>
      <c r="Z161">
        <v>0</v>
      </c>
      <c r="AA161" t="s">
        <v>65</v>
      </c>
      <c r="AB161">
        <v>0</v>
      </c>
      <c r="AC161">
        <v>0</v>
      </c>
      <c r="AD161">
        <v>0</v>
      </c>
      <c r="AE161">
        <v>0</v>
      </c>
      <c r="AF161" t="s">
        <v>65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s">
        <v>58</v>
      </c>
      <c r="AM161" t="s">
        <v>58</v>
      </c>
      <c r="AN161" t="s">
        <v>71</v>
      </c>
      <c r="AO161">
        <v>14</v>
      </c>
      <c r="AP161">
        <v>11</v>
      </c>
      <c r="AQ161">
        <v>11</v>
      </c>
      <c r="AR161">
        <v>11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s">
        <v>61</v>
      </c>
      <c r="BA161" t="s">
        <v>57</v>
      </c>
      <c r="BC161" t="s">
        <v>58</v>
      </c>
      <c r="BD161" t="s">
        <v>58</v>
      </c>
      <c r="BE161">
        <v>10</v>
      </c>
    </row>
    <row r="162" spans="1:57" x14ac:dyDescent="0.25">
      <c r="A162" t="s">
        <v>333</v>
      </c>
      <c r="B162">
        <v>94</v>
      </c>
      <c r="C162">
        <v>0</v>
      </c>
      <c r="D162">
        <v>0</v>
      </c>
      <c r="E162">
        <v>0</v>
      </c>
      <c r="F162" t="s">
        <v>167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166</v>
      </c>
      <c r="N162">
        <v>-1</v>
      </c>
      <c r="O162">
        <v>0</v>
      </c>
      <c r="P162">
        <v>-1</v>
      </c>
      <c r="Q162">
        <v>0</v>
      </c>
      <c r="R162" t="s">
        <v>70</v>
      </c>
      <c r="S162">
        <v>0</v>
      </c>
      <c r="T162">
        <v>0</v>
      </c>
      <c r="U162">
        <v>780</v>
      </c>
      <c r="V162" t="s">
        <v>57</v>
      </c>
      <c r="W162">
        <v>0</v>
      </c>
      <c r="X162">
        <v>0</v>
      </c>
      <c r="Y162">
        <v>0</v>
      </c>
      <c r="Z162">
        <v>0</v>
      </c>
      <c r="AA162" t="s">
        <v>67</v>
      </c>
      <c r="AB162">
        <v>0</v>
      </c>
      <c r="AC162">
        <v>0</v>
      </c>
      <c r="AD162">
        <v>0</v>
      </c>
      <c r="AE162">
        <v>0</v>
      </c>
      <c r="AF162" t="s">
        <v>60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s">
        <v>58</v>
      </c>
      <c r="AM162" t="s">
        <v>58</v>
      </c>
      <c r="AN162" t="s">
        <v>71</v>
      </c>
      <c r="AO162">
        <v>14</v>
      </c>
      <c r="AP162">
        <v>11</v>
      </c>
      <c r="AQ162">
        <v>4</v>
      </c>
      <c r="AR162">
        <v>11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s">
        <v>61</v>
      </c>
      <c r="BA162" t="s">
        <v>57</v>
      </c>
      <c r="BC162" t="s">
        <v>58</v>
      </c>
      <c r="BD162" t="s">
        <v>58</v>
      </c>
      <c r="BE162">
        <v>10</v>
      </c>
    </row>
    <row r="163" spans="1:57" x14ac:dyDescent="0.25">
      <c r="A163" t="s">
        <v>334</v>
      </c>
      <c r="B163">
        <v>242</v>
      </c>
      <c r="C163">
        <v>0</v>
      </c>
      <c r="D163">
        <v>0</v>
      </c>
      <c r="E163">
        <v>0</v>
      </c>
      <c r="F163" t="s">
        <v>173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147</v>
      </c>
      <c r="N163">
        <v>-1</v>
      </c>
      <c r="O163">
        <v>0</v>
      </c>
      <c r="P163">
        <v>-1</v>
      </c>
      <c r="Q163">
        <v>0</v>
      </c>
      <c r="R163" t="s">
        <v>70</v>
      </c>
      <c r="S163">
        <v>0</v>
      </c>
      <c r="T163">
        <v>0</v>
      </c>
      <c r="U163">
        <v>780</v>
      </c>
      <c r="V163" t="s">
        <v>57</v>
      </c>
      <c r="W163">
        <v>0</v>
      </c>
      <c r="X163">
        <v>0</v>
      </c>
      <c r="Y163">
        <v>0</v>
      </c>
      <c r="Z163">
        <v>0</v>
      </c>
      <c r="AA163" t="s">
        <v>67</v>
      </c>
      <c r="AB163">
        <v>0</v>
      </c>
      <c r="AC163">
        <v>0</v>
      </c>
      <c r="AD163">
        <v>0</v>
      </c>
      <c r="AE163">
        <v>0</v>
      </c>
      <c r="AF163" t="s">
        <v>60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s">
        <v>58</v>
      </c>
      <c r="AM163" t="s">
        <v>58</v>
      </c>
      <c r="AN163" t="s">
        <v>71</v>
      </c>
      <c r="AO163">
        <v>14</v>
      </c>
      <c r="AP163">
        <v>12</v>
      </c>
      <c r="AQ163">
        <v>5</v>
      </c>
      <c r="AR163">
        <v>11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s">
        <v>61</v>
      </c>
      <c r="BA163" t="s">
        <v>57</v>
      </c>
      <c r="BC163" t="s">
        <v>58</v>
      </c>
      <c r="BD163" t="s">
        <v>58</v>
      </c>
      <c r="BE163">
        <v>10</v>
      </c>
    </row>
    <row r="164" spans="1:57" x14ac:dyDescent="0.25">
      <c r="A164" t="s">
        <v>335</v>
      </c>
      <c r="B164">
        <v>211</v>
      </c>
      <c r="C164">
        <v>0</v>
      </c>
      <c r="D164">
        <v>0</v>
      </c>
      <c r="E164">
        <v>0</v>
      </c>
      <c r="F164" t="s">
        <v>154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157</v>
      </c>
      <c r="N164">
        <v>-1</v>
      </c>
      <c r="O164">
        <v>0</v>
      </c>
      <c r="P164">
        <v>-1</v>
      </c>
      <c r="Q164">
        <v>0</v>
      </c>
      <c r="R164" t="s">
        <v>70</v>
      </c>
      <c r="S164">
        <v>0</v>
      </c>
      <c r="T164">
        <v>0</v>
      </c>
      <c r="U164">
        <v>780</v>
      </c>
      <c r="V164" t="s">
        <v>57</v>
      </c>
      <c r="W164">
        <v>0</v>
      </c>
      <c r="X164">
        <v>0</v>
      </c>
      <c r="Y164">
        <v>0</v>
      </c>
      <c r="Z164">
        <v>0</v>
      </c>
      <c r="AA164" t="s">
        <v>67</v>
      </c>
      <c r="AB164">
        <v>0</v>
      </c>
      <c r="AC164">
        <v>0</v>
      </c>
      <c r="AD164">
        <v>0</v>
      </c>
      <c r="AE164">
        <v>0</v>
      </c>
      <c r="AF164" t="s">
        <v>60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s">
        <v>58</v>
      </c>
      <c r="AM164" t="s">
        <v>58</v>
      </c>
      <c r="AN164" t="s">
        <v>71</v>
      </c>
      <c r="AO164">
        <v>14</v>
      </c>
      <c r="AP164">
        <v>16</v>
      </c>
      <c r="AQ164">
        <v>1</v>
      </c>
      <c r="AR164">
        <v>11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s">
        <v>61</v>
      </c>
      <c r="BA164" t="s">
        <v>57</v>
      </c>
      <c r="BC164" t="s">
        <v>58</v>
      </c>
      <c r="BD164" t="s">
        <v>58</v>
      </c>
      <c r="BE164">
        <v>10</v>
      </c>
    </row>
    <row r="165" spans="1:57" x14ac:dyDescent="0.25">
      <c r="A165" t="s">
        <v>336</v>
      </c>
      <c r="B165">
        <v>220</v>
      </c>
      <c r="C165">
        <v>0</v>
      </c>
      <c r="D165">
        <v>0</v>
      </c>
      <c r="E165">
        <v>0</v>
      </c>
      <c r="F165" t="s">
        <v>172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148</v>
      </c>
      <c r="N165">
        <v>-1</v>
      </c>
      <c r="O165">
        <v>0</v>
      </c>
      <c r="P165">
        <v>-1</v>
      </c>
      <c r="Q165">
        <v>0</v>
      </c>
      <c r="R165" t="s">
        <v>70</v>
      </c>
      <c r="S165">
        <v>0</v>
      </c>
      <c r="T165">
        <v>0</v>
      </c>
      <c r="U165">
        <v>780</v>
      </c>
      <c r="V165" t="s">
        <v>57</v>
      </c>
      <c r="W165">
        <v>0</v>
      </c>
      <c r="X165">
        <v>0</v>
      </c>
      <c r="Y165">
        <v>0</v>
      </c>
      <c r="Z165">
        <v>0</v>
      </c>
      <c r="AA165" t="s">
        <v>67</v>
      </c>
      <c r="AB165">
        <v>0</v>
      </c>
      <c r="AC165">
        <v>0</v>
      </c>
      <c r="AD165">
        <v>0</v>
      </c>
      <c r="AE165">
        <v>0</v>
      </c>
      <c r="AF165" t="s">
        <v>60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s">
        <v>58</v>
      </c>
      <c r="AM165" t="s">
        <v>58</v>
      </c>
      <c r="AN165" t="s">
        <v>71</v>
      </c>
      <c r="AO165">
        <v>14</v>
      </c>
      <c r="AP165">
        <v>16</v>
      </c>
      <c r="AQ165">
        <v>2</v>
      </c>
      <c r="AR165">
        <v>11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s">
        <v>61</v>
      </c>
      <c r="BA165" t="s">
        <v>57</v>
      </c>
      <c r="BC165" t="s">
        <v>58</v>
      </c>
      <c r="BD165" t="s">
        <v>58</v>
      </c>
      <c r="BE165">
        <v>10</v>
      </c>
    </row>
    <row r="166" spans="1:57" x14ac:dyDescent="0.25">
      <c r="A166" t="s">
        <v>500</v>
      </c>
      <c r="B166">
        <v>244</v>
      </c>
      <c r="C166">
        <v>0</v>
      </c>
      <c r="D166">
        <v>0</v>
      </c>
      <c r="E166">
        <v>0</v>
      </c>
      <c r="F166" t="s">
        <v>170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171</v>
      </c>
      <c r="N166">
        <v>-1</v>
      </c>
      <c r="O166">
        <v>0</v>
      </c>
      <c r="P166">
        <v>-1</v>
      </c>
      <c r="Q166">
        <v>0</v>
      </c>
      <c r="R166" t="s">
        <v>70</v>
      </c>
      <c r="S166">
        <v>0</v>
      </c>
      <c r="T166">
        <v>0</v>
      </c>
      <c r="U166">
        <v>780</v>
      </c>
      <c r="V166" t="s">
        <v>57</v>
      </c>
      <c r="W166">
        <v>0</v>
      </c>
      <c r="X166">
        <v>0</v>
      </c>
      <c r="Y166">
        <v>0</v>
      </c>
      <c r="Z166">
        <v>0</v>
      </c>
      <c r="AA166" t="s">
        <v>67</v>
      </c>
      <c r="AB166">
        <v>0</v>
      </c>
      <c r="AC166">
        <v>0</v>
      </c>
      <c r="AD166">
        <v>0</v>
      </c>
      <c r="AE166">
        <v>0</v>
      </c>
      <c r="AF166" t="s">
        <v>60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s">
        <v>58</v>
      </c>
      <c r="AM166" t="s">
        <v>58</v>
      </c>
      <c r="AN166" t="s">
        <v>71</v>
      </c>
      <c r="AO166">
        <v>14</v>
      </c>
      <c r="AP166">
        <v>17</v>
      </c>
      <c r="AQ166">
        <v>4</v>
      </c>
      <c r="AR166">
        <v>11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s">
        <v>61</v>
      </c>
      <c r="BA166" t="s">
        <v>57</v>
      </c>
      <c r="BC166" t="s">
        <v>58</v>
      </c>
      <c r="BD166" t="s">
        <v>58</v>
      </c>
      <c r="BE166">
        <v>10</v>
      </c>
    </row>
    <row r="167" spans="1:57" x14ac:dyDescent="0.25">
      <c r="A167" t="s">
        <v>337</v>
      </c>
      <c r="B167">
        <v>72</v>
      </c>
      <c r="C167">
        <v>0</v>
      </c>
      <c r="D167">
        <v>0</v>
      </c>
      <c r="E167">
        <v>0</v>
      </c>
      <c r="F167" t="s">
        <v>169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161</v>
      </c>
      <c r="N167">
        <v>-1</v>
      </c>
      <c r="O167">
        <v>0</v>
      </c>
      <c r="P167">
        <v>-1</v>
      </c>
      <c r="Q167">
        <v>0</v>
      </c>
      <c r="R167" t="s">
        <v>70</v>
      </c>
      <c r="S167">
        <v>0</v>
      </c>
      <c r="T167">
        <v>0</v>
      </c>
      <c r="U167">
        <v>1220</v>
      </c>
      <c r="V167" t="s">
        <v>57</v>
      </c>
      <c r="W167">
        <v>0</v>
      </c>
      <c r="X167">
        <v>0</v>
      </c>
      <c r="Y167">
        <v>0</v>
      </c>
      <c r="Z167">
        <v>0</v>
      </c>
      <c r="AA167" t="s">
        <v>60</v>
      </c>
      <c r="AB167">
        <v>0</v>
      </c>
      <c r="AC167">
        <v>0</v>
      </c>
      <c r="AD167">
        <v>0</v>
      </c>
      <c r="AE167">
        <v>0</v>
      </c>
      <c r="AF167" t="s">
        <v>60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s">
        <v>58</v>
      </c>
      <c r="AM167" t="s">
        <v>58</v>
      </c>
      <c r="AN167" t="s">
        <v>71</v>
      </c>
      <c r="AO167">
        <v>14</v>
      </c>
      <c r="AP167">
        <v>0</v>
      </c>
      <c r="AQ167">
        <v>12</v>
      </c>
      <c r="AR167">
        <v>11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s">
        <v>61</v>
      </c>
      <c r="BA167" t="s">
        <v>57</v>
      </c>
      <c r="BC167" t="s">
        <v>58</v>
      </c>
      <c r="BD167" t="s">
        <v>58</v>
      </c>
      <c r="BE167">
        <v>11</v>
      </c>
    </row>
    <row r="168" spans="1:57" x14ac:dyDescent="0.25">
      <c r="A168" t="s">
        <v>338</v>
      </c>
      <c r="B168">
        <v>217</v>
      </c>
      <c r="C168">
        <v>0</v>
      </c>
      <c r="D168">
        <v>0</v>
      </c>
      <c r="E168">
        <v>0</v>
      </c>
      <c r="F168" t="s">
        <v>152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165</v>
      </c>
      <c r="N168">
        <v>-1</v>
      </c>
      <c r="O168">
        <v>0</v>
      </c>
      <c r="P168">
        <v>-1</v>
      </c>
      <c r="Q168">
        <v>0</v>
      </c>
      <c r="R168" t="s">
        <v>70</v>
      </c>
      <c r="S168">
        <v>0</v>
      </c>
      <c r="T168">
        <v>0</v>
      </c>
      <c r="U168">
        <v>780</v>
      </c>
      <c r="V168" t="s">
        <v>57</v>
      </c>
      <c r="W168">
        <v>0</v>
      </c>
      <c r="X168">
        <v>0</v>
      </c>
      <c r="Y168">
        <v>0</v>
      </c>
      <c r="Z168">
        <v>0</v>
      </c>
      <c r="AA168" t="s">
        <v>67</v>
      </c>
      <c r="AB168">
        <v>0</v>
      </c>
      <c r="AC168">
        <v>0</v>
      </c>
      <c r="AD168">
        <v>0</v>
      </c>
      <c r="AE168">
        <v>0</v>
      </c>
      <c r="AF168" t="s">
        <v>60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s">
        <v>58</v>
      </c>
      <c r="AM168" t="s">
        <v>58</v>
      </c>
      <c r="AN168" t="s">
        <v>71</v>
      </c>
      <c r="AO168">
        <v>14</v>
      </c>
      <c r="AP168">
        <v>1</v>
      </c>
      <c r="AQ168">
        <v>6</v>
      </c>
      <c r="AR168">
        <v>11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s">
        <v>61</v>
      </c>
      <c r="BA168" t="s">
        <v>57</v>
      </c>
      <c r="BC168" t="s">
        <v>58</v>
      </c>
      <c r="BD168" t="s">
        <v>58</v>
      </c>
      <c r="BE168">
        <v>11</v>
      </c>
    </row>
    <row r="169" spans="1:57" x14ac:dyDescent="0.25">
      <c r="A169" t="s">
        <v>339</v>
      </c>
      <c r="B169">
        <v>322</v>
      </c>
      <c r="C169">
        <v>0</v>
      </c>
      <c r="D169">
        <v>0</v>
      </c>
      <c r="E169">
        <v>0</v>
      </c>
      <c r="F169" t="s">
        <v>156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148</v>
      </c>
      <c r="N169">
        <v>-1</v>
      </c>
      <c r="O169">
        <v>0</v>
      </c>
      <c r="P169">
        <v>-1</v>
      </c>
      <c r="Q169">
        <v>0</v>
      </c>
      <c r="R169" t="s">
        <v>70</v>
      </c>
      <c r="S169">
        <v>0</v>
      </c>
      <c r="T169">
        <v>0</v>
      </c>
      <c r="U169">
        <v>780</v>
      </c>
      <c r="V169" t="s">
        <v>57</v>
      </c>
      <c r="W169">
        <v>0</v>
      </c>
      <c r="X169">
        <v>0</v>
      </c>
      <c r="Y169">
        <v>0</v>
      </c>
      <c r="Z169">
        <v>0</v>
      </c>
      <c r="AA169" t="s">
        <v>67</v>
      </c>
      <c r="AB169">
        <v>0</v>
      </c>
      <c r="AC169">
        <v>0</v>
      </c>
      <c r="AD169">
        <v>0</v>
      </c>
      <c r="AE169">
        <v>0</v>
      </c>
      <c r="AF169" t="s">
        <v>60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s">
        <v>58</v>
      </c>
      <c r="AM169" t="s">
        <v>58</v>
      </c>
      <c r="AN169" t="s">
        <v>71</v>
      </c>
      <c r="AO169">
        <v>14</v>
      </c>
      <c r="AP169">
        <v>3</v>
      </c>
      <c r="AQ169">
        <v>1</v>
      </c>
      <c r="AR169">
        <v>11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s">
        <v>61</v>
      </c>
      <c r="BA169" t="s">
        <v>57</v>
      </c>
      <c r="BC169" t="s">
        <v>58</v>
      </c>
      <c r="BD169" t="s">
        <v>58</v>
      </c>
      <c r="BE169">
        <v>11</v>
      </c>
    </row>
    <row r="170" spans="1:57" x14ac:dyDescent="0.25">
      <c r="A170" t="s">
        <v>340</v>
      </c>
      <c r="B170">
        <v>154</v>
      </c>
      <c r="C170">
        <v>0</v>
      </c>
      <c r="D170">
        <v>0</v>
      </c>
      <c r="E170">
        <v>0</v>
      </c>
      <c r="F170" t="s">
        <v>168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164</v>
      </c>
      <c r="N170">
        <v>-1</v>
      </c>
      <c r="O170">
        <v>0</v>
      </c>
      <c r="P170">
        <v>-1</v>
      </c>
      <c r="Q170">
        <v>0</v>
      </c>
      <c r="R170" t="s">
        <v>70</v>
      </c>
      <c r="S170">
        <v>0</v>
      </c>
      <c r="T170">
        <v>0</v>
      </c>
      <c r="U170">
        <v>780</v>
      </c>
      <c r="V170" t="s">
        <v>57</v>
      </c>
      <c r="W170">
        <v>0</v>
      </c>
      <c r="X170">
        <v>0</v>
      </c>
      <c r="Y170">
        <v>0</v>
      </c>
      <c r="Z170">
        <v>0</v>
      </c>
      <c r="AA170" t="s">
        <v>67</v>
      </c>
      <c r="AB170">
        <v>0</v>
      </c>
      <c r="AC170">
        <v>0</v>
      </c>
      <c r="AD170">
        <v>0</v>
      </c>
      <c r="AE170">
        <v>0</v>
      </c>
      <c r="AF170" t="s">
        <v>60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s">
        <v>58</v>
      </c>
      <c r="AM170" t="s">
        <v>58</v>
      </c>
      <c r="AN170" t="s">
        <v>71</v>
      </c>
      <c r="AO170">
        <v>14</v>
      </c>
      <c r="AP170">
        <v>3</v>
      </c>
      <c r="AQ170">
        <v>5</v>
      </c>
      <c r="AR170">
        <v>11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s">
        <v>61</v>
      </c>
      <c r="BA170" t="s">
        <v>57</v>
      </c>
      <c r="BC170" t="s">
        <v>58</v>
      </c>
      <c r="BD170" t="s">
        <v>58</v>
      </c>
      <c r="BE170">
        <v>11</v>
      </c>
    </row>
    <row r="171" spans="1:57" x14ac:dyDescent="0.25">
      <c r="A171" t="s">
        <v>341</v>
      </c>
      <c r="B171">
        <v>267</v>
      </c>
      <c r="C171">
        <v>0</v>
      </c>
      <c r="D171">
        <v>0</v>
      </c>
      <c r="E171">
        <v>0</v>
      </c>
      <c r="F171" t="s">
        <v>157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154</v>
      </c>
      <c r="N171">
        <v>-1</v>
      </c>
      <c r="O171">
        <v>0</v>
      </c>
      <c r="P171">
        <v>-1</v>
      </c>
      <c r="Q171">
        <v>0</v>
      </c>
      <c r="R171" t="s">
        <v>70</v>
      </c>
      <c r="S171">
        <v>0</v>
      </c>
      <c r="T171">
        <v>0</v>
      </c>
      <c r="U171">
        <v>780</v>
      </c>
      <c r="V171" t="s">
        <v>57</v>
      </c>
      <c r="W171">
        <v>0</v>
      </c>
      <c r="X171">
        <v>0</v>
      </c>
      <c r="Y171">
        <v>0</v>
      </c>
      <c r="Z171">
        <v>0</v>
      </c>
      <c r="AA171" t="s">
        <v>67</v>
      </c>
      <c r="AB171">
        <v>0</v>
      </c>
      <c r="AC171">
        <v>0</v>
      </c>
      <c r="AD171">
        <v>0</v>
      </c>
      <c r="AE171">
        <v>0</v>
      </c>
      <c r="AF171" t="s">
        <v>60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s">
        <v>58</v>
      </c>
      <c r="AM171" t="s">
        <v>58</v>
      </c>
      <c r="AN171" t="s">
        <v>71</v>
      </c>
      <c r="AO171">
        <v>14</v>
      </c>
      <c r="AP171">
        <v>5</v>
      </c>
      <c r="AQ171">
        <v>2</v>
      </c>
      <c r="AR171">
        <v>11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s">
        <v>61</v>
      </c>
      <c r="BA171" t="s">
        <v>57</v>
      </c>
      <c r="BC171" t="s">
        <v>58</v>
      </c>
      <c r="BD171" t="s">
        <v>58</v>
      </c>
      <c r="BE171">
        <v>11</v>
      </c>
    </row>
    <row r="172" spans="1:57" x14ac:dyDescent="0.25">
      <c r="A172" t="s">
        <v>342</v>
      </c>
      <c r="B172">
        <v>140</v>
      </c>
      <c r="C172">
        <v>0</v>
      </c>
      <c r="D172">
        <v>0</v>
      </c>
      <c r="E172">
        <v>0</v>
      </c>
      <c r="F172" t="s">
        <v>159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150</v>
      </c>
      <c r="N172">
        <v>-1</v>
      </c>
      <c r="O172">
        <v>0</v>
      </c>
      <c r="P172">
        <v>-1</v>
      </c>
      <c r="Q172">
        <v>0</v>
      </c>
      <c r="R172" t="s">
        <v>70</v>
      </c>
      <c r="S172">
        <v>0</v>
      </c>
      <c r="T172">
        <v>0</v>
      </c>
      <c r="U172">
        <v>975</v>
      </c>
      <c r="V172" t="s">
        <v>57</v>
      </c>
      <c r="W172">
        <v>0</v>
      </c>
      <c r="X172">
        <v>0</v>
      </c>
      <c r="Y172">
        <v>0</v>
      </c>
      <c r="Z172">
        <v>0</v>
      </c>
      <c r="AA172" t="s">
        <v>67</v>
      </c>
      <c r="AB172">
        <v>0</v>
      </c>
      <c r="AC172">
        <v>0</v>
      </c>
      <c r="AD172">
        <v>0</v>
      </c>
      <c r="AE172">
        <v>0</v>
      </c>
      <c r="AF172" t="s">
        <v>60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s">
        <v>58</v>
      </c>
      <c r="AM172" t="s">
        <v>58</v>
      </c>
      <c r="AN172" t="s">
        <v>71</v>
      </c>
      <c r="AO172">
        <v>14</v>
      </c>
      <c r="AP172">
        <v>5</v>
      </c>
      <c r="AQ172">
        <v>10</v>
      </c>
      <c r="AR172">
        <v>11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s">
        <v>61</v>
      </c>
      <c r="BA172" t="s">
        <v>57</v>
      </c>
      <c r="BC172" t="s">
        <v>58</v>
      </c>
      <c r="BD172" t="s">
        <v>58</v>
      </c>
      <c r="BE172">
        <v>11</v>
      </c>
    </row>
    <row r="173" spans="1:57" x14ac:dyDescent="0.25">
      <c r="A173" t="s">
        <v>343</v>
      </c>
      <c r="B173">
        <v>170</v>
      </c>
      <c r="C173">
        <v>0</v>
      </c>
      <c r="D173">
        <v>0</v>
      </c>
      <c r="E173">
        <v>0</v>
      </c>
      <c r="F173" t="s">
        <v>163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160</v>
      </c>
      <c r="N173">
        <v>-1</v>
      </c>
      <c r="O173">
        <v>0</v>
      </c>
      <c r="P173">
        <v>-1</v>
      </c>
      <c r="Q173">
        <v>0</v>
      </c>
      <c r="R173" t="s">
        <v>70</v>
      </c>
      <c r="S173">
        <v>0</v>
      </c>
      <c r="T173">
        <v>0</v>
      </c>
      <c r="U173">
        <v>780</v>
      </c>
      <c r="V173" t="s">
        <v>57</v>
      </c>
      <c r="W173">
        <v>0</v>
      </c>
      <c r="X173">
        <v>0</v>
      </c>
      <c r="Y173">
        <v>0</v>
      </c>
      <c r="Z173">
        <v>0</v>
      </c>
      <c r="AA173" t="s">
        <v>67</v>
      </c>
      <c r="AB173">
        <v>0</v>
      </c>
      <c r="AC173">
        <v>0</v>
      </c>
      <c r="AD173">
        <v>0</v>
      </c>
      <c r="AE173">
        <v>0</v>
      </c>
      <c r="AF173" t="s">
        <v>60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s">
        <v>58</v>
      </c>
      <c r="AM173" t="s">
        <v>58</v>
      </c>
      <c r="AN173" t="s">
        <v>71</v>
      </c>
      <c r="AO173">
        <v>14</v>
      </c>
      <c r="AP173">
        <v>5</v>
      </c>
      <c r="AQ173">
        <v>4</v>
      </c>
      <c r="AR173">
        <v>11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s">
        <v>61</v>
      </c>
      <c r="BA173" t="s">
        <v>57</v>
      </c>
      <c r="BC173" t="s">
        <v>58</v>
      </c>
      <c r="BD173" t="s">
        <v>58</v>
      </c>
      <c r="BE173">
        <v>11</v>
      </c>
    </row>
    <row r="174" spans="1:57" x14ac:dyDescent="0.25">
      <c r="A174" t="s">
        <v>344</v>
      </c>
      <c r="B174">
        <v>266</v>
      </c>
      <c r="C174">
        <v>0</v>
      </c>
      <c r="D174">
        <v>0</v>
      </c>
      <c r="E174">
        <v>0</v>
      </c>
      <c r="F174" t="s">
        <v>162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170</v>
      </c>
      <c r="N174">
        <v>-1</v>
      </c>
      <c r="O174">
        <v>0</v>
      </c>
      <c r="P174">
        <v>-1</v>
      </c>
      <c r="Q174">
        <v>0</v>
      </c>
      <c r="R174" t="s">
        <v>70</v>
      </c>
      <c r="S174">
        <v>0</v>
      </c>
      <c r="T174">
        <v>0</v>
      </c>
      <c r="U174">
        <v>780</v>
      </c>
      <c r="V174" t="s">
        <v>57</v>
      </c>
      <c r="W174">
        <v>0</v>
      </c>
      <c r="X174">
        <v>0</v>
      </c>
      <c r="Y174">
        <v>0</v>
      </c>
      <c r="Z174">
        <v>0</v>
      </c>
      <c r="AA174" t="s">
        <v>67</v>
      </c>
      <c r="AB174">
        <v>0</v>
      </c>
      <c r="AC174">
        <v>0</v>
      </c>
      <c r="AD174">
        <v>0</v>
      </c>
      <c r="AE174">
        <v>0</v>
      </c>
      <c r="AF174" t="s">
        <v>60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s">
        <v>58</v>
      </c>
      <c r="AM174" t="s">
        <v>58</v>
      </c>
      <c r="AN174" t="s">
        <v>71</v>
      </c>
      <c r="AO174">
        <v>14</v>
      </c>
      <c r="AP174">
        <v>7</v>
      </c>
      <c r="AQ174">
        <v>4</v>
      </c>
      <c r="AR174">
        <v>11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s">
        <v>61</v>
      </c>
      <c r="BA174" t="s">
        <v>57</v>
      </c>
      <c r="BC174" t="s">
        <v>58</v>
      </c>
      <c r="BD174" t="s">
        <v>58</v>
      </c>
      <c r="BE174">
        <v>11</v>
      </c>
    </row>
    <row r="175" spans="1:57" x14ac:dyDescent="0.25">
      <c r="A175" t="s">
        <v>345</v>
      </c>
      <c r="B175">
        <v>99</v>
      </c>
      <c r="C175">
        <v>0</v>
      </c>
      <c r="D175">
        <v>0</v>
      </c>
      <c r="E175">
        <v>0</v>
      </c>
      <c r="F175" t="s">
        <v>149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174</v>
      </c>
      <c r="N175">
        <v>-1</v>
      </c>
      <c r="O175">
        <v>0</v>
      </c>
      <c r="P175">
        <v>-1</v>
      </c>
      <c r="Q175">
        <v>0</v>
      </c>
      <c r="R175" t="s">
        <v>70</v>
      </c>
      <c r="S175">
        <v>0</v>
      </c>
      <c r="T175">
        <v>0</v>
      </c>
      <c r="U175">
        <v>965</v>
      </c>
      <c r="V175" t="s">
        <v>57</v>
      </c>
      <c r="W175">
        <v>0</v>
      </c>
      <c r="X175">
        <v>0</v>
      </c>
      <c r="Y175">
        <v>0</v>
      </c>
      <c r="Z175">
        <v>0</v>
      </c>
      <c r="AA175" t="s">
        <v>67</v>
      </c>
      <c r="AB175">
        <v>0</v>
      </c>
      <c r="AC175">
        <v>0</v>
      </c>
      <c r="AD175">
        <v>0</v>
      </c>
      <c r="AE175">
        <v>0</v>
      </c>
      <c r="AF175" t="s">
        <v>60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s">
        <v>58</v>
      </c>
      <c r="AM175" t="s">
        <v>58</v>
      </c>
      <c r="AN175" t="s">
        <v>71</v>
      </c>
      <c r="AO175">
        <v>14</v>
      </c>
      <c r="AP175">
        <v>14</v>
      </c>
      <c r="AQ175">
        <v>8</v>
      </c>
      <c r="AR175">
        <v>11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s">
        <v>61</v>
      </c>
      <c r="BA175" t="s">
        <v>57</v>
      </c>
      <c r="BC175" t="s">
        <v>58</v>
      </c>
      <c r="BD175" t="s">
        <v>58</v>
      </c>
      <c r="BE175">
        <v>11</v>
      </c>
    </row>
    <row r="176" spans="1:57" x14ac:dyDescent="0.25">
      <c r="A176" t="s">
        <v>346</v>
      </c>
      <c r="B176">
        <v>307</v>
      </c>
      <c r="C176">
        <v>0</v>
      </c>
      <c r="D176">
        <v>0</v>
      </c>
      <c r="E176">
        <v>0</v>
      </c>
      <c r="F176" t="s">
        <v>167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158</v>
      </c>
      <c r="N176">
        <v>-1</v>
      </c>
      <c r="O176">
        <v>0</v>
      </c>
      <c r="P176">
        <v>-1</v>
      </c>
      <c r="Q176">
        <v>0</v>
      </c>
      <c r="R176" t="s">
        <v>70</v>
      </c>
      <c r="S176">
        <v>0</v>
      </c>
      <c r="T176">
        <v>0</v>
      </c>
      <c r="U176">
        <v>780</v>
      </c>
      <c r="V176" t="s">
        <v>57</v>
      </c>
      <c r="W176">
        <v>0</v>
      </c>
      <c r="X176">
        <v>0</v>
      </c>
      <c r="Y176">
        <v>0</v>
      </c>
      <c r="Z176">
        <v>0</v>
      </c>
      <c r="AA176" t="s">
        <v>67</v>
      </c>
      <c r="AB176">
        <v>0</v>
      </c>
      <c r="AC176">
        <v>0</v>
      </c>
      <c r="AD176">
        <v>0</v>
      </c>
      <c r="AE176">
        <v>0</v>
      </c>
      <c r="AF176" t="s">
        <v>60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s">
        <v>58</v>
      </c>
      <c r="AM176" t="s">
        <v>58</v>
      </c>
      <c r="AN176" t="s">
        <v>71</v>
      </c>
      <c r="AO176">
        <v>14</v>
      </c>
      <c r="AP176">
        <v>14</v>
      </c>
      <c r="AQ176">
        <v>2</v>
      </c>
      <c r="AR176">
        <v>11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s">
        <v>61</v>
      </c>
      <c r="BA176" t="s">
        <v>57</v>
      </c>
      <c r="BC176" t="s">
        <v>58</v>
      </c>
      <c r="BD176" t="s">
        <v>58</v>
      </c>
      <c r="BE176">
        <v>11</v>
      </c>
    </row>
    <row r="177" spans="1:57" x14ac:dyDescent="0.25">
      <c r="A177" t="s">
        <v>347</v>
      </c>
      <c r="B177">
        <v>147</v>
      </c>
      <c r="C177">
        <v>0</v>
      </c>
      <c r="D177">
        <v>0</v>
      </c>
      <c r="E177">
        <v>0</v>
      </c>
      <c r="F177" t="s">
        <v>166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155</v>
      </c>
      <c r="N177">
        <v>-1</v>
      </c>
      <c r="O177">
        <v>0</v>
      </c>
      <c r="P177">
        <v>-1</v>
      </c>
      <c r="Q177">
        <v>0</v>
      </c>
      <c r="R177" t="s">
        <v>70</v>
      </c>
      <c r="S177">
        <v>0</v>
      </c>
      <c r="T177">
        <v>0</v>
      </c>
      <c r="U177">
        <v>780</v>
      </c>
      <c r="V177" t="s">
        <v>57</v>
      </c>
      <c r="W177">
        <v>0</v>
      </c>
      <c r="X177">
        <v>0</v>
      </c>
      <c r="Y177">
        <v>0</v>
      </c>
      <c r="Z177">
        <v>0</v>
      </c>
      <c r="AA177" t="s">
        <v>67</v>
      </c>
      <c r="AB177">
        <v>0</v>
      </c>
      <c r="AC177">
        <v>0</v>
      </c>
      <c r="AD177">
        <v>0</v>
      </c>
      <c r="AE177">
        <v>0</v>
      </c>
      <c r="AF177" t="s">
        <v>60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s">
        <v>58</v>
      </c>
      <c r="AM177" t="s">
        <v>58</v>
      </c>
      <c r="AN177" t="s">
        <v>71</v>
      </c>
      <c r="AO177">
        <v>14</v>
      </c>
      <c r="AP177">
        <v>14</v>
      </c>
      <c r="AQ177">
        <v>3</v>
      </c>
      <c r="AR177">
        <v>11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s">
        <v>61</v>
      </c>
      <c r="BA177" t="s">
        <v>57</v>
      </c>
      <c r="BC177" t="s">
        <v>58</v>
      </c>
      <c r="BD177" t="s">
        <v>58</v>
      </c>
      <c r="BE177">
        <v>11</v>
      </c>
    </row>
    <row r="178" spans="1:57" x14ac:dyDescent="0.25">
      <c r="A178" t="s">
        <v>348</v>
      </c>
      <c r="B178">
        <v>96</v>
      </c>
      <c r="C178">
        <v>0</v>
      </c>
      <c r="D178">
        <v>0</v>
      </c>
      <c r="E178">
        <v>0</v>
      </c>
      <c r="F178" t="s">
        <v>153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146</v>
      </c>
      <c r="N178">
        <v>-1</v>
      </c>
      <c r="O178">
        <v>0</v>
      </c>
      <c r="P178">
        <v>-1</v>
      </c>
      <c r="Q178">
        <v>0</v>
      </c>
      <c r="R178" t="s">
        <v>70</v>
      </c>
      <c r="S178">
        <v>0</v>
      </c>
      <c r="T178">
        <v>0</v>
      </c>
      <c r="U178">
        <v>780</v>
      </c>
      <c r="V178" t="s">
        <v>57</v>
      </c>
      <c r="W178">
        <v>0</v>
      </c>
      <c r="X178">
        <v>0</v>
      </c>
      <c r="Y178">
        <v>0</v>
      </c>
      <c r="Z178">
        <v>0</v>
      </c>
      <c r="AA178" t="s">
        <v>67</v>
      </c>
      <c r="AB178">
        <v>0</v>
      </c>
      <c r="AC178">
        <v>0</v>
      </c>
      <c r="AD178">
        <v>0</v>
      </c>
      <c r="AE178">
        <v>0</v>
      </c>
      <c r="AF178" t="s">
        <v>60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s">
        <v>58</v>
      </c>
      <c r="AM178" t="s">
        <v>58</v>
      </c>
      <c r="AN178" t="s">
        <v>71</v>
      </c>
      <c r="AO178">
        <v>14</v>
      </c>
      <c r="AP178">
        <v>14</v>
      </c>
      <c r="AQ178">
        <v>6</v>
      </c>
      <c r="AR178">
        <v>11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s">
        <v>61</v>
      </c>
      <c r="BA178" t="s">
        <v>57</v>
      </c>
      <c r="BC178" t="s">
        <v>58</v>
      </c>
      <c r="BD178" t="s">
        <v>58</v>
      </c>
      <c r="BE178">
        <v>11</v>
      </c>
    </row>
    <row r="179" spans="1:57" x14ac:dyDescent="0.25">
      <c r="A179" t="s">
        <v>349</v>
      </c>
      <c r="B179">
        <v>184</v>
      </c>
      <c r="C179">
        <v>0</v>
      </c>
      <c r="D179">
        <v>0</v>
      </c>
      <c r="E179">
        <v>0</v>
      </c>
      <c r="F179" t="s">
        <v>151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171</v>
      </c>
      <c r="N179">
        <v>-1</v>
      </c>
      <c r="O179">
        <v>0</v>
      </c>
      <c r="P179">
        <v>-1</v>
      </c>
      <c r="Q179">
        <v>0</v>
      </c>
      <c r="R179" t="s">
        <v>70</v>
      </c>
      <c r="S179">
        <v>0</v>
      </c>
      <c r="T179">
        <v>0</v>
      </c>
      <c r="U179">
        <v>975</v>
      </c>
      <c r="V179" t="s">
        <v>57</v>
      </c>
      <c r="W179">
        <v>0</v>
      </c>
      <c r="X179">
        <v>0</v>
      </c>
      <c r="Y179">
        <v>0</v>
      </c>
      <c r="Z179">
        <v>0</v>
      </c>
      <c r="AA179" t="s">
        <v>67</v>
      </c>
      <c r="AB179">
        <v>0</v>
      </c>
      <c r="AC179">
        <v>0</v>
      </c>
      <c r="AD179">
        <v>0</v>
      </c>
      <c r="AE179">
        <v>0</v>
      </c>
      <c r="AF179" t="s">
        <v>60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s">
        <v>58</v>
      </c>
      <c r="AM179" t="s">
        <v>58</v>
      </c>
      <c r="AN179" t="s">
        <v>71</v>
      </c>
      <c r="AO179">
        <v>14</v>
      </c>
      <c r="AP179">
        <v>14</v>
      </c>
      <c r="AQ179">
        <v>10</v>
      </c>
      <c r="AR179">
        <v>11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s">
        <v>61</v>
      </c>
      <c r="BA179" t="s">
        <v>57</v>
      </c>
      <c r="BC179" t="s">
        <v>58</v>
      </c>
      <c r="BD179" t="s">
        <v>58</v>
      </c>
      <c r="BE179">
        <v>11</v>
      </c>
    </row>
    <row r="180" spans="1:57" x14ac:dyDescent="0.25">
      <c r="A180" t="s">
        <v>350</v>
      </c>
      <c r="B180">
        <v>181</v>
      </c>
      <c r="C180">
        <v>0</v>
      </c>
      <c r="D180">
        <v>0</v>
      </c>
      <c r="E180">
        <v>0</v>
      </c>
      <c r="F180" t="s">
        <v>143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172</v>
      </c>
      <c r="N180">
        <v>-1</v>
      </c>
      <c r="O180">
        <v>0</v>
      </c>
      <c r="P180">
        <v>-1</v>
      </c>
      <c r="Q180">
        <v>0</v>
      </c>
      <c r="R180" t="s">
        <v>70</v>
      </c>
      <c r="S180">
        <v>0</v>
      </c>
      <c r="T180">
        <v>0</v>
      </c>
      <c r="U180">
        <v>1220</v>
      </c>
      <c r="V180" t="s">
        <v>57</v>
      </c>
      <c r="W180">
        <v>0</v>
      </c>
      <c r="X180">
        <v>0</v>
      </c>
      <c r="Y180">
        <v>0</v>
      </c>
      <c r="Z180">
        <v>0</v>
      </c>
      <c r="AA180" t="s">
        <v>60</v>
      </c>
      <c r="AB180">
        <v>0</v>
      </c>
      <c r="AC180">
        <v>0</v>
      </c>
      <c r="AD180">
        <v>0</v>
      </c>
      <c r="AE180">
        <v>0</v>
      </c>
      <c r="AF180" t="s">
        <v>60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s">
        <v>58</v>
      </c>
      <c r="AM180" t="s">
        <v>58</v>
      </c>
      <c r="AN180" t="s">
        <v>71</v>
      </c>
      <c r="AO180">
        <v>14</v>
      </c>
      <c r="AP180">
        <v>16</v>
      </c>
      <c r="AQ180">
        <v>13</v>
      </c>
      <c r="AR180">
        <v>11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s">
        <v>61</v>
      </c>
      <c r="BA180" t="s">
        <v>57</v>
      </c>
      <c r="BC180" t="s">
        <v>58</v>
      </c>
      <c r="BD180" t="s">
        <v>58</v>
      </c>
      <c r="BE180">
        <v>11</v>
      </c>
    </row>
    <row r="181" spans="1:57" x14ac:dyDescent="0.25">
      <c r="A181" t="s">
        <v>351</v>
      </c>
      <c r="B181">
        <v>196</v>
      </c>
      <c r="C181">
        <v>0</v>
      </c>
      <c r="D181">
        <v>0</v>
      </c>
      <c r="E181">
        <v>0</v>
      </c>
      <c r="F181" t="s">
        <v>144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145</v>
      </c>
      <c r="N181">
        <v>-1</v>
      </c>
      <c r="O181">
        <v>0</v>
      </c>
      <c r="P181">
        <v>-1</v>
      </c>
      <c r="Q181">
        <v>0</v>
      </c>
      <c r="R181" t="s">
        <v>70</v>
      </c>
      <c r="S181">
        <v>0</v>
      </c>
      <c r="T181">
        <v>0</v>
      </c>
      <c r="U181">
        <v>780</v>
      </c>
      <c r="V181" t="s">
        <v>57</v>
      </c>
      <c r="W181">
        <v>0</v>
      </c>
      <c r="X181">
        <v>0</v>
      </c>
      <c r="Y181">
        <v>0</v>
      </c>
      <c r="Z181">
        <v>0</v>
      </c>
      <c r="AA181" t="s">
        <v>67</v>
      </c>
      <c r="AB181">
        <v>0</v>
      </c>
      <c r="AC181">
        <v>0</v>
      </c>
      <c r="AD181">
        <v>0</v>
      </c>
      <c r="AE181">
        <v>0</v>
      </c>
      <c r="AF181" t="s">
        <v>60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s">
        <v>58</v>
      </c>
      <c r="AM181" t="s">
        <v>58</v>
      </c>
      <c r="AN181" t="s">
        <v>71</v>
      </c>
      <c r="AO181">
        <v>14</v>
      </c>
      <c r="AP181">
        <v>17</v>
      </c>
      <c r="AQ181">
        <v>2</v>
      </c>
      <c r="AR181">
        <v>11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s">
        <v>61</v>
      </c>
      <c r="BA181" t="s">
        <v>57</v>
      </c>
      <c r="BC181" t="s">
        <v>58</v>
      </c>
      <c r="BD181" t="s">
        <v>58</v>
      </c>
      <c r="BE181">
        <v>11</v>
      </c>
    </row>
    <row r="182" spans="1:57" x14ac:dyDescent="0.25">
      <c r="A182" t="s">
        <v>352</v>
      </c>
      <c r="B182">
        <v>234</v>
      </c>
      <c r="C182">
        <v>0</v>
      </c>
      <c r="D182">
        <v>0</v>
      </c>
      <c r="E182">
        <v>0</v>
      </c>
      <c r="F182" t="s">
        <v>166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153</v>
      </c>
      <c r="N182">
        <v>-1</v>
      </c>
      <c r="O182">
        <v>0</v>
      </c>
      <c r="P182">
        <v>-1</v>
      </c>
      <c r="Q182">
        <v>0</v>
      </c>
      <c r="R182" t="s">
        <v>70</v>
      </c>
      <c r="S182">
        <v>0</v>
      </c>
      <c r="T182">
        <v>0</v>
      </c>
      <c r="U182">
        <v>780</v>
      </c>
      <c r="V182" t="s">
        <v>57</v>
      </c>
      <c r="W182">
        <v>0</v>
      </c>
      <c r="X182">
        <v>0</v>
      </c>
      <c r="Y182">
        <v>0</v>
      </c>
      <c r="Z182">
        <v>0</v>
      </c>
      <c r="AA182" t="s">
        <v>67</v>
      </c>
      <c r="AB182">
        <v>0</v>
      </c>
      <c r="AC182">
        <v>0</v>
      </c>
      <c r="AD182">
        <v>0</v>
      </c>
      <c r="AE182">
        <v>0</v>
      </c>
      <c r="AF182" t="s">
        <v>60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s">
        <v>58</v>
      </c>
      <c r="AM182" t="s">
        <v>58</v>
      </c>
      <c r="AN182" t="s">
        <v>71</v>
      </c>
      <c r="AO182">
        <v>14</v>
      </c>
      <c r="AP182">
        <v>1</v>
      </c>
      <c r="AQ182">
        <v>1</v>
      </c>
      <c r="AR182">
        <v>11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s">
        <v>61</v>
      </c>
      <c r="BA182" t="s">
        <v>57</v>
      </c>
      <c r="BC182" t="s">
        <v>58</v>
      </c>
      <c r="BD182" t="s">
        <v>58</v>
      </c>
      <c r="BE182">
        <v>12</v>
      </c>
    </row>
    <row r="183" spans="1:57" x14ac:dyDescent="0.25">
      <c r="A183" t="s">
        <v>353</v>
      </c>
      <c r="B183">
        <v>153</v>
      </c>
      <c r="C183">
        <v>0</v>
      </c>
      <c r="D183">
        <v>0</v>
      </c>
      <c r="E183">
        <v>0</v>
      </c>
      <c r="F183" t="s">
        <v>161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144</v>
      </c>
      <c r="N183">
        <v>-1</v>
      </c>
      <c r="O183">
        <v>0</v>
      </c>
      <c r="P183">
        <v>-1</v>
      </c>
      <c r="Q183">
        <v>0</v>
      </c>
      <c r="R183" t="s">
        <v>70</v>
      </c>
      <c r="S183">
        <v>0</v>
      </c>
      <c r="T183">
        <v>0</v>
      </c>
      <c r="U183">
        <v>780</v>
      </c>
      <c r="V183" t="s">
        <v>57</v>
      </c>
      <c r="W183">
        <v>0</v>
      </c>
      <c r="X183">
        <v>0</v>
      </c>
      <c r="Y183">
        <v>0</v>
      </c>
      <c r="Z183">
        <v>0</v>
      </c>
      <c r="AA183" t="s">
        <v>67</v>
      </c>
      <c r="AB183">
        <v>0</v>
      </c>
      <c r="AC183">
        <v>0</v>
      </c>
      <c r="AD183">
        <v>0</v>
      </c>
      <c r="AE183">
        <v>0</v>
      </c>
      <c r="AF183" t="s">
        <v>60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s">
        <v>58</v>
      </c>
      <c r="AM183" t="s">
        <v>58</v>
      </c>
      <c r="AN183" t="s">
        <v>71</v>
      </c>
      <c r="AO183">
        <v>14</v>
      </c>
      <c r="AP183">
        <v>1</v>
      </c>
      <c r="AQ183">
        <v>2</v>
      </c>
      <c r="AR183">
        <v>11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s">
        <v>61</v>
      </c>
      <c r="BA183" t="s">
        <v>57</v>
      </c>
      <c r="BC183" t="s">
        <v>58</v>
      </c>
      <c r="BD183" t="s">
        <v>58</v>
      </c>
      <c r="BE183">
        <v>12</v>
      </c>
    </row>
    <row r="184" spans="1:57" x14ac:dyDescent="0.25">
      <c r="A184" t="s">
        <v>354</v>
      </c>
      <c r="B184">
        <v>264</v>
      </c>
      <c r="C184">
        <v>0</v>
      </c>
      <c r="D184">
        <v>0</v>
      </c>
      <c r="E184">
        <v>0</v>
      </c>
      <c r="F184" t="s">
        <v>162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147</v>
      </c>
      <c r="N184">
        <v>-1</v>
      </c>
      <c r="O184">
        <v>0</v>
      </c>
      <c r="P184">
        <v>-1</v>
      </c>
      <c r="Q184">
        <v>0</v>
      </c>
      <c r="R184" t="s">
        <v>70</v>
      </c>
      <c r="S184">
        <v>0</v>
      </c>
      <c r="T184">
        <v>0</v>
      </c>
      <c r="U184">
        <v>780</v>
      </c>
      <c r="V184" t="s">
        <v>57</v>
      </c>
      <c r="W184">
        <v>0</v>
      </c>
      <c r="X184">
        <v>0</v>
      </c>
      <c r="Y184">
        <v>0</v>
      </c>
      <c r="Z184">
        <v>0</v>
      </c>
      <c r="AA184" t="s">
        <v>67</v>
      </c>
      <c r="AB184">
        <v>0</v>
      </c>
      <c r="AC184">
        <v>0</v>
      </c>
      <c r="AD184">
        <v>0</v>
      </c>
      <c r="AE184">
        <v>0</v>
      </c>
      <c r="AF184" t="s">
        <v>60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s">
        <v>58</v>
      </c>
      <c r="AM184" t="s">
        <v>58</v>
      </c>
      <c r="AN184" t="s">
        <v>71</v>
      </c>
      <c r="AO184">
        <v>14</v>
      </c>
      <c r="AP184">
        <v>2</v>
      </c>
      <c r="AQ184">
        <v>5</v>
      </c>
      <c r="AR184">
        <v>11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s">
        <v>61</v>
      </c>
      <c r="BA184" t="s">
        <v>57</v>
      </c>
      <c r="BC184" t="s">
        <v>58</v>
      </c>
      <c r="BD184" t="s">
        <v>58</v>
      </c>
      <c r="BE184">
        <v>12</v>
      </c>
    </row>
    <row r="185" spans="1:57" x14ac:dyDescent="0.25">
      <c r="A185" t="s">
        <v>355</v>
      </c>
      <c r="B185">
        <v>258</v>
      </c>
      <c r="C185">
        <v>0</v>
      </c>
      <c r="D185">
        <v>0</v>
      </c>
      <c r="E185">
        <v>0</v>
      </c>
      <c r="F185" t="s">
        <v>159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155</v>
      </c>
      <c r="N185">
        <v>-1</v>
      </c>
      <c r="O185">
        <v>0</v>
      </c>
      <c r="P185">
        <v>-1</v>
      </c>
      <c r="Q185">
        <v>0</v>
      </c>
      <c r="R185" t="s">
        <v>70</v>
      </c>
      <c r="S185">
        <v>0</v>
      </c>
      <c r="T185">
        <v>0</v>
      </c>
      <c r="U185">
        <v>780</v>
      </c>
      <c r="V185" t="s">
        <v>57</v>
      </c>
      <c r="W185">
        <v>0</v>
      </c>
      <c r="X185">
        <v>0</v>
      </c>
      <c r="Y185">
        <v>0</v>
      </c>
      <c r="Z185">
        <v>0</v>
      </c>
      <c r="AA185" t="s">
        <v>67</v>
      </c>
      <c r="AB185">
        <v>0</v>
      </c>
      <c r="AC185">
        <v>0</v>
      </c>
      <c r="AD185">
        <v>0</v>
      </c>
      <c r="AE185">
        <v>0</v>
      </c>
      <c r="AF185" t="s">
        <v>60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s">
        <v>58</v>
      </c>
      <c r="AM185" t="s">
        <v>58</v>
      </c>
      <c r="AN185" t="s">
        <v>71</v>
      </c>
      <c r="AO185">
        <v>14</v>
      </c>
      <c r="AP185">
        <v>4</v>
      </c>
      <c r="AQ185">
        <v>3</v>
      </c>
      <c r="AR185">
        <v>11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s">
        <v>61</v>
      </c>
      <c r="BA185" t="s">
        <v>57</v>
      </c>
      <c r="BC185" t="s">
        <v>58</v>
      </c>
      <c r="BD185" t="s">
        <v>58</v>
      </c>
      <c r="BE185">
        <v>12</v>
      </c>
    </row>
    <row r="186" spans="1:57" x14ac:dyDescent="0.25">
      <c r="A186" t="s">
        <v>356</v>
      </c>
      <c r="B186">
        <v>278</v>
      </c>
      <c r="C186">
        <v>0</v>
      </c>
      <c r="D186">
        <v>0</v>
      </c>
      <c r="E186">
        <v>0</v>
      </c>
      <c r="F186" t="s">
        <v>148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149</v>
      </c>
      <c r="N186">
        <v>-1</v>
      </c>
      <c r="O186">
        <v>0</v>
      </c>
      <c r="P186">
        <v>-1</v>
      </c>
      <c r="Q186">
        <v>0</v>
      </c>
      <c r="R186" t="s">
        <v>70</v>
      </c>
      <c r="S186">
        <v>0</v>
      </c>
      <c r="T186">
        <v>0</v>
      </c>
      <c r="U186">
        <v>780</v>
      </c>
      <c r="V186" t="s">
        <v>57</v>
      </c>
      <c r="W186">
        <v>0</v>
      </c>
      <c r="X186">
        <v>0</v>
      </c>
      <c r="Y186">
        <v>0</v>
      </c>
      <c r="Z186">
        <v>0</v>
      </c>
      <c r="AA186" t="s">
        <v>67</v>
      </c>
      <c r="AB186">
        <v>0</v>
      </c>
      <c r="AC186">
        <v>0</v>
      </c>
      <c r="AD186">
        <v>0</v>
      </c>
      <c r="AE186">
        <v>0</v>
      </c>
      <c r="AF186" t="s">
        <v>60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s">
        <v>58</v>
      </c>
      <c r="AM186" t="s">
        <v>58</v>
      </c>
      <c r="AN186" t="s">
        <v>71</v>
      </c>
      <c r="AO186">
        <v>14</v>
      </c>
      <c r="AP186">
        <v>8</v>
      </c>
      <c r="AQ186">
        <v>4</v>
      </c>
      <c r="AR186">
        <v>11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s">
        <v>61</v>
      </c>
      <c r="BA186" t="s">
        <v>57</v>
      </c>
      <c r="BC186" t="s">
        <v>58</v>
      </c>
      <c r="BD186" t="s">
        <v>58</v>
      </c>
      <c r="BE186">
        <v>12</v>
      </c>
    </row>
    <row r="187" spans="1:57" x14ac:dyDescent="0.25">
      <c r="A187" t="s">
        <v>357</v>
      </c>
      <c r="B187">
        <v>91</v>
      </c>
      <c r="C187">
        <v>0</v>
      </c>
      <c r="D187">
        <v>0</v>
      </c>
      <c r="E187">
        <v>0</v>
      </c>
      <c r="F187" t="s">
        <v>167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146</v>
      </c>
      <c r="N187">
        <v>-1</v>
      </c>
      <c r="O187">
        <v>0</v>
      </c>
      <c r="P187">
        <v>-1</v>
      </c>
      <c r="Q187">
        <v>0</v>
      </c>
      <c r="R187" t="s">
        <v>70</v>
      </c>
      <c r="S187">
        <v>0</v>
      </c>
      <c r="T187">
        <v>0</v>
      </c>
      <c r="U187">
        <v>965</v>
      </c>
      <c r="V187" t="s">
        <v>57</v>
      </c>
      <c r="W187">
        <v>0</v>
      </c>
      <c r="X187">
        <v>0</v>
      </c>
      <c r="Y187">
        <v>0</v>
      </c>
      <c r="Z187">
        <v>0</v>
      </c>
      <c r="AA187" t="s">
        <v>67</v>
      </c>
      <c r="AB187">
        <v>0</v>
      </c>
      <c r="AC187">
        <v>0</v>
      </c>
      <c r="AD187">
        <v>0</v>
      </c>
      <c r="AE187">
        <v>0</v>
      </c>
      <c r="AF187" t="s">
        <v>60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s">
        <v>58</v>
      </c>
      <c r="AM187" t="s">
        <v>58</v>
      </c>
      <c r="AN187" t="s">
        <v>71</v>
      </c>
      <c r="AO187">
        <v>14</v>
      </c>
      <c r="AP187">
        <v>8</v>
      </c>
      <c r="AQ187">
        <v>7</v>
      </c>
      <c r="AR187">
        <v>11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s">
        <v>61</v>
      </c>
      <c r="BA187" t="s">
        <v>57</v>
      </c>
      <c r="BC187" t="s">
        <v>58</v>
      </c>
      <c r="BD187" t="s">
        <v>58</v>
      </c>
      <c r="BE187">
        <v>12</v>
      </c>
    </row>
    <row r="188" spans="1:57" x14ac:dyDescent="0.25">
      <c r="A188" t="s">
        <v>358</v>
      </c>
      <c r="B188">
        <v>98</v>
      </c>
      <c r="C188">
        <v>0</v>
      </c>
      <c r="D188">
        <v>0</v>
      </c>
      <c r="E188">
        <v>0</v>
      </c>
      <c r="F188" t="s">
        <v>152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174</v>
      </c>
      <c r="N188">
        <v>-1</v>
      </c>
      <c r="O188">
        <v>0</v>
      </c>
      <c r="P188">
        <v>-1</v>
      </c>
      <c r="Q188">
        <v>0</v>
      </c>
      <c r="R188" t="s">
        <v>70</v>
      </c>
      <c r="S188">
        <v>0</v>
      </c>
      <c r="T188">
        <v>0</v>
      </c>
      <c r="U188">
        <v>965</v>
      </c>
      <c r="V188" t="s">
        <v>57</v>
      </c>
      <c r="W188">
        <v>0</v>
      </c>
      <c r="X188">
        <v>0</v>
      </c>
      <c r="Y188">
        <v>0</v>
      </c>
      <c r="Z188">
        <v>0</v>
      </c>
      <c r="AA188" t="s">
        <v>67</v>
      </c>
      <c r="AB188">
        <v>0</v>
      </c>
      <c r="AC188">
        <v>0</v>
      </c>
      <c r="AD188">
        <v>0</v>
      </c>
      <c r="AE188">
        <v>0</v>
      </c>
      <c r="AF188" t="s">
        <v>60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s">
        <v>58</v>
      </c>
      <c r="AM188" t="s">
        <v>58</v>
      </c>
      <c r="AN188" t="s">
        <v>71</v>
      </c>
      <c r="AO188">
        <v>14</v>
      </c>
      <c r="AP188">
        <v>12</v>
      </c>
      <c r="AQ188">
        <v>7</v>
      </c>
      <c r="AR188">
        <v>11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s">
        <v>61</v>
      </c>
      <c r="BA188" t="s">
        <v>57</v>
      </c>
      <c r="BC188" t="s">
        <v>58</v>
      </c>
      <c r="BD188" t="s">
        <v>58</v>
      </c>
      <c r="BE188">
        <v>12</v>
      </c>
    </row>
    <row r="189" spans="1:57" x14ac:dyDescent="0.25">
      <c r="A189" t="s">
        <v>359</v>
      </c>
      <c r="B189">
        <v>320</v>
      </c>
      <c r="C189">
        <v>0</v>
      </c>
      <c r="D189">
        <v>0</v>
      </c>
      <c r="E189">
        <v>0</v>
      </c>
      <c r="F189" t="s">
        <v>156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169</v>
      </c>
      <c r="N189">
        <v>-1</v>
      </c>
      <c r="O189">
        <v>0</v>
      </c>
      <c r="P189">
        <v>-1</v>
      </c>
      <c r="Q189">
        <v>0</v>
      </c>
      <c r="R189" t="s">
        <v>70</v>
      </c>
      <c r="S189">
        <v>0</v>
      </c>
      <c r="T189">
        <v>0</v>
      </c>
      <c r="U189">
        <v>780</v>
      </c>
      <c r="V189" t="s">
        <v>57</v>
      </c>
      <c r="W189">
        <v>0</v>
      </c>
      <c r="X189">
        <v>0</v>
      </c>
      <c r="Y189">
        <v>0</v>
      </c>
      <c r="Z189">
        <v>0</v>
      </c>
      <c r="AA189" t="s">
        <v>67</v>
      </c>
      <c r="AB189">
        <v>0</v>
      </c>
      <c r="AC189">
        <v>0</v>
      </c>
      <c r="AD189">
        <v>0</v>
      </c>
      <c r="AE189">
        <v>0</v>
      </c>
      <c r="AF189" t="s">
        <v>60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s">
        <v>58</v>
      </c>
      <c r="AM189" t="s">
        <v>58</v>
      </c>
      <c r="AN189" t="s">
        <v>71</v>
      </c>
      <c r="AO189">
        <v>14</v>
      </c>
      <c r="AP189">
        <v>9</v>
      </c>
      <c r="AQ189">
        <v>6</v>
      </c>
      <c r="AR189">
        <v>11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s">
        <v>61</v>
      </c>
      <c r="BA189" t="s">
        <v>57</v>
      </c>
      <c r="BC189" t="s">
        <v>58</v>
      </c>
      <c r="BD189" t="s">
        <v>58</v>
      </c>
      <c r="BE189">
        <v>12</v>
      </c>
    </row>
    <row r="190" spans="1:57" x14ac:dyDescent="0.25">
      <c r="A190" t="s">
        <v>360</v>
      </c>
      <c r="B190">
        <v>160</v>
      </c>
      <c r="C190">
        <v>0</v>
      </c>
      <c r="D190">
        <v>0</v>
      </c>
      <c r="E190">
        <v>0</v>
      </c>
      <c r="F190" t="s">
        <v>164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163</v>
      </c>
      <c r="N190">
        <v>-1</v>
      </c>
      <c r="O190">
        <v>0</v>
      </c>
      <c r="P190">
        <v>-1</v>
      </c>
      <c r="Q190">
        <v>0</v>
      </c>
      <c r="R190" t="s">
        <v>70</v>
      </c>
      <c r="S190">
        <v>0</v>
      </c>
      <c r="T190">
        <v>0</v>
      </c>
      <c r="U190">
        <v>780</v>
      </c>
      <c r="V190" t="s">
        <v>57</v>
      </c>
      <c r="W190">
        <v>0</v>
      </c>
      <c r="X190">
        <v>0</v>
      </c>
      <c r="Y190">
        <v>0</v>
      </c>
      <c r="Z190">
        <v>0</v>
      </c>
      <c r="AA190" t="s">
        <v>67</v>
      </c>
      <c r="AB190">
        <v>0</v>
      </c>
      <c r="AC190">
        <v>0</v>
      </c>
      <c r="AD190">
        <v>0</v>
      </c>
      <c r="AE190">
        <v>0</v>
      </c>
      <c r="AF190" t="s">
        <v>60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s">
        <v>58</v>
      </c>
      <c r="AM190" t="s">
        <v>58</v>
      </c>
      <c r="AN190" t="s">
        <v>71</v>
      </c>
      <c r="AO190">
        <v>14</v>
      </c>
      <c r="AP190">
        <v>14</v>
      </c>
      <c r="AQ190">
        <v>4</v>
      </c>
      <c r="AR190">
        <v>11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s">
        <v>61</v>
      </c>
      <c r="BA190" t="s">
        <v>57</v>
      </c>
      <c r="BC190" t="s">
        <v>58</v>
      </c>
      <c r="BD190" t="s">
        <v>58</v>
      </c>
      <c r="BE190">
        <v>12</v>
      </c>
    </row>
    <row r="191" spans="1:57" x14ac:dyDescent="0.25">
      <c r="A191" t="s">
        <v>361</v>
      </c>
      <c r="B191">
        <v>86</v>
      </c>
      <c r="C191">
        <v>0</v>
      </c>
      <c r="D191">
        <v>0</v>
      </c>
      <c r="E191">
        <v>0</v>
      </c>
      <c r="F191" t="s">
        <v>154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172</v>
      </c>
      <c r="N191">
        <v>-1</v>
      </c>
      <c r="O191">
        <v>0</v>
      </c>
      <c r="P191">
        <v>-1</v>
      </c>
      <c r="Q191">
        <v>0</v>
      </c>
      <c r="R191" t="s">
        <v>70</v>
      </c>
      <c r="S191">
        <v>0</v>
      </c>
      <c r="T191">
        <v>0</v>
      </c>
      <c r="U191">
        <v>780</v>
      </c>
      <c r="V191" t="s">
        <v>57</v>
      </c>
      <c r="W191">
        <v>0</v>
      </c>
      <c r="X191">
        <v>0</v>
      </c>
      <c r="Y191">
        <v>0</v>
      </c>
      <c r="Z191">
        <v>0</v>
      </c>
      <c r="AA191" t="s">
        <v>67</v>
      </c>
      <c r="AB191">
        <v>0</v>
      </c>
      <c r="AC191">
        <v>0</v>
      </c>
      <c r="AD191">
        <v>0</v>
      </c>
      <c r="AE191">
        <v>0</v>
      </c>
      <c r="AF191" t="s">
        <v>60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s">
        <v>58</v>
      </c>
      <c r="AM191" t="s">
        <v>58</v>
      </c>
      <c r="AN191" t="s">
        <v>71</v>
      </c>
      <c r="AO191">
        <v>14</v>
      </c>
      <c r="AP191">
        <v>15</v>
      </c>
      <c r="AQ191">
        <v>4</v>
      </c>
      <c r="AR191">
        <v>11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s">
        <v>61</v>
      </c>
      <c r="BA191" t="s">
        <v>57</v>
      </c>
      <c r="BC191" t="s">
        <v>58</v>
      </c>
      <c r="BD191" t="s">
        <v>58</v>
      </c>
      <c r="BE191">
        <v>12</v>
      </c>
    </row>
    <row r="192" spans="1:57" x14ac:dyDescent="0.25">
      <c r="A192" t="s">
        <v>362</v>
      </c>
      <c r="B192">
        <v>197</v>
      </c>
      <c r="C192">
        <v>0</v>
      </c>
      <c r="D192">
        <v>0</v>
      </c>
      <c r="E192">
        <v>0</v>
      </c>
      <c r="F192" t="s">
        <v>173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151</v>
      </c>
      <c r="N192">
        <v>-1</v>
      </c>
      <c r="O192">
        <v>0</v>
      </c>
      <c r="P192">
        <v>-1</v>
      </c>
      <c r="Q192">
        <v>0</v>
      </c>
      <c r="R192" t="s">
        <v>70</v>
      </c>
      <c r="S192">
        <v>0</v>
      </c>
      <c r="T192">
        <v>0</v>
      </c>
      <c r="U192">
        <v>965</v>
      </c>
      <c r="V192" t="s">
        <v>57</v>
      </c>
      <c r="W192">
        <v>0</v>
      </c>
      <c r="X192">
        <v>0</v>
      </c>
      <c r="Y192">
        <v>0</v>
      </c>
      <c r="Z192">
        <v>0</v>
      </c>
      <c r="AA192" t="s">
        <v>67</v>
      </c>
      <c r="AB192">
        <v>0</v>
      </c>
      <c r="AC192">
        <v>0</v>
      </c>
      <c r="AD192">
        <v>0</v>
      </c>
      <c r="AE192">
        <v>0</v>
      </c>
      <c r="AF192" t="s">
        <v>60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s">
        <v>58</v>
      </c>
      <c r="AM192" t="s">
        <v>58</v>
      </c>
      <c r="AN192" t="s">
        <v>71</v>
      </c>
      <c r="AO192">
        <v>14</v>
      </c>
      <c r="AP192">
        <v>16</v>
      </c>
      <c r="AQ192">
        <v>9</v>
      </c>
      <c r="AR192">
        <v>11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s">
        <v>61</v>
      </c>
      <c r="BA192" t="s">
        <v>57</v>
      </c>
      <c r="BC192" t="s">
        <v>58</v>
      </c>
      <c r="BD192" t="s">
        <v>58</v>
      </c>
      <c r="BE192">
        <v>12</v>
      </c>
    </row>
    <row r="193" spans="1:57" x14ac:dyDescent="0.25">
      <c r="A193" t="s">
        <v>363</v>
      </c>
      <c r="B193">
        <v>315</v>
      </c>
      <c r="C193">
        <v>0</v>
      </c>
      <c r="D193">
        <v>0</v>
      </c>
      <c r="E193">
        <v>0</v>
      </c>
      <c r="F193" t="s">
        <v>143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150</v>
      </c>
      <c r="N193">
        <v>-1</v>
      </c>
      <c r="O193">
        <v>0</v>
      </c>
      <c r="P193">
        <v>-1</v>
      </c>
      <c r="Q193">
        <v>0</v>
      </c>
      <c r="R193" t="s">
        <v>70</v>
      </c>
      <c r="S193">
        <v>0</v>
      </c>
      <c r="T193">
        <v>0</v>
      </c>
      <c r="U193">
        <v>965</v>
      </c>
      <c r="V193" t="s">
        <v>57</v>
      </c>
      <c r="W193">
        <v>0</v>
      </c>
      <c r="X193">
        <v>0</v>
      </c>
      <c r="Y193">
        <v>0</v>
      </c>
      <c r="Z193">
        <v>0</v>
      </c>
      <c r="AA193" t="s">
        <v>67</v>
      </c>
      <c r="AB193">
        <v>0</v>
      </c>
      <c r="AC193">
        <v>0</v>
      </c>
      <c r="AD193">
        <v>0</v>
      </c>
      <c r="AE193">
        <v>0</v>
      </c>
      <c r="AF193" t="s">
        <v>60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s">
        <v>58</v>
      </c>
      <c r="AM193" t="s">
        <v>58</v>
      </c>
      <c r="AN193" t="s">
        <v>71</v>
      </c>
      <c r="AO193">
        <v>14</v>
      </c>
      <c r="AP193">
        <v>16</v>
      </c>
      <c r="AQ193">
        <v>11</v>
      </c>
      <c r="AR193">
        <v>11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s">
        <v>61</v>
      </c>
      <c r="BA193" t="s">
        <v>57</v>
      </c>
      <c r="BC193" t="s">
        <v>58</v>
      </c>
      <c r="BD193" t="s">
        <v>58</v>
      </c>
      <c r="BE193">
        <v>12</v>
      </c>
    </row>
    <row r="194" spans="1:57" x14ac:dyDescent="0.25">
      <c r="A194" t="s">
        <v>364</v>
      </c>
      <c r="B194">
        <v>301</v>
      </c>
      <c r="C194">
        <v>0</v>
      </c>
      <c r="D194">
        <v>0</v>
      </c>
      <c r="E194">
        <v>0</v>
      </c>
      <c r="F194" t="s">
        <v>157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160</v>
      </c>
      <c r="N194">
        <v>-1</v>
      </c>
      <c r="O194">
        <v>0</v>
      </c>
      <c r="P194">
        <v>-1</v>
      </c>
      <c r="Q194">
        <v>0</v>
      </c>
      <c r="R194" t="s">
        <v>70</v>
      </c>
      <c r="S194">
        <v>0</v>
      </c>
      <c r="T194">
        <v>0</v>
      </c>
      <c r="U194">
        <v>780</v>
      </c>
      <c r="V194" t="s">
        <v>57</v>
      </c>
      <c r="W194">
        <v>0</v>
      </c>
      <c r="X194">
        <v>0</v>
      </c>
      <c r="Y194">
        <v>0</v>
      </c>
      <c r="Z194">
        <v>0</v>
      </c>
      <c r="AA194" t="s">
        <v>67</v>
      </c>
      <c r="AB194">
        <v>0</v>
      </c>
      <c r="AC194">
        <v>0</v>
      </c>
      <c r="AD194">
        <v>0</v>
      </c>
      <c r="AE194">
        <v>0</v>
      </c>
      <c r="AF194" t="s">
        <v>60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s">
        <v>58</v>
      </c>
      <c r="AM194" t="s">
        <v>58</v>
      </c>
      <c r="AN194" t="s">
        <v>71</v>
      </c>
      <c r="AO194">
        <v>14</v>
      </c>
      <c r="AP194">
        <v>17</v>
      </c>
      <c r="AQ194">
        <v>7</v>
      </c>
      <c r="AR194">
        <v>11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s">
        <v>61</v>
      </c>
      <c r="BA194" t="s">
        <v>57</v>
      </c>
      <c r="BC194" t="s">
        <v>58</v>
      </c>
      <c r="BD194" t="s">
        <v>58</v>
      </c>
      <c r="BE194">
        <v>12</v>
      </c>
    </row>
    <row r="195" spans="1:57" x14ac:dyDescent="0.25">
      <c r="A195" t="s">
        <v>499</v>
      </c>
      <c r="B195">
        <v>65</v>
      </c>
      <c r="C195">
        <v>0</v>
      </c>
      <c r="D195">
        <v>0</v>
      </c>
      <c r="E195">
        <v>0</v>
      </c>
      <c r="F195" t="s">
        <v>165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158</v>
      </c>
      <c r="N195">
        <v>-1</v>
      </c>
      <c r="O195">
        <v>0</v>
      </c>
      <c r="P195">
        <v>-1</v>
      </c>
      <c r="Q195">
        <v>0</v>
      </c>
      <c r="R195" t="s">
        <v>70</v>
      </c>
      <c r="S195">
        <v>0</v>
      </c>
      <c r="T195">
        <v>0</v>
      </c>
      <c r="U195">
        <v>965</v>
      </c>
      <c r="V195" t="s">
        <v>57</v>
      </c>
      <c r="W195">
        <v>0</v>
      </c>
      <c r="X195">
        <v>0</v>
      </c>
      <c r="Y195">
        <v>0</v>
      </c>
      <c r="Z195">
        <v>0</v>
      </c>
      <c r="AA195" t="s">
        <v>67</v>
      </c>
      <c r="AB195">
        <v>0</v>
      </c>
      <c r="AC195">
        <v>0</v>
      </c>
      <c r="AD195">
        <v>0</v>
      </c>
      <c r="AE195">
        <v>0</v>
      </c>
      <c r="AF195" t="s">
        <v>60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s">
        <v>58</v>
      </c>
      <c r="AM195" t="s">
        <v>58</v>
      </c>
      <c r="AN195" t="s">
        <v>71</v>
      </c>
      <c r="AO195">
        <v>14</v>
      </c>
      <c r="AP195">
        <v>17</v>
      </c>
      <c r="AQ195">
        <v>10</v>
      </c>
      <c r="AR195">
        <v>11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s">
        <v>61</v>
      </c>
      <c r="BA195" t="s">
        <v>57</v>
      </c>
      <c r="BC195" t="s">
        <v>58</v>
      </c>
      <c r="BD195" t="s">
        <v>58</v>
      </c>
      <c r="BE195">
        <v>12</v>
      </c>
    </row>
    <row r="196" spans="1:57" x14ac:dyDescent="0.25">
      <c r="A196" t="s">
        <v>365</v>
      </c>
      <c r="B196">
        <v>240</v>
      </c>
      <c r="C196">
        <v>0</v>
      </c>
      <c r="D196">
        <v>0</v>
      </c>
      <c r="E196">
        <v>0</v>
      </c>
      <c r="F196" t="s">
        <v>149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158</v>
      </c>
      <c r="N196">
        <v>-1</v>
      </c>
      <c r="O196">
        <v>0</v>
      </c>
      <c r="P196">
        <v>-1</v>
      </c>
      <c r="Q196">
        <v>0</v>
      </c>
      <c r="R196" t="s">
        <v>70</v>
      </c>
      <c r="S196">
        <v>0</v>
      </c>
      <c r="T196">
        <v>0</v>
      </c>
      <c r="U196">
        <v>780</v>
      </c>
      <c r="V196" t="s">
        <v>57</v>
      </c>
      <c r="W196">
        <v>0</v>
      </c>
      <c r="X196">
        <v>0</v>
      </c>
      <c r="Y196">
        <v>0</v>
      </c>
      <c r="Z196">
        <v>0</v>
      </c>
      <c r="AA196" t="s">
        <v>67</v>
      </c>
      <c r="AB196">
        <v>0</v>
      </c>
      <c r="AC196">
        <v>0</v>
      </c>
      <c r="AD196">
        <v>0</v>
      </c>
      <c r="AE196">
        <v>0</v>
      </c>
      <c r="AF196" t="s">
        <v>60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s">
        <v>58</v>
      </c>
      <c r="AM196" t="s">
        <v>58</v>
      </c>
      <c r="AN196" t="s">
        <v>71</v>
      </c>
      <c r="AO196">
        <v>14</v>
      </c>
      <c r="AP196">
        <v>1</v>
      </c>
      <c r="AQ196">
        <v>0</v>
      </c>
      <c r="AR196">
        <v>11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s">
        <v>61</v>
      </c>
      <c r="BA196" t="s">
        <v>57</v>
      </c>
      <c r="BC196" t="s">
        <v>58</v>
      </c>
      <c r="BD196" t="s">
        <v>58</v>
      </c>
      <c r="BE196">
        <v>13</v>
      </c>
    </row>
    <row r="197" spans="1:57" x14ac:dyDescent="0.25">
      <c r="A197" t="s">
        <v>366</v>
      </c>
      <c r="B197">
        <v>299</v>
      </c>
      <c r="C197">
        <v>0</v>
      </c>
      <c r="D197">
        <v>0</v>
      </c>
      <c r="E197">
        <v>0</v>
      </c>
      <c r="F197" t="s">
        <v>153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145</v>
      </c>
      <c r="N197">
        <v>-1</v>
      </c>
      <c r="O197">
        <v>0</v>
      </c>
      <c r="P197">
        <v>-1</v>
      </c>
      <c r="Q197">
        <v>0</v>
      </c>
      <c r="R197" t="s">
        <v>70</v>
      </c>
      <c r="S197">
        <v>0</v>
      </c>
      <c r="T197">
        <v>0</v>
      </c>
      <c r="U197">
        <v>1230</v>
      </c>
      <c r="V197" t="s">
        <v>57</v>
      </c>
      <c r="W197">
        <v>0</v>
      </c>
      <c r="X197">
        <v>0</v>
      </c>
      <c r="Y197">
        <v>0</v>
      </c>
      <c r="Z197">
        <v>0</v>
      </c>
      <c r="AA197" t="s">
        <v>65</v>
      </c>
      <c r="AB197">
        <v>0</v>
      </c>
      <c r="AC197">
        <v>0</v>
      </c>
      <c r="AD197">
        <v>0</v>
      </c>
      <c r="AE197">
        <v>0</v>
      </c>
      <c r="AF197" t="s">
        <v>65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s">
        <v>58</v>
      </c>
      <c r="AM197" t="s">
        <v>58</v>
      </c>
      <c r="AN197" t="s">
        <v>71</v>
      </c>
      <c r="AO197">
        <v>14</v>
      </c>
      <c r="AP197">
        <v>2</v>
      </c>
      <c r="AQ197">
        <v>14</v>
      </c>
      <c r="AR197">
        <v>11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s">
        <v>61</v>
      </c>
      <c r="BA197" t="s">
        <v>57</v>
      </c>
      <c r="BC197" t="s">
        <v>58</v>
      </c>
      <c r="BD197" t="s">
        <v>58</v>
      </c>
      <c r="BE197">
        <v>13</v>
      </c>
    </row>
    <row r="198" spans="1:57" x14ac:dyDescent="0.25">
      <c r="A198" t="s">
        <v>367</v>
      </c>
      <c r="B198">
        <v>203</v>
      </c>
      <c r="C198">
        <v>0</v>
      </c>
      <c r="D198">
        <v>0</v>
      </c>
      <c r="E198">
        <v>0</v>
      </c>
      <c r="F198" t="s">
        <v>174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163</v>
      </c>
      <c r="N198">
        <v>-1</v>
      </c>
      <c r="O198">
        <v>0</v>
      </c>
      <c r="P198">
        <v>-1</v>
      </c>
      <c r="Q198">
        <v>0</v>
      </c>
      <c r="R198" t="s">
        <v>70</v>
      </c>
      <c r="S198">
        <v>0</v>
      </c>
      <c r="T198">
        <v>0</v>
      </c>
      <c r="U198">
        <v>1220</v>
      </c>
      <c r="V198" t="s">
        <v>57</v>
      </c>
      <c r="W198">
        <v>0</v>
      </c>
      <c r="X198">
        <v>0</v>
      </c>
      <c r="Y198">
        <v>0</v>
      </c>
      <c r="Z198">
        <v>0</v>
      </c>
      <c r="AA198" t="s">
        <v>68</v>
      </c>
      <c r="AB198">
        <v>0</v>
      </c>
      <c r="AC198">
        <v>0</v>
      </c>
      <c r="AD198">
        <v>0</v>
      </c>
      <c r="AE198">
        <v>0</v>
      </c>
      <c r="AF198" t="s">
        <v>68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s">
        <v>58</v>
      </c>
      <c r="AM198" t="s">
        <v>58</v>
      </c>
      <c r="AN198" t="s">
        <v>71</v>
      </c>
      <c r="AO198">
        <v>14</v>
      </c>
      <c r="AP198">
        <v>1</v>
      </c>
      <c r="AQ198">
        <v>15</v>
      </c>
      <c r="AR198">
        <v>11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s">
        <v>61</v>
      </c>
      <c r="BA198" t="s">
        <v>57</v>
      </c>
      <c r="BC198" t="s">
        <v>58</v>
      </c>
      <c r="BD198" t="s">
        <v>58</v>
      </c>
      <c r="BE198">
        <v>13</v>
      </c>
    </row>
    <row r="199" spans="1:57" x14ac:dyDescent="0.25">
      <c r="A199" t="s">
        <v>368</v>
      </c>
      <c r="B199">
        <v>232</v>
      </c>
      <c r="C199">
        <v>0</v>
      </c>
      <c r="D199">
        <v>0</v>
      </c>
      <c r="E199">
        <v>0</v>
      </c>
      <c r="F199" t="s">
        <v>173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164</v>
      </c>
      <c r="N199">
        <v>-1</v>
      </c>
      <c r="O199">
        <v>0</v>
      </c>
      <c r="P199">
        <v>-1</v>
      </c>
      <c r="Q199">
        <v>0</v>
      </c>
      <c r="R199" t="s">
        <v>70</v>
      </c>
      <c r="S199">
        <v>0</v>
      </c>
      <c r="T199">
        <v>0</v>
      </c>
      <c r="U199">
        <v>780</v>
      </c>
      <c r="V199" t="s">
        <v>57</v>
      </c>
      <c r="W199">
        <v>0</v>
      </c>
      <c r="X199">
        <v>0</v>
      </c>
      <c r="Y199">
        <v>0</v>
      </c>
      <c r="Z199">
        <v>0</v>
      </c>
      <c r="AA199" t="s">
        <v>67</v>
      </c>
      <c r="AB199">
        <v>0</v>
      </c>
      <c r="AC199">
        <v>0</v>
      </c>
      <c r="AD199">
        <v>0</v>
      </c>
      <c r="AE199">
        <v>0</v>
      </c>
      <c r="AF199" t="s">
        <v>60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s">
        <v>58</v>
      </c>
      <c r="AM199" t="s">
        <v>58</v>
      </c>
      <c r="AN199" t="s">
        <v>71</v>
      </c>
      <c r="AO199">
        <v>14</v>
      </c>
      <c r="AP199">
        <v>4</v>
      </c>
      <c r="AQ199">
        <v>5</v>
      </c>
      <c r="AR199">
        <v>11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s">
        <v>61</v>
      </c>
      <c r="BA199" t="s">
        <v>57</v>
      </c>
      <c r="BC199" t="s">
        <v>58</v>
      </c>
      <c r="BD199" t="s">
        <v>58</v>
      </c>
      <c r="BE199">
        <v>13</v>
      </c>
    </row>
    <row r="200" spans="1:57" x14ac:dyDescent="0.25">
      <c r="A200" t="s">
        <v>369</v>
      </c>
      <c r="B200">
        <v>291</v>
      </c>
      <c r="C200">
        <v>0</v>
      </c>
      <c r="D200">
        <v>0</v>
      </c>
      <c r="E200">
        <v>0</v>
      </c>
      <c r="F200" t="s">
        <v>143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144</v>
      </c>
      <c r="N200">
        <v>-1</v>
      </c>
      <c r="O200">
        <v>0</v>
      </c>
      <c r="P200">
        <v>-1</v>
      </c>
      <c r="Q200">
        <v>0</v>
      </c>
      <c r="R200" t="s">
        <v>70</v>
      </c>
      <c r="S200">
        <v>0</v>
      </c>
      <c r="T200">
        <v>0</v>
      </c>
      <c r="U200">
        <v>780</v>
      </c>
      <c r="V200" t="s">
        <v>57</v>
      </c>
      <c r="W200">
        <v>0</v>
      </c>
      <c r="X200">
        <v>0</v>
      </c>
      <c r="Y200">
        <v>0</v>
      </c>
      <c r="Z200">
        <v>0</v>
      </c>
      <c r="AA200" t="s">
        <v>67</v>
      </c>
      <c r="AB200">
        <v>0</v>
      </c>
      <c r="AC200">
        <v>0</v>
      </c>
      <c r="AD200">
        <v>0</v>
      </c>
      <c r="AE200">
        <v>0</v>
      </c>
      <c r="AF200" t="s">
        <v>60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s">
        <v>58</v>
      </c>
      <c r="AM200" t="s">
        <v>58</v>
      </c>
      <c r="AN200" t="s">
        <v>71</v>
      </c>
      <c r="AO200">
        <v>14</v>
      </c>
      <c r="AP200">
        <v>7</v>
      </c>
      <c r="AQ200">
        <v>1</v>
      </c>
      <c r="AR200">
        <v>11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s">
        <v>61</v>
      </c>
      <c r="BA200" t="s">
        <v>57</v>
      </c>
      <c r="BC200" t="s">
        <v>58</v>
      </c>
      <c r="BD200" t="s">
        <v>58</v>
      </c>
      <c r="BE200">
        <v>13</v>
      </c>
    </row>
    <row r="201" spans="1:57" x14ac:dyDescent="0.25">
      <c r="A201" t="s">
        <v>370</v>
      </c>
      <c r="B201">
        <v>194</v>
      </c>
      <c r="C201">
        <v>0</v>
      </c>
      <c r="D201">
        <v>0</v>
      </c>
      <c r="E201">
        <v>0</v>
      </c>
      <c r="F201" t="s">
        <v>151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155</v>
      </c>
      <c r="N201">
        <v>-1</v>
      </c>
      <c r="O201">
        <v>0</v>
      </c>
      <c r="P201">
        <v>-1</v>
      </c>
      <c r="Q201">
        <v>0</v>
      </c>
      <c r="R201" t="s">
        <v>70</v>
      </c>
      <c r="S201">
        <v>0</v>
      </c>
      <c r="T201">
        <v>0</v>
      </c>
      <c r="U201">
        <v>780</v>
      </c>
      <c r="V201" t="s">
        <v>57</v>
      </c>
      <c r="W201">
        <v>0</v>
      </c>
      <c r="X201">
        <v>0</v>
      </c>
      <c r="Y201">
        <v>0</v>
      </c>
      <c r="Z201">
        <v>0</v>
      </c>
      <c r="AA201" t="s">
        <v>67</v>
      </c>
      <c r="AB201">
        <v>0</v>
      </c>
      <c r="AC201">
        <v>0</v>
      </c>
      <c r="AD201">
        <v>0</v>
      </c>
      <c r="AE201">
        <v>0</v>
      </c>
      <c r="AF201" t="s">
        <v>60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s">
        <v>58</v>
      </c>
      <c r="AM201" t="s">
        <v>58</v>
      </c>
      <c r="AN201" t="s">
        <v>71</v>
      </c>
      <c r="AO201">
        <v>14</v>
      </c>
      <c r="AP201">
        <v>9</v>
      </c>
      <c r="AQ201">
        <v>0</v>
      </c>
      <c r="AR201">
        <v>11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s">
        <v>61</v>
      </c>
      <c r="BA201" t="s">
        <v>57</v>
      </c>
      <c r="BC201" t="s">
        <v>58</v>
      </c>
      <c r="BD201" t="s">
        <v>58</v>
      </c>
      <c r="BE201">
        <v>13</v>
      </c>
    </row>
    <row r="202" spans="1:57" x14ac:dyDescent="0.25">
      <c r="A202" t="s">
        <v>371</v>
      </c>
      <c r="B202">
        <v>106</v>
      </c>
      <c r="C202">
        <v>0</v>
      </c>
      <c r="D202">
        <v>0</v>
      </c>
      <c r="E202">
        <v>0</v>
      </c>
      <c r="F202" t="s">
        <v>165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167</v>
      </c>
      <c r="N202">
        <v>-1</v>
      </c>
      <c r="O202">
        <v>0</v>
      </c>
      <c r="P202">
        <v>-1</v>
      </c>
      <c r="Q202">
        <v>0</v>
      </c>
      <c r="R202" t="s">
        <v>70</v>
      </c>
      <c r="S202">
        <v>0</v>
      </c>
      <c r="T202">
        <v>0</v>
      </c>
      <c r="U202">
        <v>965</v>
      </c>
      <c r="V202" t="s">
        <v>57</v>
      </c>
      <c r="W202">
        <v>0</v>
      </c>
      <c r="X202">
        <v>0</v>
      </c>
      <c r="Y202">
        <v>0</v>
      </c>
      <c r="Z202">
        <v>0</v>
      </c>
      <c r="AA202" t="s">
        <v>67</v>
      </c>
      <c r="AB202">
        <v>0</v>
      </c>
      <c r="AC202">
        <v>0</v>
      </c>
      <c r="AD202">
        <v>0</v>
      </c>
      <c r="AE202">
        <v>0</v>
      </c>
      <c r="AF202" t="s">
        <v>60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s">
        <v>58</v>
      </c>
      <c r="AM202" t="s">
        <v>58</v>
      </c>
      <c r="AN202" t="s">
        <v>71</v>
      </c>
      <c r="AO202">
        <v>14</v>
      </c>
      <c r="AP202">
        <v>9</v>
      </c>
      <c r="AQ202">
        <v>7</v>
      </c>
      <c r="AR202">
        <v>11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s">
        <v>61</v>
      </c>
      <c r="BA202" t="s">
        <v>57</v>
      </c>
      <c r="BC202" t="s">
        <v>58</v>
      </c>
      <c r="BD202" t="s">
        <v>58</v>
      </c>
      <c r="BE202">
        <v>13</v>
      </c>
    </row>
    <row r="203" spans="1:57" x14ac:dyDescent="0.25">
      <c r="A203" t="s">
        <v>372</v>
      </c>
      <c r="B203">
        <v>265</v>
      </c>
      <c r="C203">
        <v>0</v>
      </c>
      <c r="D203">
        <v>0</v>
      </c>
      <c r="E203">
        <v>0</v>
      </c>
      <c r="F203" t="s">
        <v>161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162</v>
      </c>
      <c r="N203">
        <v>-1</v>
      </c>
      <c r="O203">
        <v>0</v>
      </c>
      <c r="P203">
        <v>-1</v>
      </c>
      <c r="Q203">
        <v>0</v>
      </c>
      <c r="R203" t="s">
        <v>70</v>
      </c>
      <c r="S203">
        <v>0</v>
      </c>
      <c r="T203">
        <v>0</v>
      </c>
      <c r="U203">
        <v>780</v>
      </c>
      <c r="V203" t="s">
        <v>57</v>
      </c>
      <c r="W203">
        <v>0</v>
      </c>
      <c r="X203">
        <v>0</v>
      </c>
      <c r="Y203">
        <v>0</v>
      </c>
      <c r="Z203">
        <v>0</v>
      </c>
      <c r="AA203" t="s">
        <v>67</v>
      </c>
      <c r="AB203">
        <v>0</v>
      </c>
      <c r="AC203">
        <v>0</v>
      </c>
      <c r="AD203">
        <v>0</v>
      </c>
      <c r="AE203">
        <v>0</v>
      </c>
      <c r="AF203" t="s">
        <v>60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s">
        <v>58</v>
      </c>
      <c r="AM203" t="s">
        <v>58</v>
      </c>
      <c r="AN203" t="s">
        <v>71</v>
      </c>
      <c r="AO203">
        <v>14</v>
      </c>
      <c r="AP203">
        <v>9</v>
      </c>
      <c r="AQ203">
        <v>3</v>
      </c>
      <c r="AR203">
        <v>11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s">
        <v>61</v>
      </c>
      <c r="BA203" t="s">
        <v>57</v>
      </c>
      <c r="BC203" t="s">
        <v>58</v>
      </c>
      <c r="BD203" t="s">
        <v>58</v>
      </c>
      <c r="BE203">
        <v>13</v>
      </c>
    </row>
    <row r="204" spans="1:57" x14ac:dyDescent="0.25">
      <c r="A204" t="s">
        <v>373</v>
      </c>
      <c r="B204">
        <v>133</v>
      </c>
      <c r="C204">
        <v>0</v>
      </c>
      <c r="D204">
        <v>0</v>
      </c>
      <c r="E204">
        <v>0</v>
      </c>
      <c r="F204" t="s">
        <v>168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150</v>
      </c>
      <c r="N204">
        <v>-1</v>
      </c>
      <c r="O204">
        <v>0</v>
      </c>
      <c r="P204">
        <v>-1</v>
      </c>
      <c r="Q204">
        <v>0</v>
      </c>
      <c r="R204" t="s">
        <v>70</v>
      </c>
      <c r="S204">
        <v>0</v>
      </c>
      <c r="T204">
        <v>0</v>
      </c>
      <c r="U204">
        <v>965</v>
      </c>
      <c r="V204" t="s">
        <v>57</v>
      </c>
      <c r="W204">
        <v>0</v>
      </c>
      <c r="X204">
        <v>0</v>
      </c>
      <c r="Y204">
        <v>0</v>
      </c>
      <c r="Z204">
        <v>0</v>
      </c>
      <c r="AA204" t="s">
        <v>67</v>
      </c>
      <c r="AB204">
        <v>0</v>
      </c>
      <c r="AC204">
        <v>0</v>
      </c>
      <c r="AD204">
        <v>0</v>
      </c>
      <c r="AE204">
        <v>0</v>
      </c>
      <c r="AF204" t="s">
        <v>60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s">
        <v>58</v>
      </c>
      <c r="AM204" t="s">
        <v>58</v>
      </c>
      <c r="AN204" t="s">
        <v>71</v>
      </c>
      <c r="AO204">
        <v>14</v>
      </c>
      <c r="AP204">
        <v>10</v>
      </c>
      <c r="AQ204">
        <v>8</v>
      </c>
      <c r="AR204">
        <v>11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s">
        <v>61</v>
      </c>
      <c r="BA204" t="s">
        <v>57</v>
      </c>
      <c r="BC204" t="s">
        <v>58</v>
      </c>
      <c r="BD204" t="s">
        <v>58</v>
      </c>
      <c r="BE204">
        <v>13</v>
      </c>
    </row>
    <row r="205" spans="1:57" x14ac:dyDescent="0.25">
      <c r="A205" t="s">
        <v>374</v>
      </c>
      <c r="B205">
        <v>137</v>
      </c>
      <c r="C205">
        <v>0</v>
      </c>
      <c r="D205">
        <v>0</v>
      </c>
      <c r="E205">
        <v>0</v>
      </c>
      <c r="F205" t="s">
        <v>154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160</v>
      </c>
      <c r="N205">
        <v>-1</v>
      </c>
      <c r="O205">
        <v>0</v>
      </c>
      <c r="P205">
        <v>-1</v>
      </c>
      <c r="Q205">
        <v>0</v>
      </c>
      <c r="R205" t="s">
        <v>70</v>
      </c>
      <c r="S205">
        <v>0</v>
      </c>
      <c r="T205">
        <v>0</v>
      </c>
      <c r="U205">
        <v>780</v>
      </c>
      <c r="V205" t="s">
        <v>57</v>
      </c>
      <c r="W205">
        <v>0</v>
      </c>
      <c r="X205">
        <v>0</v>
      </c>
      <c r="Y205">
        <v>0</v>
      </c>
      <c r="Z205">
        <v>0</v>
      </c>
      <c r="AA205" t="s">
        <v>67</v>
      </c>
      <c r="AB205">
        <v>0</v>
      </c>
      <c r="AC205">
        <v>0</v>
      </c>
      <c r="AD205">
        <v>0</v>
      </c>
      <c r="AE205">
        <v>0</v>
      </c>
      <c r="AF205" t="s">
        <v>60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s">
        <v>58</v>
      </c>
      <c r="AM205" t="s">
        <v>58</v>
      </c>
      <c r="AN205" t="s">
        <v>71</v>
      </c>
      <c r="AO205">
        <v>14</v>
      </c>
      <c r="AP205">
        <v>10</v>
      </c>
      <c r="AQ205">
        <v>2</v>
      </c>
      <c r="AR205">
        <v>11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s">
        <v>61</v>
      </c>
      <c r="BA205" t="s">
        <v>57</v>
      </c>
      <c r="BC205" t="s">
        <v>58</v>
      </c>
      <c r="BD205" t="s">
        <v>58</v>
      </c>
      <c r="BE205">
        <v>13</v>
      </c>
    </row>
    <row r="206" spans="1:57" x14ac:dyDescent="0.25">
      <c r="A206" t="s">
        <v>375</v>
      </c>
      <c r="B206">
        <v>293</v>
      </c>
      <c r="C206">
        <v>0</v>
      </c>
      <c r="D206">
        <v>0</v>
      </c>
      <c r="E206">
        <v>0</v>
      </c>
      <c r="F206" t="s">
        <v>146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170</v>
      </c>
      <c r="N206">
        <v>-1</v>
      </c>
      <c r="O206">
        <v>0</v>
      </c>
      <c r="P206">
        <v>-1</v>
      </c>
      <c r="Q206">
        <v>0</v>
      </c>
      <c r="R206" t="s">
        <v>70</v>
      </c>
      <c r="S206">
        <v>0</v>
      </c>
      <c r="T206">
        <v>0</v>
      </c>
      <c r="U206">
        <v>975</v>
      </c>
      <c r="V206" t="s">
        <v>57</v>
      </c>
      <c r="W206">
        <v>0</v>
      </c>
      <c r="X206">
        <v>0</v>
      </c>
      <c r="Y206">
        <v>0</v>
      </c>
      <c r="Z206">
        <v>0</v>
      </c>
      <c r="AA206" t="s">
        <v>67</v>
      </c>
      <c r="AB206">
        <v>0</v>
      </c>
      <c r="AC206">
        <v>0</v>
      </c>
      <c r="AD206">
        <v>0</v>
      </c>
      <c r="AE206">
        <v>0</v>
      </c>
      <c r="AF206" t="s">
        <v>60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s">
        <v>58</v>
      </c>
      <c r="AM206" t="s">
        <v>58</v>
      </c>
      <c r="AN206" t="s">
        <v>71</v>
      </c>
      <c r="AO206">
        <v>14</v>
      </c>
      <c r="AP206">
        <v>10</v>
      </c>
      <c r="AQ206">
        <v>11</v>
      </c>
      <c r="AR206">
        <v>11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s">
        <v>61</v>
      </c>
      <c r="BA206" t="s">
        <v>57</v>
      </c>
      <c r="BC206" t="s">
        <v>58</v>
      </c>
      <c r="BD206" t="s">
        <v>58</v>
      </c>
      <c r="BE206">
        <v>13</v>
      </c>
    </row>
    <row r="207" spans="1:57" x14ac:dyDescent="0.25">
      <c r="A207" t="s">
        <v>376</v>
      </c>
      <c r="B207">
        <v>280</v>
      </c>
      <c r="C207">
        <v>0</v>
      </c>
      <c r="D207">
        <v>0</v>
      </c>
      <c r="E207">
        <v>0</v>
      </c>
      <c r="F207" t="s">
        <v>171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152</v>
      </c>
      <c r="N207">
        <v>-1</v>
      </c>
      <c r="O207">
        <v>0</v>
      </c>
      <c r="P207">
        <v>-1</v>
      </c>
      <c r="Q207">
        <v>0</v>
      </c>
      <c r="R207" t="s">
        <v>70</v>
      </c>
      <c r="S207">
        <v>0</v>
      </c>
      <c r="T207">
        <v>0</v>
      </c>
      <c r="U207">
        <v>965</v>
      </c>
      <c r="V207" t="s">
        <v>57</v>
      </c>
      <c r="W207">
        <v>0</v>
      </c>
      <c r="X207">
        <v>0</v>
      </c>
      <c r="Y207">
        <v>0</v>
      </c>
      <c r="Z207">
        <v>0</v>
      </c>
      <c r="AA207" t="s">
        <v>67</v>
      </c>
      <c r="AB207">
        <v>0</v>
      </c>
      <c r="AC207">
        <v>0</v>
      </c>
      <c r="AD207">
        <v>0</v>
      </c>
      <c r="AE207">
        <v>0</v>
      </c>
      <c r="AF207" t="s">
        <v>60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s">
        <v>58</v>
      </c>
      <c r="AM207" t="s">
        <v>58</v>
      </c>
      <c r="AN207" t="s">
        <v>71</v>
      </c>
      <c r="AO207">
        <v>14</v>
      </c>
      <c r="AP207">
        <v>16</v>
      </c>
      <c r="AQ207">
        <v>8</v>
      </c>
      <c r="AR207">
        <v>11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s">
        <v>61</v>
      </c>
      <c r="BA207" t="s">
        <v>57</v>
      </c>
      <c r="BC207" t="s">
        <v>58</v>
      </c>
      <c r="BD207" t="s">
        <v>58</v>
      </c>
      <c r="BE207">
        <v>13</v>
      </c>
    </row>
    <row r="208" spans="1:57" x14ac:dyDescent="0.25">
      <c r="A208" t="s">
        <v>377</v>
      </c>
      <c r="B208">
        <v>324</v>
      </c>
      <c r="C208">
        <v>0</v>
      </c>
      <c r="D208">
        <v>0</v>
      </c>
      <c r="E208">
        <v>0</v>
      </c>
      <c r="F208" t="s">
        <v>166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156</v>
      </c>
      <c r="N208">
        <v>-1</v>
      </c>
      <c r="O208">
        <v>0</v>
      </c>
      <c r="P208">
        <v>-1</v>
      </c>
      <c r="Q208">
        <v>0</v>
      </c>
      <c r="R208" t="s">
        <v>70</v>
      </c>
      <c r="S208">
        <v>0</v>
      </c>
      <c r="T208">
        <v>0</v>
      </c>
      <c r="U208">
        <v>1220</v>
      </c>
      <c r="V208" t="s">
        <v>57</v>
      </c>
      <c r="W208">
        <v>0</v>
      </c>
      <c r="X208">
        <v>0</v>
      </c>
      <c r="Y208">
        <v>0</v>
      </c>
      <c r="Z208">
        <v>0</v>
      </c>
      <c r="AA208" t="s">
        <v>68</v>
      </c>
      <c r="AB208">
        <v>0</v>
      </c>
      <c r="AC208">
        <v>0</v>
      </c>
      <c r="AD208">
        <v>0</v>
      </c>
      <c r="AE208">
        <v>0</v>
      </c>
      <c r="AF208" t="s">
        <v>68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s">
        <v>58</v>
      </c>
      <c r="AM208" t="s">
        <v>58</v>
      </c>
      <c r="AN208" t="s">
        <v>71</v>
      </c>
      <c r="AO208">
        <v>14</v>
      </c>
      <c r="AP208">
        <v>15</v>
      </c>
      <c r="AQ208">
        <v>15</v>
      </c>
      <c r="AR208">
        <v>11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s">
        <v>61</v>
      </c>
      <c r="BA208" t="s">
        <v>57</v>
      </c>
      <c r="BC208" t="s">
        <v>58</v>
      </c>
      <c r="BD208" t="s">
        <v>58</v>
      </c>
      <c r="BE208">
        <v>13</v>
      </c>
    </row>
    <row r="209" spans="1:57" x14ac:dyDescent="0.25">
      <c r="A209" t="s">
        <v>378</v>
      </c>
      <c r="B209">
        <v>262</v>
      </c>
      <c r="C209">
        <v>0</v>
      </c>
      <c r="D209">
        <v>0</v>
      </c>
      <c r="E209">
        <v>0</v>
      </c>
      <c r="F209" t="s">
        <v>147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148</v>
      </c>
      <c r="N209">
        <v>-1</v>
      </c>
      <c r="O209">
        <v>0</v>
      </c>
      <c r="P209">
        <v>-1</v>
      </c>
      <c r="Q209">
        <v>0</v>
      </c>
      <c r="R209" t="s">
        <v>70</v>
      </c>
      <c r="S209">
        <v>0</v>
      </c>
      <c r="T209">
        <v>0</v>
      </c>
      <c r="U209">
        <v>780</v>
      </c>
      <c r="V209" t="s">
        <v>57</v>
      </c>
      <c r="W209">
        <v>0</v>
      </c>
      <c r="X209">
        <v>0</v>
      </c>
      <c r="Y209">
        <v>0</v>
      </c>
      <c r="Z209">
        <v>0</v>
      </c>
      <c r="AA209" t="s">
        <v>67</v>
      </c>
      <c r="AB209">
        <v>0</v>
      </c>
      <c r="AC209">
        <v>0</v>
      </c>
      <c r="AD209">
        <v>0</v>
      </c>
      <c r="AE209">
        <v>0</v>
      </c>
      <c r="AF209" t="s">
        <v>60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s">
        <v>58</v>
      </c>
      <c r="AM209" t="s">
        <v>58</v>
      </c>
      <c r="AN209" t="s">
        <v>71</v>
      </c>
      <c r="AO209">
        <v>14</v>
      </c>
      <c r="AP209">
        <v>15</v>
      </c>
      <c r="AQ209">
        <v>7</v>
      </c>
      <c r="AR209">
        <v>11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s">
        <v>61</v>
      </c>
      <c r="BA209" t="s">
        <v>57</v>
      </c>
      <c r="BC209" t="s">
        <v>58</v>
      </c>
      <c r="BD209" t="s">
        <v>58</v>
      </c>
      <c r="BE209">
        <v>13</v>
      </c>
    </row>
    <row r="210" spans="1:57" x14ac:dyDescent="0.25">
      <c r="A210" t="s">
        <v>379</v>
      </c>
      <c r="B210">
        <v>296</v>
      </c>
      <c r="C210">
        <v>0</v>
      </c>
      <c r="D210">
        <v>0</v>
      </c>
      <c r="E210">
        <v>0</v>
      </c>
      <c r="F210" t="s">
        <v>164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149</v>
      </c>
      <c r="N210">
        <v>-1</v>
      </c>
      <c r="O210">
        <v>0</v>
      </c>
      <c r="P210">
        <v>-1</v>
      </c>
      <c r="Q210">
        <v>0</v>
      </c>
      <c r="R210" t="s">
        <v>70</v>
      </c>
      <c r="S210">
        <v>0</v>
      </c>
      <c r="T210">
        <v>0</v>
      </c>
      <c r="U210">
        <v>780</v>
      </c>
      <c r="V210" t="s">
        <v>57</v>
      </c>
      <c r="W210">
        <v>0</v>
      </c>
      <c r="X210">
        <v>0</v>
      </c>
      <c r="Y210">
        <v>0</v>
      </c>
      <c r="Z210">
        <v>0</v>
      </c>
      <c r="AA210" t="s">
        <v>67</v>
      </c>
      <c r="AB210">
        <v>0</v>
      </c>
      <c r="AC210">
        <v>0</v>
      </c>
      <c r="AD210">
        <v>0</v>
      </c>
      <c r="AE210">
        <v>0</v>
      </c>
      <c r="AF210" t="s">
        <v>60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s">
        <v>58</v>
      </c>
      <c r="AM210" t="s">
        <v>58</v>
      </c>
      <c r="AN210" t="s">
        <v>71</v>
      </c>
      <c r="AO210">
        <v>14</v>
      </c>
      <c r="AP210">
        <v>0</v>
      </c>
      <c r="AQ210">
        <v>4</v>
      </c>
      <c r="AR210">
        <v>11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s">
        <v>61</v>
      </c>
      <c r="BA210" t="s">
        <v>57</v>
      </c>
      <c r="BC210" t="s">
        <v>58</v>
      </c>
      <c r="BD210" t="s">
        <v>58</v>
      </c>
      <c r="BE210">
        <v>14</v>
      </c>
    </row>
    <row r="211" spans="1:57" x14ac:dyDescent="0.25">
      <c r="A211" t="s">
        <v>380</v>
      </c>
      <c r="B211">
        <v>84</v>
      </c>
      <c r="C211">
        <v>0</v>
      </c>
      <c r="D211">
        <v>0</v>
      </c>
      <c r="E211">
        <v>0</v>
      </c>
      <c r="F211" t="s">
        <v>170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143</v>
      </c>
      <c r="N211">
        <v>-1</v>
      </c>
      <c r="O211">
        <v>0</v>
      </c>
      <c r="P211">
        <v>-1</v>
      </c>
      <c r="Q211">
        <v>0</v>
      </c>
      <c r="R211" t="s">
        <v>70</v>
      </c>
      <c r="S211">
        <v>0</v>
      </c>
      <c r="T211">
        <v>0</v>
      </c>
      <c r="U211">
        <v>780</v>
      </c>
      <c r="V211" t="s">
        <v>57</v>
      </c>
      <c r="W211">
        <v>0</v>
      </c>
      <c r="X211">
        <v>0</v>
      </c>
      <c r="Y211">
        <v>0</v>
      </c>
      <c r="Z211">
        <v>0</v>
      </c>
      <c r="AA211" t="s">
        <v>67</v>
      </c>
      <c r="AB211">
        <v>0</v>
      </c>
      <c r="AC211">
        <v>0</v>
      </c>
      <c r="AD211">
        <v>0</v>
      </c>
      <c r="AE211">
        <v>0</v>
      </c>
      <c r="AF211" t="s">
        <v>60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s">
        <v>58</v>
      </c>
      <c r="AM211" t="s">
        <v>58</v>
      </c>
      <c r="AN211" t="s">
        <v>71</v>
      </c>
      <c r="AO211">
        <v>14</v>
      </c>
      <c r="AP211">
        <v>2</v>
      </c>
      <c r="AQ211">
        <v>0</v>
      </c>
      <c r="AR211">
        <v>11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s">
        <v>61</v>
      </c>
      <c r="BA211" t="s">
        <v>57</v>
      </c>
      <c r="BC211" t="s">
        <v>58</v>
      </c>
      <c r="BD211" t="s">
        <v>58</v>
      </c>
      <c r="BE211">
        <v>14</v>
      </c>
    </row>
    <row r="212" spans="1:57" x14ac:dyDescent="0.25">
      <c r="A212" t="s">
        <v>381</v>
      </c>
      <c r="B212">
        <v>257</v>
      </c>
      <c r="C212">
        <v>0</v>
      </c>
      <c r="D212">
        <v>0</v>
      </c>
      <c r="E212">
        <v>0</v>
      </c>
      <c r="F212" t="s">
        <v>150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171</v>
      </c>
      <c r="N212">
        <v>-1</v>
      </c>
      <c r="O212">
        <v>0</v>
      </c>
      <c r="P212">
        <v>-1</v>
      </c>
      <c r="Q212">
        <v>0</v>
      </c>
      <c r="R212" t="s">
        <v>70</v>
      </c>
      <c r="S212">
        <v>0</v>
      </c>
      <c r="T212">
        <v>0</v>
      </c>
      <c r="U212">
        <v>1230</v>
      </c>
      <c r="V212" t="s">
        <v>57</v>
      </c>
      <c r="W212">
        <v>0</v>
      </c>
      <c r="X212">
        <v>0</v>
      </c>
      <c r="Y212">
        <v>0</v>
      </c>
      <c r="Z212">
        <v>0</v>
      </c>
      <c r="AA212" t="s">
        <v>68</v>
      </c>
      <c r="AB212">
        <v>0</v>
      </c>
      <c r="AC212">
        <v>0</v>
      </c>
      <c r="AD212">
        <v>0</v>
      </c>
      <c r="AE212">
        <v>0</v>
      </c>
      <c r="AF212" t="s">
        <v>68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s">
        <v>58</v>
      </c>
      <c r="AM212" t="s">
        <v>58</v>
      </c>
      <c r="AN212" t="s">
        <v>71</v>
      </c>
      <c r="AO212">
        <v>14</v>
      </c>
      <c r="AP212">
        <v>0</v>
      </c>
      <c r="AQ212">
        <v>15</v>
      </c>
      <c r="AR212">
        <v>11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s">
        <v>61</v>
      </c>
      <c r="BA212" t="s">
        <v>57</v>
      </c>
      <c r="BC212" t="s">
        <v>58</v>
      </c>
      <c r="BD212" t="s">
        <v>58</v>
      </c>
      <c r="BE212">
        <v>14</v>
      </c>
    </row>
    <row r="213" spans="1:57" x14ac:dyDescent="0.25">
      <c r="A213" t="s">
        <v>382</v>
      </c>
      <c r="B213">
        <v>277</v>
      </c>
      <c r="C213">
        <v>0</v>
      </c>
      <c r="D213">
        <v>0</v>
      </c>
      <c r="E213">
        <v>0</v>
      </c>
      <c r="F213" t="s">
        <v>155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152</v>
      </c>
      <c r="N213">
        <v>-1</v>
      </c>
      <c r="O213">
        <v>0</v>
      </c>
      <c r="P213">
        <v>-1</v>
      </c>
      <c r="Q213">
        <v>0</v>
      </c>
      <c r="R213" t="s">
        <v>70</v>
      </c>
      <c r="S213">
        <v>0</v>
      </c>
      <c r="T213">
        <v>0</v>
      </c>
      <c r="U213">
        <v>965</v>
      </c>
      <c r="V213" t="s">
        <v>57</v>
      </c>
      <c r="W213">
        <v>0</v>
      </c>
      <c r="X213">
        <v>0</v>
      </c>
      <c r="Y213">
        <v>0</v>
      </c>
      <c r="Z213">
        <v>0</v>
      </c>
      <c r="AA213" t="s">
        <v>67</v>
      </c>
      <c r="AB213">
        <v>0</v>
      </c>
      <c r="AC213">
        <v>0</v>
      </c>
      <c r="AD213">
        <v>0</v>
      </c>
      <c r="AE213">
        <v>0</v>
      </c>
      <c r="AF213" t="s">
        <v>60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s">
        <v>58</v>
      </c>
      <c r="AM213" t="s">
        <v>58</v>
      </c>
      <c r="AN213" t="s">
        <v>71</v>
      </c>
      <c r="AO213">
        <v>14</v>
      </c>
      <c r="AP213">
        <v>3</v>
      </c>
      <c r="AQ213">
        <v>8</v>
      </c>
      <c r="AR213">
        <v>11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s">
        <v>61</v>
      </c>
      <c r="BA213" t="s">
        <v>57</v>
      </c>
      <c r="BC213" t="s">
        <v>58</v>
      </c>
      <c r="BD213" t="s">
        <v>58</v>
      </c>
      <c r="BE213">
        <v>14</v>
      </c>
    </row>
    <row r="214" spans="1:57" x14ac:dyDescent="0.25">
      <c r="A214" t="s">
        <v>383</v>
      </c>
      <c r="B214">
        <v>250</v>
      </c>
      <c r="C214">
        <v>0</v>
      </c>
      <c r="D214">
        <v>0</v>
      </c>
      <c r="E214">
        <v>0</v>
      </c>
      <c r="F214" t="s">
        <v>144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153</v>
      </c>
      <c r="N214">
        <v>-1</v>
      </c>
      <c r="O214">
        <v>0</v>
      </c>
      <c r="P214">
        <v>-1</v>
      </c>
      <c r="Q214">
        <v>0</v>
      </c>
      <c r="R214" t="s">
        <v>70</v>
      </c>
      <c r="S214">
        <v>0</v>
      </c>
      <c r="T214">
        <v>0</v>
      </c>
      <c r="U214">
        <v>780</v>
      </c>
      <c r="V214" t="s">
        <v>57</v>
      </c>
      <c r="W214">
        <v>0</v>
      </c>
      <c r="X214">
        <v>0</v>
      </c>
      <c r="Y214">
        <v>0</v>
      </c>
      <c r="Z214">
        <v>0</v>
      </c>
      <c r="AA214" t="s">
        <v>67</v>
      </c>
      <c r="AB214">
        <v>0</v>
      </c>
      <c r="AC214">
        <v>0</v>
      </c>
      <c r="AD214">
        <v>0</v>
      </c>
      <c r="AE214">
        <v>0</v>
      </c>
      <c r="AF214" t="s">
        <v>60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s">
        <v>58</v>
      </c>
      <c r="AM214" t="s">
        <v>58</v>
      </c>
      <c r="AN214" t="s">
        <v>71</v>
      </c>
      <c r="AO214">
        <v>14</v>
      </c>
      <c r="AP214">
        <v>3</v>
      </c>
      <c r="AQ214">
        <v>6</v>
      </c>
      <c r="AR214">
        <v>11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s">
        <v>61</v>
      </c>
      <c r="BA214" t="s">
        <v>57</v>
      </c>
      <c r="BC214" t="s">
        <v>58</v>
      </c>
      <c r="BD214" t="s">
        <v>58</v>
      </c>
      <c r="BE214">
        <v>14</v>
      </c>
    </row>
    <row r="215" spans="1:57" x14ac:dyDescent="0.25">
      <c r="A215" t="s">
        <v>384</v>
      </c>
      <c r="B215">
        <v>129</v>
      </c>
      <c r="C215">
        <v>0</v>
      </c>
      <c r="D215">
        <v>0</v>
      </c>
      <c r="E215">
        <v>0</v>
      </c>
      <c r="F215" t="s">
        <v>166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151</v>
      </c>
      <c r="N215">
        <v>-1</v>
      </c>
      <c r="O215">
        <v>0</v>
      </c>
      <c r="P215">
        <v>-1</v>
      </c>
      <c r="Q215">
        <v>0</v>
      </c>
      <c r="R215" t="s">
        <v>70</v>
      </c>
      <c r="S215">
        <v>0</v>
      </c>
      <c r="T215">
        <v>0</v>
      </c>
      <c r="U215">
        <v>975</v>
      </c>
      <c r="V215" t="s">
        <v>57</v>
      </c>
      <c r="W215">
        <v>0</v>
      </c>
      <c r="X215">
        <v>0</v>
      </c>
      <c r="Y215">
        <v>0</v>
      </c>
      <c r="Z215">
        <v>0</v>
      </c>
      <c r="AA215" t="s">
        <v>67</v>
      </c>
      <c r="AB215">
        <v>0</v>
      </c>
      <c r="AC215">
        <v>0</v>
      </c>
      <c r="AD215">
        <v>0</v>
      </c>
      <c r="AE215">
        <v>0</v>
      </c>
      <c r="AF215" t="s">
        <v>60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s">
        <v>58</v>
      </c>
      <c r="AM215" t="s">
        <v>58</v>
      </c>
      <c r="AN215" t="s">
        <v>71</v>
      </c>
      <c r="AO215">
        <v>14</v>
      </c>
      <c r="AP215">
        <v>5</v>
      </c>
      <c r="AQ215">
        <v>7</v>
      </c>
      <c r="AR215">
        <v>11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s">
        <v>61</v>
      </c>
      <c r="BA215" t="s">
        <v>57</v>
      </c>
      <c r="BC215" t="s">
        <v>58</v>
      </c>
      <c r="BD215" t="s">
        <v>58</v>
      </c>
      <c r="BE215">
        <v>14</v>
      </c>
    </row>
    <row r="216" spans="1:57" x14ac:dyDescent="0.25">
      <c r="A216" t="s">
        <v>385</v>
      </c>
      <c r="B216">
        <v>243</v>
      </c>
      <c r="C216">
        <v>0</v>
      </c>
      <c r="D216">
        <v>0</v>
      </c>
      <c r="E216">
        <v>0</v>
      </c>
      <c r="F216" t="s">
        <v>147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161</v>
      </c>
      <c r="N216">
        <v>-1</v>
      </c>
      <c r="O216">
        <v>0</v>
      </c>
      <c r="P216">
        <v>-1</v>
      </c>
      <c r="Q216">
        <v>0</v>
      </c>
      <c r="R216" t="s">
        <v>70</v>
      </c>
      <c r="S216">
        <v>0</v>
      </c>
      <c r="T216">
        <v>0</v>
      </c>
      <c r="U216">
        <v>780</v>
      </c>
      <c r="V216" t="s">
        <v>57</v>
      </c>
      <c r="W216">
        <v>0</v>
      </c>
      <c r="X216">
        <v>0</v>
      </c>
      <c r="Y216">
        <v>0</v>
      </c>
      <c r="Z216">
        <v>0</v>
      </c>
      <c r="AA216" t="s">
        <v>67</v>
      </c>
      <c r="AB216">
        <v>0</v>
      </c>
      <c r="AC216">
        <v>0</v>
      </c>
      <c r="AD216">
        <v>0</v>
      </c>
      <c r="AE216">
        <v>0</v>
      </c>
      <c r="AF216" t="s">
        <v>60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s">
        <v>58</v>
      </c>
      <c r="AM216" t="s">
        <v>58</v>
      </c>
      <c r="AN216" t="s">
        <v>71</v>
      </c>
      <c r="AO216">
        <v>14</v>
      </c>
      <c r="AP216">
        <v>5</v>
      </c>
      <c r="AQ216">
        <v>3</v>
      </c>
      <c r="AR216">
        <v>11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s">
        <v>61</v>
      </c>
      <c r="BA216" t="s">
        <v>57</v>
      </c>
      <c r="BC216" t="s">
        <v>58</v>
      </c>
      <c r="BD216" t="s">
        <v>58</v>
      </c>
      <c r="BE216">
        <v>14</v>
      </c>
    </row>
    <row r="217" spans="1:57" x14ac:dyDescent="0.25">
      <c r="A217" t="s">
        <v>386</v>
      </c>
      <c r="B217">
        <v>152</v>
      </c>
      <c r="C217">
        <v>0</v>
      </c>
      <c r="D217">
        <v>0</v>
      </c>
      <c r="E217">
        <v>0</v>
      </c>
      <c r="F217" t="s">
        <v>163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146</v>
      </c>
      <c r="N217">
        <v>-1</v>
      </c>
      <c r="O217">
        <v>0</v>
      </c>
      <c r="P217">
        <v>-1</v>
      </c>
      <c r="Q217">
        <v>0</v>
      </c>
      <c r="R217" t="s">
        <v>70</v>
      </c>
      <c r="S217">
        <v>0</v>
      </c>
      <c r="T217">
        <v>0</v>
      </c>
      <c r="U217">
        <v>780</v>
      </c>
      <c r="V217" t="s">
        <v>57</v>
      </c>
      <c r="W217">
        <v>0</v>
      </c>
      <c r="X217">
        <v>0</v>
      </c>
      <c r="Y217">
        <v>0</v>
      </c>
      <c r="Z217">
        <v>0</v>
      </c>
      <c r="AA217" t="s">
        <v>67</v>
      </c>
      <c r="AB217">
        <v>0</v>
      </c>
      <c r="AC217">
        <v>0</v>
      </c>
      <c r="AD217">
        <v>0</v>
      </c>
      <c r="AE217">
        <v>0</v>
      </c>
      <c r="AF217" t="s">
        <v>60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s">
        <v>58</v>
      </c>
      <c r="AM217" t="s">
        <v>58</v>
      </c>
      <c r="AN217" t="s">
        <v>71</v>
      </c>
      <c r="AO217">
        <v>14</v>
      </c>
      <c r="AP217">
        <v>7</v>
      </c>
      <c r="AQ217">
        <v>0</v>
      </c>
      <c r="AR217">
        <v>11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s">
        <v>61</v>
      </c>
      <c r="BA217" t="s">
        <v>57</v>
      </c>
      <c r="BC217" t="s">
        <v>58</v>
      </c>
      <c r="BD217" t="s">
        <v>58</v>
      </c>
      <c r="BE217">
        <v>14</v>
      </c>
    </row>
    <row r="218" spans="1:57" x14ac:dyDescent="0.25">
      <c r="A218" t="s">
        <v>387</v>
      </c>
      <c r="B218">
        <v>167</v>
      </c>
      <c r="C218">
        <v>0</v>
      </c>
      <c r="D218">
        <v>0</v>
      </c>
      <c r="E218">
        <v>0</v>
      </c>
      <c r="F218" t="s">
        <v>167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168</v>
      </c>
      <c r="N218">
        <v>-1</v>
      </c>
      <c r="O218">
        <v>0</v>
      </c>
      <c r="P218">
        <v>-1</v>
      </c>
      <c r="Q218">
        <v>0</v>
      </c>
      <c r="R218" t="s">
        <v>70</v>
      </c>
      <c r="S218">
        <v>0</v>
      </c>
      <c r="T218">
        <v>0</v>
      </c>
      <c r="U218">
        <v>1220</v>
      </c>
      <c r="V218" t="s">
        <v>57</v>
      </c>
      <c r="W218">
        <v>0</v>
      </c>
      <c r="X218">
        <v>0</v>
      </c>
      <c r="Y218">
        <v>0</v>
      </c>
      <c r="Z218">
        <v>0</v>
      </c>
      <c r="AA218" t="s">
        <v>60</v>
      </c>
      <c r="AB218">
        <v>0</v>
      </c>
      <c r="AC218">
        <v>0</v>
      </c>
      <c r="AD218">
        <v>0</v>
      </c>
      <c r="AE218">
        <v>0</v>
      </c>
      <c r="AF218" t="s">
        <v>60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s">
        <v>58</v>
      </c>
      <c r="AM218" t="s">
        <v>58</v>
      </c>
      <c r="AN218" t="s">
        <v>71</v>
      </c>
      <c r="AO218">
        <v>14</v>
      </c>
      <c r="AP218">
        <v>4</v>
      </c>
      <c r="AQ218">
        <v>13</v>
      </c>
      <c r="AR218">
        <v>11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s">
        <v>61</v>
      </c>
      <c r="BA218" t="s">
        <v>57</v>
      </c>
      <c r="BC218" t="s">
        <v>58</v>
      </c>
      <c r="BD218" t="s">
        <v>58</v>
      </c>
      <c r="BE218">
        <v>14</v>
      </c>
    </row>
    <row r="219" spans="1:57" x14ac:dyDescent="0.25">
      <c r="A219" t="s">
        <v>388</v>
      </c>
      <c r="B219">
        <v>151</v>
      </c>
      <c r="C219">
        <v>0</v>
      </c>
      <c r="D219">
        <v>0</v>
      </c>
      <c r="E219">
        <v>0</v>
      </c>
      <c r="F219" t="s">
        <v>157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172</v>
      </c>
      <c r="N219">
        <v>-1</v>
      </c>
      <c r="O219">
        <v>0</v>
      </c>
      <c r="P219">
        <v>-1</v>
      </c>
      <c r="Q219">
        <v>0</v>
      </c>
      <c r="R219" t="s">
        <v>70</v>
      </c>
      <c r="S219">
        <v>0</v>
      </c>
      <c r="T219">
        <v>0</v>
      </c>
      <c r="U219">
        <v>975</v>
      </c>
      <c r="V219" t="s">
        <v>57</v>
      </c>
      <c r="W219">
        <v>0</v>
      </c>
      <c r="X219">
        <v>0</v>
      </c>
      <c r="Y219">
        <v>0</v>
      </c>
      <c r="Z219">
        <v>0</v>
      </c>
      <c r="AA219" t="s">
        <v>67</v>
      </c>
      <c r="AB219">
        <v>0</v>
      </c>
      <c r="AC219">
        <v>0</v>
      </c>
      <c r="AD219">
        <v>0</v>
      </c>
      <c r="AE219">
        <v>0</v>
      </c>
      <c r="AF219" t="s">
        <v>60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s">
        <v>58</v>
      </c>
      <c r="AM219" t="s">
        <v>58</v>
      </c>
      <c r="AN219" t="s">
        <v>71</v>
      </c>
      <c r="AO219">
        <v>14</v>
      </c>
      <c r="AP219">
        <v>8</v>
      </c>
      <c r="AQ219">
        <v>10</v>
      </c>
      <c r="AR219">
        <v>11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s">
        <v>61</v>
      </c>
      <c r="BA219" t="s">
        <v>57</v>
      </c>
      <c r="BC219" t="s">
        <v>58</v>
      </c>
      <c r="BD219" t="s">
        <v>58</v>
      </c>
      <c r="BE219">
        <v>14</v>
      </c>
    </row>
    <row r="220" spans="1:57" x14ac:dyDescent="0.25">
      <c r="A220" t="s">
        <v>389</v>
      </c>
      <c r="B220">
        <v>272</v>
      </c>
      <c r="C220">
        <v>0</v>
      </c>
      <c r="D220">
        <v>0</v>
      </c>
      <c r="E220">
        <v>0</v>
      </c>
      <c r="F220" t="s">
        <v>145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159</v>
      </c>
      <c r="N220">
        <v>-1</v>
      </c>
      <c r="O220">
        <v>0</v>
      </c>
      <c r="P220">
        <v>-1</v>
      </c>
      <c r="Q220">
        <v>0</v>
      </c>
      <c r="R220" t="s">
        <v>70</v>
      </c>
      <c r="S220">
        <v>0</v>
      </c>
      <c r="T220">
        <v>0</v>
      </c>
      <c r="U220">
        <v>780</v>
      </c>
      <c r="V220" t="s">
        <v>57</v>
      </c>
      <c r="W220">
        <v>0</v>
      </c>
      <c r="X220">
        <v>0</v>
      </c>
      <c r="Y220">
        <v>0</v>
      </c>
      <c r="Z220">
        <v>0</v>
      </c>
      <c r="AA220" t="s">
        <v>67</v>
      </c>
      <c r="AB220">
        <v>0</v>
      </c>
      <c r="AC220">
        <v>0</v>
      </c>
      <c r="AD220">
        <v>0</v>
      </c>
      <c r="AE220">
        <v>0</v>
      </c>
      <c r="AF220" t="s">
        <v>60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s">
        <v>58</v>
      </c>
      <c r="AM220" t="s">
        <v>58</v>
      </c>
      <c r="AN220" t="s">
        <v>71</v>
      </c>
      <c r="AO220">
        <v>14</v>
      </c>
      <c r="AP220">
        <v>9</v>
      </c>
      <c r="AQ220">
        <v>4</v>
      </c>
      <c r="AR220">
        <v>11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s">
        <v>61</v>
      </c>
      <c r="BA220" t="s">
        <v>57</v>
      </c>
      <c r="BC220" t="s">
        <v>58</v>
      </c>
      <c r="BD220" t="s">
        <v>58</v>
      </c>
      <c r="BE220">
        <v>14</v>
      </c>
    </row>
    <row r="221" spans="1:57" x14ac:dyDescent="0.25">
      <c r="A221" t="s">
        <v>390</v>
      </c>
      <c r="B221">
        <v>251</v>
      </c>
      <c r="C221">
        <v>0</v>
      </c>
      <c r="D221">
        <v>0</v>
      </c>
      <c r="E221">
        <v>0</v>
      </c>
      <c r="F221" t="s">
        <v>162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148</v>
      </c>
      <c r="N221">
        <v>-1</v>
      </c>
      <c r="O221">
        <v>0</v>
      </c>
      <c r="P221">
        <v>-1</v>
      </c>
      <c r="Q221">
        <v>0</v>
      </c>
      <c r="R221" t="s">
        <v>70</v>
      </c>
      <c r="S221">
        <v>0</v>
      </c>
      <c r="T221">
        <v>0</v>
      </c>
      <c r="U221">
        <v>780</v>
      </c>
      <c r="V221" t="s">
        <v>57</v>
      </c>
      <c r="W221">
        <v>0</v>
      </c>
      <c r="X221">
        <v>0</v>
      </c>
      <c r="Y221">
        <v>0</v>
      </c>
      <c r="Z221">
        <v>0</v>
      </c>
      <c r="AA221" t="s">
        <v>67</v>
      </c>
      <c r="AB221">
        <v>0</v>
      </c>
      <c r="AC221">
        <v>0</v>
      </c>
      <c r="AD221">
        <v>0</v>
      </c>
      <c r="AE221">
        <v>0</v>
      </c>
      <c r="AF221" t="s">
        <v>60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s">
        <v>58</v>
      </c>
      <c r="AM221" t="s">
        <v>58</v>
      </c>
      <c r="AN221" t="s">
        <v>71</v>
      </c>
      <c r="AO221">
        <v>14</v>
      </c>
      <c r="AP221">
        <v>10</v>
      </c>
      <c r="AQ221">
        <v>6</v>
      </c>
      <c r="AR221">
        <v>11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s">
        <v>61</v>
      </c>
      <c r="BA221" t="s">
        <v>57</v>
      </c>
      <c r="BC221" t="s">
        <v>58</v>
      </c>
      <c r="BD221" t="s">
        <v>58</v>
      </c>
      <c r="BE221">
        <v>14</v>
      </c>
    </row>
    <row r="222" spans="1:57" x14ac:dyDescent="0.25">
      <c r="A222" t="s">
        <v>391</v>
      </c>
      <c r="B222">
        <v>66</v>
      </c>
      <c r="C222">
        <v>0</v>
      </c>
      <c r="D222">
        <v>0</v>
      </c>
      <c r="E222">
        <v>0</v>
      </c>
      <c r="F222" t="s">
        <v>174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154</v>
      </c>
      <c r="N222">
        <v>-1</v>
      </c>
      <c r="O222">
        <v>0</v>
      </c>
      <c r="P222">
        <v>-1</v>
      </c>
      <c r="Q222">
        <v>0</v>
      </c>
      <c r="R222" t="s">
        <v>70</v>
      </c>
      <c r="S222">
        <v>0</v>
      </c>
      <c r="T222">
        <v>0</v>
      </c>
      <c r="U222">
        <v>780</v>
      </c>
      <c r="V222" t="s">
        <v>57</v>
      </c>
      <c r="W222">
        <v>0</v>
      </c>
      <c r="X222">
        <v>0</v>
      </c>
      <c r="Y222">
        <v>0</v>
      </c>
      <c r="Z222">
        <v>0</v>
      </c>
      <c r="AA222" t="s">
        <v>67</v>
      </c>
      <c r="AB222">
        <v>0</v>
      </c>
      <c r="AC222">
        <v>0</v>
      </c>
      <c r="AD222">
        <v>0</v>
      </c>
      <c r="AE222">
        <v>0</v>
      </c>
      <c r="AF222" t="s">
        <v>60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s">
        <v>58</v>
      </c>
      <c r="AM222" t="s">
        <v>58</v>
      </c>
      <c r="AN222" t="s">
        <v>71</v>
      </c>
      <c r="AO222">
        <v>14</v>
      </c>
      <c r="AP222">
        <v>11</v>
      </c>
      <c r="AQ222">
        <v>5</v>
      </c>
      <c r="AR222">
        <v>11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s">
        <v>61</v>
      </c>
      <c r="BA222" t="s">
        <v>57</v>
      </c>
      <c r="BC222" t="s">
        <v>58</v>
      </c>
      <c r="BD222" t="s">
        <v>58</v>
      </c>
      <c r="BE222">
        <v>14</v>
      </c>
    </row>
    <row r="223" spans="1:57" x14ac:dyDescent="0.25">
      <c r="A223" t="s">
        <v>392</v>
      </c>
      <c r="B223">
        <v>81</v>
      </c>
      <c r="C223">
        <v>0</v>
      </c>
      <c r="D223">
        <v>0</v>
      </c>
      <c r="E223">
        <v>0</v>
      </c>
      <c r="F223" t="s">
        <v>156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165</v>
      </c>
      <c r="N223">
        <v>-1</v>
      </c>
      <c r="O223">
        <v>0</v>
      </c>
      <c r="P223">
        <v>-1</v>
      </c>
      <c r="Q223">
        <v>0</v>
      </c>
      <c r="R223" t="s">
        <v>70</v>
      </c>
      <c r="S223">
        <v>0</v>
      </c>
      <c r="T223">
        <v>0</v>
      </c>
      <c r="U223">
        <v>780</v>
      </c>
      <c r="V223" t="s">
        <v>57</v>
      </c>
      <c r="W223">
        <v>0</v>
      </c>
      <c r="X223">
        <v>0</v>
      </c>
      <c r="Y223">
        <v>0</v>
      </c>
      <c r="Z223">
        <v>0</v>
      </c>
      <c r="AA223" t="s">
        <v>67</v>
      </c>
      <c r="AB223">
        <v>0</v>
      </c>
      <c r="AC223">
        <v>0</v>
      </c>
      <c r="AD223">
        <v>0</v>
      </c>
      <c r="AE223">
        <v>0</v>
      </c>
      <c r="AF223" t="s">
        <v>60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s">
        <v>58</v>
      </c>
      <c r="AM223" t="s">
        <v>58</v>
      </c>
      <c r="AN223" t="s">
        <v>71</v>
      </c>
      <c r="AO223">
        <v>14</v>
      </c>
      <c r="AP223">
        <v>13</v>
      </c>
      <c r="AQ223">
        <v>1</v>
      </c>
      <c r="AR223">
        <v>11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s">
        <v>61</v>
      </c>
      <c r="BA223" t="s">
        <v>57</v>
      </c>
      <c r="BC223" t="s">
        <v>58</v>
      </c>
      <c r="BD223" t="s">
        <v>58</v>
      </c>
      <c r="BE223">
        <v>14</v>
      </c>
    </row>
    <row r="224" spans="1:57" x14ac:dyDescent="0.25">
      <c r="A224" t="s">
        <v>393</v>
      </c>
      <c r="B224">
        <v>69</v>
      </c>
      <c r="C224">
        <v>0</v>
      </c>
      <c r="D224">
        <v>0</v>
      </c>
      <c r="E224">
        <v>0</v>
      </c>
      <c r="F224" t="s">
        <v>160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158</v>
      </c>
      <c r="N224">
        <v>-1</v>
      </c>
      <c r="O224">
        <v>0</v>
      </c>
      <c r="P224">
        <v>-1</v>
      </c>
      <c r="Q224">
        <v>0</v>
      </c>
      <c r="R224" t="s">
        <v>70</v>
      </c>
      <c r="S224">
        <v>0</v>
      </c>
      <c r="T224">
        <v>0</v>
      </c>
      <c r="U224">
        <v>1220</v>
      </c>
      <c r="V224" t="s">
        <v>57</v>
      </c>
      <c r="W224">
        <v>0</v>
      </c>
      <c r="X224">
        <v>0</v>
      </c>
      <c r="Y224">
        <v>0</v>
      </c>
      <c r="Z224">
        <v>0</v>
      </c>
      <c r="AA224" t="s">
        <v>68</v>
      </c>
      <c r="AB224">
        <v>0</v>
      </c>
      <c r="AC224">
        <v>0</v>
      </c>
      <c r="AD224">
        <v>0</v>
      </c>
      <c r="AE224">
        <v>0</v>
      </c>
      <c r="AF224" t="s">
        <v>68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s">
        <v>58</v>
      </c>
      <c r="AM224" t="s">
        <v>58</v>
      </c>
      <c r="AN224" t="s">
        <v>71</v>
      </c>
      <c r="AO224">
        <v>14</v>
      </c>
      <c r="AP224">
        <v>16</v>
      </c>
      <c r="AQ224">
        <v>15</v>
      </c>
      <c r="AR224">
        <v>11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s">
        <v>61</v>
      </c>
      <c r="BA224" t="s">
        <v>57</v>
      </c>
      <c r="BC224" t="s">
        <v>58</v>
      </c>
      <c r="BD224" t="s">
        <v>58</v>
      </c>
      <c r="BE224">
        <v>14</v>
      </c>
    </row>
    <row r="225" spans="1:57" x14ac:dyDescent="0.25">
      <c r="A225" t="s">
        <v>394</v>
      </c>
      <c r="B225">
        <v>156</v>
      </c>
      <c r="C225">
        <v>0</v>
      </c>
      <c r="D225">
        <v>0</v>
      </c>
      <c r="E225">
        <v>0</v>
      </c>
      <c r="F225" t="s">
        <v>173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169</v>
      </c>
      <c r="N225">
        <v>-1</v>
      </c>
      <c r="O225">
        <v>0</v>
      </c>
      <c r="P225">
        <v>-1</v>
      </c>
      <c r="Q225">
        <v>0</v>
      </c>
      <c r="R225" t="s">
        <v>70</v>
      </c>
      <c r="S225">
        <v>0</v>
      </c>
      <c r="T225">
        <v>0</v>
      </c>
      <c r="U225">
        <v>975</v>
      </c>
      <c r="V225" t="s">
        <v>57</v>
      </c>
      <c r="W225">
        <v>0</v>
      </c>
      <c r="X225">
        <v>0</v>
      </c>
      <c r="Y225">
        <v>0</v>
      </c>
      <c r="Z225">
        <v>0</v>
      </c>
      <c r="AA225" t="s">
        <v>67</v>
      </c>
      <c r="AB225">
        <v>0</v>
      </c>
      <c r="AC225">
        <v>0</v>
      </c>
      <c r="AD225">
        <v>0</v>
      </c>
      <c r="AE225">
        <v>0</v>
      </c>
      <c r="AF225" t="s">
        <v>60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s">
        <v>58</v>
      </c>
      <c r="AM225" t="s">
        <v>58</v>
      </c>
      <c r="AN225" t="s">
        <v>71</v>
      </c>
      <c r="AO225">
        <v>14</v>
      </c>
      <c r="AP225">
        <v>14</v>
      </c>
      <c r="AQ225">
        <v>11</v>
      </c>
      <c r="AR225">
        <v>11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s">
        <v>61</v>
      </c>
      <c r="BA225" t="s">
        <v>57</v>
      </c>
      <c r="BC225" t="s">
        <v>58</v>
      </c>
      <c r="BD225" t="s">
        <v>58</v>
      </c>
      <c r="BE225">
        <v>14</v>
      </c>
    </row>
    <row r="226" spans="1:57" x14ac:dyDescent="0.25">
      <c r="A226" t="s">
        <v>395</v>
      </c>
      <c r="B226">
        <v>292</v>
      </c>
      <c r="C226">
        <v>0</v>
      </c>
      <c r="D226">
        <v>0</v>
      </c>
      <c r="E226">
        <v>0</v>
      </c>
      <c r="F226" t="s">
        <v>156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166</v>
      </c>
      <c r="N226">
        <v>-1</v>
      </c>
      <c r="O226">
        <v>0</v>
      </c>
      <c r="P226">
        <v>-1</v>
      </c>
      <c r="Q226">
        <v>0</v>
      </c>
      <c r="R226" t="s">
        <v>70</v>
      </c>
      <c r="S226">
        <v>0</v>
      </c>
      <c r="T226">
        <v>0</v>
      </c>
      <c r="U226">
        <v>780</v>
      </c>
      <c r="V226" t="s">
        <v>57</v>
      </c>
      <c r="W226">
        <v>0</v>
      </c>
      <c r="X226">
        <v>0</v>
      </c>
      <c r="Y226">
        <v>0</v>
      </c>
      <c r="Z226">
        <v>0</v>
      </c>
      <c r="AA226" t="s">
        <v>67</v>
      </c>
      <c r="AB226">
        <v>0</v>
      </c>
      <c r="AC226">
        <v>0</v>
      </c>
      <c r="AD226">
        <v>0</v>
      </c>
      <c r="AE226">
        <v>0</v>
      </c>
      <c r="AF226" t="s">
        <v>60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s">
        <v>58</v>
      </c>
      <c r="AM226" t="s">
        <v>58</v>
      </c>
      <c r="AN226" t="s">
        <v>71</v>
      </c>
      <c r="AO226">
        <v>14</v>
      </c>
      <c r="AP226">
        <v>0</v>
      </c>
      <c r="AQ226">
        <v>0</v>
      </c>
      <c r="AR226">
        <v>11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s">
        <v>61</v>
      </c>
      <c r="BA226" t="s">
        <v>57</v>
      </c>
      <c r="BC226" t="s">
        <v>58</v>
      </c>
      <c r="BD226" t="s">
        <v>58</v>
      </c>
      <c r="BE226">
        <v>15</v>
      </c>
    </row>
    <row r="227" spans="1:57" x14ac:dyDescent="0.25">
      <c r="A227" t="s">
        <v>396</v>
      </c>
      <c r="B227">
        <v>95</v>
      </c>
      <c r="C227">
        <v>0</v>
      </c>
      <c r="D227">
        <v>0</v>
      </c>
      <c r="E227">
        <v>0</v>
      </c>
      <c r="F227" t="s">
        <v>162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173</v>
      </c>
      <c r="N227">
        <v>-1</v>
      </c>
      <c r="O227">
        <v>0</v>
      </c>
      <c r="P227">
        <v>-1</v>
      </c>
      <c r="Q227">
        <v>0</v>
      </c>
      <c r="R227" t="s">
        <v>70</v>
      </c>
      <c r="S227">
        <v>0</v>
      </c>
      <c r="T227">
        <v>0</v>
      </c>
      <c r="U227">
        <v>975</v>
      </c>
      <c r="V227" t="s">
        <v>57</v>
      </c>
      <c r="W227">
        <v>0</v>
      </c>
      <c r="X227">
        <v>0</v>
      </c>
      <c r="Y227">
        <v>0</v>
      </c>
      <c r="Z227">
        <v>0</v>
      </c>
      <c r="AA227" t="s">
        <v>67</v>
      </c>
      <c r="AB227">
        <v>0</v>
      </c>
      <c r="AC227">
        <v>0</v>
      </c>
      <c r="AD227">
        <v>0</v>
      </c>
      <c r="AE227">
        <v>0</v>
      </c>
      <c r="AF227" t="s">
        <v>60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s">
        <v>58</v>
      </c>
      <c r="AM227" t="s">
        <v>58</v>
      </c>
      <c r="AN227" t="s">
        <v>71</v>
      </c>
      <c r="AO227">
        <v>14</v>
      </c>
      <c r="AP227">
        <v>1</v>
      </c>
      <c r="AQ227">
        <v>10</v>
      </c>
      <c r="AR227">
        <v>11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s">
        <v>61</v>
      </c>
      <c r="BA227" t="s">
        <v>57</v>
      </c>
      <c r="BC227" t="s">
        <v>58</v>
      </c>
      <c r="BD227" t="s">
        <v>58</v>
      </c>
      <c r="BE227">
        <v>15</v>
      </c>
    </row>
    <row r="228" spans="1:57" x14ac:dyDescent="0.25">
      <c r="A228" t="s">
        <v>397</v>
      </c>
      <c r="B228">
        <v>175</v>
      </c>
      <c r="C228">
        <v>0</v>
      </c>
      <c r="D228">
        <v>0</v>
      </c>
      <c r="E228">
        <v>0</v>
      </c>
      <c r="F228" t="s">
        <v>146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163</v>
      </c>
      <c r="N228">
        <v>-1</v>
      </c>
      <c r="O228">
        <v>0</v>
      </c>
      <c r="P228">
        <v>-1</v>
      </c>
      <c r="Q228">
        <v>0</v>
      </c>
      <c r="R228" t="s">
        <v>70</v>
      </c>
      <c r="S228">
        <v>0</v>
      </c>
      <c r="T228">
        <v>0</v>
      </c>
      <c r="U228">
        <v>780</v>
      </c>
      <c r="V228" t="s">
        <v>57</v>
      </c>
      <c r="W228">
        <v>0</v>
      </c>
      <c r="X228">
        <v>0</v>
      </c>
      <c r="Y228">
        <v>0</v>
      </c>
      <c r="Z228">
        <v>0</v>
      </c>
      <c r="AA228" t="s">
        <v>67</v>
      </c>
      <c r="AB228">
        <v>0</v>
      </c>
      <c r="AC228">
        <v>0</v>
      </c>
      <c r="AD228">
        <v>0</v>
      </c>
      <c r="AE228">
        <v>0</v>
      </c>
      <c r="AF228" t="s">
        <v>60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s">
        <v>58</v>
      </c>
      <c r="AM228" t="s">
        <v>58</v>
      </c>
      <c r="AN228" t="s">
        <v>71</v>
      </c>
      <c r="AO228">
        <v>14</v>
      </c>
      <c r="AP228">
        <v>0</v>
      </c>
      <c r="AQ228">
        <v>7</v>
      </c>
      <c r="AR228">
        <v>11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s">
        <v>61</v>
      </c>
      <c r="BA228" t="s">
        <v>57</v>
      </c>
      <c r="BC228" t="s">
        <v>58</v>
      </c>
      <c r="BD228" t="s">
        <v>58</v>
      </c>
      <c r="BE228">
        <v>15</v>
      </c>
    </row>
    <row r="229" spans="1:57" x14ac:dyDescent="0.25">
      <c r="A229" t="s">
        <v>398</v>
      </c>
      <c r="B229">
        <v>334</v>
      </c>
      <c r="C229">
        <v>0</v>
      </c>
      <c r="D229">
        <v>0</v>
      </c>
      <c r="E229">
        <v>0</v>
      </c>
      <c r="F229" t="s">
        <v>145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150</v>
      </c>
      <c r="N229">
        <v>-1</v>
      </c>
      <c r="O229">
        <v>0</v>
      </c>
      <c r="P229">
        <v>-1</v>
      </c>
      <c r="Q229">
        <v>0</v>
      </c>
      <c r="R229" t="s">
        <v>70</v>
      </c>
      <c r="S229">
        <v>0</v>
      </c>
      <c r="T229">
        <v>0</v>
      </c>
      <c r="U229">
        <v>975</v>
      </c>
      <c r="V229" t="s">
        <v>57</v>
      </c>
      <c r="W229">
        <v>0</v>
      </c>
      <c r="X229">
        <v>0</v>
      </c>
      <c r="Y229">
        <v>0</v>
      </c>
      <c r="Z229">
        <v>0</v>
      </c>
      <c r="AA229" t="s">
        <v>67</v>
      </c>
      <c r="AB229">
        <v>0</v>
      </c>
      <c r="AC229">
        <v>0</v>
      </c>
      <c r="AD229">
        <v>0</v>
      </c>
      <c r="AE229">
        <v>0</v>
      </c>
      <c r="AF229" t="s">
        <v>60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s">
        <v>58</v>
      </c>
      <c r="AM229" t="s">
        <v>58</v>
      </c>
      <c r="AN229" t="s">
        <v>71</v>
      </c>
      <c r="AO229">
        <v>14</v>
      </c>
      <c r="AP229">
        <v>3</v>
      </c>
      <c r="AQ229">
        <v>10</v>
      </c>
      <c r="AR229">
        <v>11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s">
        <v>61</v>
      </c>
      <c r="BA229" t="s">
        <v>57</v>
      </c>
      <c r="BC229" t="s">
        <v>58</v>
      </c>
      <c r="BD229" t="s">
        <v>58</v>
      </c>
      <c r="BE229">
        <v>15</v>
      </c>
    </row>
    <row r="230" spans="1:57" x14ac:dyDescent="0.25">
      <c r="A230" t="s">
        <v>399</v>
      </c>
      <c r="B230">
        <v>287</v>
      </c>
      <c r="C230">
        <v>0</v>
      </c>
      <c r="D230">
        <v>0</v>
      </c>
      <c r="E230">
        <v>0</v>
      </c>
      <c r="F230" t="s">
        <v>167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143</v>
      </c>
      <c r="N230">
        <v>-1</v>
      </c>
      <c r="O230">
        <v>0</v>
      </c>
      <c r="P230">
        <v>-1</v>
      </c>
      <c r="Q230">
        <v>0</v>
      </c>
      <c r="R230" t="s">
        <v>70</v>
      </c>
      <c r="S230">
        <v>0</v>
      </c>
      <c r="T230">
        <v>0</v>
      </c>
      <c r="U230">
        <v>975</v>
      </c>
      <c r="V230" t="s">
        <v>57</v>
      </c>
      <c r="W230">
        <v>0</v>
      </c>
      <c r="X230">
        <v>0</v>
      </c>
      <c r="Y230">
        <v>0</v>
      </c>
      <c r="Z230">
        <v>0</v>
      </c>
      <c r="AA230" t="s">
        <v>67</v>
      </c>
      <c r="AB230">
        <v>0</v>
      </c>
      <c r="AC230">
        <v>0</v>
      </c>
      <c r="AD230">
        <v>0</v>
      </c>
      <c r="AE230">
        <v>0</v>
      </c>
      <c r="AF230" t="s">
        <v>60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s">
        <v>58</v>
      </c>
      <c r="AM230" t="s">
        <v>58</v>
      </c>
      <c r="AN230" t="s">
        <v>71</v>
      </c>
      <c r="AO230">
        <v>14</v>
      </c>
      <c r="AP230">
        <v>3</v>
      </c>
      <c r="AQ230">
        <v>11</v>
      </c>
      <c r="AR230">
        <v>11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s">
        <v>61</v>
      </c>
      <c r="BA230" t="s">
        <v>57</v>
      </c>
      <c r="BC230" t="s">
        <v>58</v>
      </c>
      <c r="BD230" t="s">
        <v>58</v>
      </c>
      <c r="BE230">
        <v>15</v>
      </c>
    </row>
    <row r="231" spans="1:57" x14ac:dyDescent="0.25">
      <c r="A231" t="s">
        <v>400</v>
      </c>
      <c r="B231">
        <v>162</v>
      </c>
      <c r="C231">
        <v>0</v>
      </c>
      <c r="D231">
        <v>0</v>
      </c>
      <c r="E231">
        <v>0</v>
      </c>
      <c r="F231" t="s">
        <v>153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165</v>
      </c>
      <c r="N231">
        <v>-1</v>
      </c>
      <c r="O231">
        <v>0</v>
      </c>
      <c r="P231">
        <v>-1</v>
      </c>
      <c r="Q231">
        <v>0</v>
      </c>
      <c r="R231" t="s">
        <v>70</v>
      </c>
      <c r="S231">
        <v>0</v>
      </c>
      <c r="T231">
        <v>0</v>
      </c>
      <c r="U231">
        <v>975</v>
      </c>
      <c r="V231" t="s">
        <v>57</v>
      </c>
      <c r="W231">
        <v>0</v>
      </c>
      <c r="X231">
        <v>0</v>
      </c>
      <c r="Y231">
        <v>0</v>
      </c>
      <c r="Z231">
        <v>0</v>
      </c>
      <c r="AA231" t="s">
        <v>67</v>
      </c>
      <c r="AB231">
        <v>0</v>
      </c>
      <c r="AC231">
        <v>0</v>
      </c>
      <c r="AD231">
        <v>0</v>
      </c>
      <c r="AE231">
        <v>0</v>
      </c>
      <c r="AF231" t="s">
        <v>60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s">
        <v>58</v>
      </c>
      <c r="AM231" t="s">
        <v>58</v>
      </c>
      <c r="AN231" t="s">
        <v>71</v>
      </c>
      <c r="AO231">
        <v>14</v>
      </c>
      <c r="AP231">
        <v>4</v>
      </c>
      <c r="AQ231">
        <v>10</v>
      </c>
      <c r="AR231">
        <v>11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s">
        <v>61</v>
      </c>
      <c r="BA231" t="s">
        <v>57</v>
      </c>
      <c r="BC231" t="s">
        <v>58</v>
      </c>
      <c r="BD231" t="s">
        <v>58</v>
      </c>
      <c r="BE231">
        <v>15</v>
      </c>
    </row>
    <row r="232" spans="1:57" x14ac:dyDescent="0.25">
      <c r="A232" t="s">
        <v>401</v>
      </c>
      <c r="B232">
        <v>117</v>
      </c>
      <c r="C232">
        <v>0</v>
      </c>
      <c r="D232">
        <v>0</v>
      </c>
      <c r="E232">
        <v>0</v>
      </c>
      <c r="F232" t="s">
        <v>152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164</v>
      </c>
      <c r="N232">
        <v>-1</v>
      </c>
      <c r="O232">
        <v>0</v>
      </c>
      <c r="P232">
        <v>-1</v>
      </c>
      <c r="Q232">
        <v>0</v>
      </c>
      <c r="R232" t="s">
        <v>70</v>
      </c>
      <c r="S232">
        <v>0</v>
      </c>
      <c r="T232">
        <v>0</v>
      </c>
      <c r="U232">
        <v>1230</v>
      </c>
      <c r="V232" t="s">
        <v>57</v>
      </c>
      <c r="W232">
        <v>0</v>
      </c>
      <c r="X232">
        <v>0</v>
      </c>
      <c r="Y232">
        <v>0</v>
      </c>
      <c r="Z232">
        <v>0</v>
      </c>
      <c r="AA232" t="s">
        <v>65</v>
      </c>
      <c r="AB232">
        <v>0</v>
      </c>
      <c r="AC232">
        <v>0</v>
      </c>
      <c r="AD232">
        <v>0</v>
      </c>
      <c r="AE232">
        <v>0</v>
      </c>
      <c r="AF232" t="s">
        <v>65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s">
        <v>58</v>
      </c>
      <c r="AM232" t="s">
        <v>58</v>
      </c>
      <c r="AN232" t="s">
        <v>71</v>
      </c>
      <c r="AO232">
        <v>14</v>
      </c>
      <c r="AP232">
        <v>8</v>
      </c>
      <c r="AQ232">
        <v>12</v>
      </c>
      <c r="AR232">
        <v>11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s">
        <v>61</v>
      </c>
      <c r="BA232" t="s">
        <v>57</v>
      </c>
      <c r="BC232" t="s">
        <v>58</v>
      </c>
      <c r="BD232" t="s">
        <v>58</v>
      </c>
      <c r="BE232">
        <v>15</v>
      </c>
    </row>
    <row r="233" spans="1:57" x14ac:dyDescent="0.25">
      <c r="A233" t="s">
        <v>402</v>
      </c>
      <c r="B233">
        <v>123</v>
      </c>
      <c r="C233">
        <v>0</v>
      </c>
      <c r="D233">
        <v>0</v>
      </c>
      <c r="E233">
        <v>0</v>
      </c>
      <c r="F233" t="s">
        <v>174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171</v>
      </c>
      <c r="N233">
        <v>-1</v>
      </c>
      <c r="O233">
        <v>0</v>
      </c>
      <c r="P233">
        <v>-1</v>
      </c>
      <c r="Q233">
        <v>0</v>
      </c>
      <c r="R233" t="s">
        <v>70</v>
      </c>
      <c r="S233">
        <v>0</v>
      </c>
      <c r="T233">
        <v>0</v>
      </c>
      <c r="U233">
        <v>975</v>
      </c>
      <c r="V233" t="s">
        <v>57</v>
      </c>
      <c r="W233">
        <v>0</v>
      </c>
      <c r="X233">
        <v>0</v>
      </c>
      <c r="Y233">
        <v>0</v>
      </c>
      <c r="Z233">
        <v>0</v>
      </c>
      <c r="AA233" t="s">
        <v>67</v>
      </c>
      <c r="AB233">
        <v>0</v>
      </c>
      <c r="AC233">
        <v>0</v>
      </c>
      <c r="AD233">
        <v>0</v>
      </c>
      <c r="AE233">
        <v>0</v>
      </c>
      <c r="AF233" t="s">
        <v>60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s">
        <v>58</v>
      </c>
      <c r="AM233" t="s">
        <v>58</v>
      </c>
      <c r="AN233" t="s">
        <v>71</v>
      </c>
      <c r="AO233">
        <v>14</v>
      </c>
      <c r="AP233">
        <v>9</v>
      </c>
      <c r="AQ233">
        <v>9</v>
      </c>
      <c r="AR233">
        <v>11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s">
        <v>61</v>
      </c>
      <c r="BA233" t="s">
        <v>57</v>
      </c>
      <c r="BC233" t="s">
        <v>58</v>
      </c>
      <c r="BD233" t="s">
        <v>58</v>
      </c>
      <c r="BE233">
        <v>15</v>
      </c>
    </row>
    <row r="234" spans="1:57" x14ac:dyDescent="0.25">
      <c r="A234" t="s">
        <v>403</v>
      </c>
      <c r="B234">
        <v>77</v>
      </c>
      <c r="C234">
        <v>0</v>
      </c>
      <c r="D234">
        <v>0</v>
      </c>
      <c r="E234">
        <v>0</v>
      </c>
      <c r="F234" t="s">
        <v>154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147</v>
      </c>
      <c r="N234">
        <v>-1</v>
      </c>
      <c r="O234">
        <v>0</v>
      </c>
      <c r="P234">
        <v>-1</v>
      </c>
      <c r="Q234">
        <v>0</v>
      </c>
      <c r="R234" t="s">
        <v>70</v>
      </c>
      <c r="S234">
        <v>0</v>
      </c>
      <c r="T234">
        <v>0</v>
      </c>
      <c r="U234">
        <v>780</v>
      </c>
      <c r="V234" t="s">
        <v>57</v>
      </c>
      <c r="W234">
        <v>0</v>
      </c>
      <c r="X234">
        <v>0</v>
      </c>
      <c r="Y234">
        <v>0</v>
      </c>
      <c r="Z234">
        <v>0</v>
      </c>
      <c r="AA234" t="s">
        <v>67</v>
      </c>
      <c r="AB234">
        <v>0</v>
      </c>
      <c r="AC234">
        <v>0</v>
      </c>
      <c r="AD234">
        <v>0</v>
      </c>
      <c r="AE234">
        <v>0</v>
      </c>
      <c r="AF234" t="s">
        <v>60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s">
        <v>58</v>
      </c>
      <c r="AM234" t="s">
        <v>58</v>
      </c>
      <c r="AN234" t="s">
        <v>71</v>
      </c>
      <c r="AO234">
        <v>14</v>
      </c>
      <c r="AP234">
        <v>8</v>
      </c>
      <c r="AQ234">
        <v>5</v>
      </c>
      <c r="AR234">
        <v>11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s">
        <v>61</v>
      </c>
      <c r="BA234" t="s">
        <v>57</v>
      </c>
      <c r="BC234" t="s">
        <v>58</v>
      </c>
      <c r="BD234" t="s">
        <v>58</v>
      </c>
      <c r="BE234">
        <v>15</v>
      </c>
    </row>
    <row r="235" spans="1:57" x14ac:dyDescent="0.25">
      <c r="A235" t="s">
        <v>404</v>
      </c>
      <c r="B235">
        <v>104</v>
      </c>
      <c r="C235">
        <v>0</v>
      </c>
      <c r="D235">
        <v>0</v>
      </c>
      <c r="E235">
        <v>0</v>
      </c>
      <c r="F235" t="s">
        <v>148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158</v>
      </c>
      <c r="N235">
        <v>-1</v>
      </c>
      <c r="O235">
        <v>0</v>
      </c>
      <c r="P235">
        <v>-1</v>
      </c>
      <c r="Q235">
        <v>0</v>
      </c>
      <c r="R235" t="s">
        <v>70</v>
      </c>
      <c r="S235">
        <v>0</v>
      </c>
      <c r="T235">
        <v>0</v>
      </c>
      <c r="U235">
        <v>780</v>
      </c>
      <c r="V235" t="s">
        <v>57</v>
      </c>
      <c r="W235">
        <v>0</v>
      </c>
      <c r="X235">
        <v>0</v>
      </c>
      <c r="Y235">
        <v>0</v>
      </c>
      <c r="Z235">
        <v>0</v>
      </c>
      <c r="AA235" t="s">
        <v>67</v>
      </c>
      <c r="AB235">
        <v>0</v>
      </c>
      <c r="AC235">
        <v>0</v>
      </c>
      <c r="AD235">
        <v>0</v>
      </c>
      <c r="AE235">
        <v>0</v>
      </c>
      <c r="AF235" t="s">
        <v>60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s">
        <v>58</v>
      </c>
      <c r="AM235" t="s">
        <v>58</v>
      </c>
      <c r="AN235" t="s">
        <v>71</v>
      </c>
      <c r="AO235">
        <v>14</v>
      </c>
      <c r="AP235">
        <v>11</v>
      </c>
      <c r="AQ235">
        <v>2</v>
      </c>
      <c r="AR235">
        <v>11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s">
        <v>61</v>
      </c>
      <c r="BA235" t="s">
        <v>57</v>
      </c>
      <c r="BC235" t="s">
        <v>58</v>
      </c>
      <c r="BD235" t="s">
        <v>58</v>
      </c>
      <c r="BE235">
        <v>15</v>
      </c>
    </row>
    <row r="236" spans="1:57" x14ac:dyDescent="0.25">
      <c r="A236" t="s">
        <v>405</v>
      </c>
      <c r="B236">
        <v>330</v>
      </c>
      <c r="C236">
        <v>0</v>
      </c>
      <c r="D236">
        <v>0</v>
      </c>
      <c r="E236">
        <v>0</v>
      </c>
      <c r="F236" t="s">
        <v>159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169</v>
      </c>
      <c r="N236">
        <v>-1</v>
      </c>
      <c r="O236">
        <v>0</v>
      </c>
      <c r="P236">
        <v>-1</v>
      </c>
      <c r="Q236">
        <v>0</v>
      </c>
      <c r="R236" t="s">
        <v>70</v>
      </c>
      <c r="S236">
        <v>0</v>
      </c>
      <c r="T236">
        <v>0</v>
      </c>
      <c r="U236">
        <v>780</v>
      </c>
      <c r="V236" t="s">
        <v>57</v>
      </c>
      <c r="W236">
        <v>0</v>
      </c>
      <c r="X236">
        <v>0</v>
      </c>
      <c r="Y236">
        <v>0</v>
      </c>
      <c r="Z236">
        <v>0</v>
      </c>
      <c r="AA236" t="s">
        <v>67</v>
      </c>
      <c r="AB236">
        <v>0</v>
      </c>
      <c r="AC236">
        <v>0</v>
      </c>
      <c r="AD236">
        <v>0</v>
      </c>
      <c r="AE236">
        <v>0</v>
      </c>
      <c r="AF236" t="s">
        <v>60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s">
        <v>58</v>
      </c>
      <c r="AM236" t="s">
        <v>58</v>
      </c>
      <c r="AN236" t="s">
        <v>71</v>
      </c>
      <c r="AO236">
        <v>14</v>
      </c>
      <c r="AP236">
        <v>12</v>
      </c>
      <c r="AQ236">
        <v>0</v>
      </c>
      <c r="AR236">
        <v>11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s">
        <v>61</v>
      </c>
      <c r="BA236" t="s">
        <v>57</v>
      </c>
      <c r="BC236" t="s">
        <v>58</v>
      </c>
      <c r="BD236" t="s">
        <v>58</v>
      </c>
      <c r="BE236">
        <v>15</v>
      </c>
    </row>
    <row r="237" spans="1:57" x14ac:dyDescent="0.25">
      <c r="A237" t="s">
        <v>406</v>
      </c>
      <c r="B237">
        <v>198</v>
      </c>
      <c r="C237">
        <v>0</v>
      </c>
      <c r="D237">
        <v>0</v>
      </c>
      <c r="E237">
        <v>0</v>
      </c>
      <c r="F237" t="s">
        <v>151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157</v>
      </c>
      <c r="N237">
        <v>-1</v>
      </c>
      <c r="O237">
        <v>0</v>
      </c>
      <c r="P237">
        <v>-1</v>
      </c>
      <c r="Q237">
        <v>0</v>
      </c>
      <c r="R237" t="s">
        <v>70</v>
      </c>
      <c r="S237">
        <v>0</v>
      </c>
      <c r="T237">
        <v>0</v>
      </c>
      <c r="U237">
        <v>780</v>
      </c>
      <c r="V237" t="s">
        <v>57</v>
      </c>
      <c r="W237">
        <v>0</v>
      </c>
      <c r="X237">
        <v>0</v>
      </c>
      <c r="Y237">
        <v>0</v>
      </c>
      <c r="Z237">
        <v>0</v>
      </c>
      <c r="AA237" t="s">
        <v>67</v>
      </c>
      <c r="AB237">
        <v>0</v>
      </c>
      <c r="AC237">
        <v>0</v>
      </c>
      <c r="AD237">
        <v>0</v>
      </c>
      <c r="AE237">
        <v>0</v>
      </c>
      <c r="AF237" t="s">
        <v>60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s">
        <v>58</v>
      </c>
      <c r="AM237" t="s">
        <v>58</v>
      </c>
      <c r="AN237" t="s">
        <v>71</v>
      </c>
      <c r="AO237">
        <v>14</v>
      </c>
      <c r="AP237">
        <v>12</v>
      </c>
      <c r="AQ237">
        <v>4</v>
      </c>
      <c r="AR237">
        <v>11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s">
        <v>61</v>
      </c>
      <c r="BA237" t="s">
        <v>57</v>
      </c>
      <c r="BC237" t="s">
        <v>58</v>
      </c>
      <c r="BD237" t="s">
        <v>58</v>
      </c>
      <c r="BE237">
        <v>15</v>
      </c>
    </row>
    <row r="238" spans="1:57" x14ac:dyDescent="0.25">
      <c r="A238" t="s">
        <v>407</v>
      </c>
      <c r="B238">
        <v>269</v>
      </c>
      <c r="C238">
        <v>0</v>
      </c>
      <c r="D238">
        <v>0</v>
      </c>
      <c r="E238">
        <v>0</v>
      </c>
      <c r="F238" t="s">
        <v>155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160</v>
      </c>
      <c r="N238">
        <v>-1</v>
      </c>
      <c r="O238">
        <v>0</v>
      </c>
      <c r="P238">
        <v>-1</v>
      </c>
      <c r="Q238">
        <v>0</v>
      </c>
      <c r="R238" t="s">
        <v>70</v>
      </c>
      <c r="S238">
        <v>0</v>
      </c>
      <c r="T238">
        <v>0</v>
      </c>
      <c r="U238">
        <v>780</v>
      </c>
      <c r="V238" t="s">
        <v>57</v>
      </c>
      <c r="W238">
        <v>0</v>
      </c>
      <c r="X238">
        <v>0</v>
      </c>
      <c r="Y238">
        <v>0</v>
      </c>
      <c r="Z238">
        <v>0</v>
      </c>
      <c r="AA238" t="s">
        <v>67</v>
      </c>
      <c r="AB238">
        <v>0</v>
      </c>
      <c r="AC238">
        <v>0</v>
      </c>
      <c r="AD238">
        <v>0</v>
      </c>
      <c r="AE238">
        <v>0</v>
      </c>
      <c r="AF238" t="s">
        <v>60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s">
        <v>58</v>
      </c>
      <c r="AM238" t="s">
        <v>58</v>
      </c>
      <c r="AN238" t="s">
        <v>71</v>
      </c>
      <c r="AO238">
        <v>14</v>
      </c>
      <c r="AP238">
        <v>13</v>
      </c>
      <c r="AQ238">
        <v>3</v>
      </c>
      <c r="AR238">
        <v>11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s">
        <v>61</v>
      </c>
      <c r="BA238" t="s">
        <v>57</v>
      </c>
      <c r="BC238" t="s">
        <v>58</v>
      </c>
      <c r="BD238" t="s">
        <v>58</v>
      </c>
      <c r="BE238">
        <v>15</v>
      </c>
    </row>
    <row r="239" spans="1:57" x14ac:dyDescent="0.25">
      <c r="A239" t="s">
        <v>408</v>
      </c>
      <c r="B239">
        <v>136</v>
      </c>
      <c r="C239">
        <v>0</v>
      </c>
      <c r="D239">
        <v>0</v>
      </c>
      <c r="E239">
        <v>0</v>
      </c>
      <c r="F239" t="s">
        <v>172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149</v>
      </c>
      <c r="N239">
        <v>-1</v>
      </c>
      <c r="O239">
        <v>0</v>
      </c>
      <c r="P239">
        <v>-1</v>
      </c>
      <c r="Q239">
        <v>0</v>
      </c>
      <c r="R239" t="s">
        <v>70</v>
      </c>
      <c r="S239">
        <v>0</v>
      </c>
      <c r="T239">
        <v>0</v>
      </c>
      <c r="U239">
        <v>1230</v>
      </c>
      <c r="V239" t="s">
        <v>57</v>
      </c>
      <c r="W239">
        <v>0</v>
      </c>
      <c r="X239">
        <v>0</v>
      </c>
      <c r="Y239">
        <v>0</v>
      </c>
      <c r="Z239">
        <v>0</v>
      </c>
      <c r="AA239" t="s">
        <v>65</v>
      </c>
      <c r="AB239">
        <v>0</v>
      </c>
      <c r="AC239">
        <v>0</v>
      </c>
      <c r="AD239">
        <v>0</v>
      </c>
      <c r="AE239">
        <v>0</v>
      </c>
      <c r="AF239" t="s">
        <v>65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s">
        <v>58</v>
      </c>
      <c r="AM239" t="s">
        <v>58</v>
      </c>
      <c r="AN239" t="s">
        <v>71</v>
      </c>
      <c r="AO239">
        <v>14</v>
      </c>
      <c r="AP239">
        <v>13</v>
      </c>
      <c r="AQ239">
        <v>12</v>
      </c>
      <c r="AR239">
        <v>11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s">
        <v>61</v>
      </c>
      <c r="BA239" t="s">
        <v>57</v>
      </c>
      <c r="BC239" t="s">
        <v>58</v>
      </c>
      <c r="BD239" t="s">
        <v>58</v>
      </c>
      <c r="BE239">
        <v>15</v>
      </c>
    </row>
    <row r="240" spans="1:57" x14ac:dyDescent="0.25">
      <c r="A240" t="s">
        <v>409</v>
      </c>
      <c r="B240">
        <v>276</v>
      </c>
      <c r="C240">
        <v>0</v>
      </c>
      <c r="D240">
        <v>0</v>
      </c>
      <c r="E240">
        <v>0</v>
      </c>
      <c r="F240" t="s">
        <v>168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161</v>
      </c>
      <c r="N240">
        <v>-1</v>
      </c>
      <c r="O240">
        <v>0</v>
      </c>
      <c r="P240">
        <v>-1</v>
      </c>
      <c r="Q240">
        <v>0</v>
      </c>
      <c r="R240" t="s">
        <v>70</v>
      </c>
      <c r="S240">
        <v>0</v>
      </c>
      <c r="T240">
        <v>0</v>
      </c>
      <c r="U240">
        <v>780</v>
      </c>
      <c r="V240" t="s">
        <v>57</v>
      </c>
      <c r="W240">
        <v>0</v>
      </c>
      <c r="X240">
        <v>0</v>
      </c>
      <c r="Y240">
        <v>0</v>
      </c>
      <c r="Z240">
        <v>0</v>
      </c>
      <c r="AA240" t="s">
        <v>67</v>
      </c>
      <c r="AB240">
        <v>0</v>
      </c>
      <c r="AC240">
        <v>0</v>
      </c>
      <c r="AD240">
        <v>0</v>
      </c>
      <c r="AE240">
        <v>0</v>
      </c>
      <c r="AF240" t="s">
        <v>60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s">
        <v>58</v>
      </c>
      <c r="AM240" t="s">
        <v>58</v>
      </c>
      <c r="AN240" t="s">
        <v>71</v>
      </c>
      <c r="AO240">
        <v>14</v>
      </c>
      <c r="AP240">
        <v>15</v>
      </c>
      <c r="AQ240">
        <v>2</v>
      </c>
      <c r="AR240">
        <v>11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s">
        <v>61</v>
      </c>
      <c r="BA240" t="s">
        <v>57</v>
      </c>
      <c r="BC240" t="s">
        <v>58</v>
      </c>
      <c r="BD240" t="s">
        <v>58</v>
      </c>
      <c r="BE240">
        <v>15</v>
      </c>
    </row>
    <row r="241" spans="1:57" x14ac:dyDescent="0.25">
      <c r="A241" t="s">
        <v>410</v>
      </c>
      <c r="B241">
        <v>90</v>
      </c>
      <c r="C241">
        <v>0</v>
      </c>
      <c r="D241">
        <v>0</v>
      </c>
      <c r="E241">
        <v>0</v>
      </c>
      <c r="F241" t="s">
        <v>144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170</v>
      </c>
      <c r="N241">
        <v>-1</v>
      </c>
      <c r="O241">
        <v>0</v>
      </c>
      <c r="P241">
        <v>-1</v>
      </c>
      <c r="Q241">
        <v>0</v>
      </c>
      <c r="R241" t="s">
        <v>70</v>
      </c>
      <c r="S241">
        <v>0</v>
      </c>
      <c r="T241">
        <v>0</v>
      </c>
      <c r="U241">
        <v>780</v>
      </c>
      <c r="V241" t="s">
        <v>57</v>
      </c>
      <c r="W241">
        <v>0</v>
      </c>
      <c r="X241">
        <v>0</v>
      </c>
      <c r="Y241">
        <v>0</v>
      </c>
      <c r="Z241">
        <v>0</v>
      </c>
      <c r="AA241" t="s">
        <v>67</v>
      </c>
      <c r="AB241">
        <v>0</v>
      </c>
      <c r="AC241">
        <v>0</v>
      </c>
      <c r="AD241">
        <v>0</v>
      </c>
      <c r="AE241">
        <v>0</v>
      </c>
      <c r="AF241" t="s">
        <v>60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s">
        <v>58</v>
      </c>
      <c r="AM241" t="s">
        <v>58</v>
      </c>
      <c r="AN241" t="s">
        <v>71</v>
      </c>
      <c r="AO241">
        <v>14</v>
      </c>
      <c r="AP241">
        <v>14</v>
      </c>
      <c r="AQ241">
        <v>7</v>
      </c>
      <c r="AR241">
        <v>11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s">
        <v>61</v>
      </c>
      <c r="BA241" t="s">
        <v>57</v>
      </c>
      <c r="BC241" t="s">
        <v>58</v>
      </c>
      <c r="BD241" t="s">
        <v>58</v>
      </c>
      <c r="BE241">
        <v>15</v>
      </c>
    </row>
    <row r="242" spans="1:57" x14ac:dyDescent="0.25">
      <c r="A242" t="s">
        <v>411</v>
      </c>
      <c r="B242">
        <v>289</v>
      </c>
      <c r="C242">
        <v>0</v>
      </c>
      <c r="D242">
        <v>0</v>
      </c>
      <c r="E242">
        <v>0</v>
      </c>
      <c r="F242" t="s">
        <v>144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154</v>
      </c>
      <c r="N242">
        <v>-1</v>
      </c>
      <c r="O242">
        <v>0</v>
      </c>
      <c r="P242">
        <v>-1</v>
      </c>
      <c r="Q242">
        <v>0</v>
      </c>
      <c r="R242" t="s">
        <v>70</v>
      </c>
      <c r="S242">
        <v>0</v>
      </c>
      <c r="T242">
        <v>0</v>
      </c>
      <c r="U242">
        <v>975</v>
      </c>
      <c r="V242" t="s">
        <v>57</v>
      </c>
      <c r="W242">
        <v>0</v>
      </c>
      <c r="X242">
        <v>0</v>
      </c>
      <c r="Y242">
        <v>0</v>
      </c>
      <c r="Z242">
        <v>0</v>
      </c>
      <c r="AA242" t="s">
        <v>67</v>
      </c>
      <c r="AB242">
        <v>0</v>
      </c>
      <c r="AC242">
        <v>0</v>
      </c>
      <c r="AD242">
        <v>0</v>
      </c>
      <c r="AE242">
        <v>0</v>
      </c>
      <c r="AF242" t="s">
        <v>60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s">
        <v>58</v>
      </c>
      <c r="AM242" t="s">
        <v>58</v>
      </c>
      <c r="AN242" t="s">
        <v>71</v>
      </c>
      <c r="AO242">
        <v>14</v>
      </c>
      <c r="AP242">
        <v>0</v>
      </c>
      <c r="AQ242">
        <v>10</v>
      </c>
      <c r="AR242">
        <v>11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s">
        <v>61</v>
      </c>
      <c r="BA242" t="s">
        <v>57</v>
      </c>
      <c r="BC242" t="s">
        <v>58</v>
      </c>
      <c r="BD242" t="s">
        <v>58</v>
      </c>
      <c r="BE242">
        <v>16</v>
      </c>
    </row>
    <row r="243" spans="1:57" x14ac:dyDescent="0.25">
      <c r="A243" t="s">
        <v>412</v>
      </c>
      <c r="B243">
        <v>331</v>
      </c>
      <c r="C243">
        <v>0</v>
      </c>
      <c r="D243">
        <v>0</v>
      </c>
      <c r="E243">
        <v>0</v>
      </c>
      <c r="F243" t="s">
        <v>168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170</v>
      </c>
      <c r="N243">
        <v>-1</v>
      </c>
      <c r="O243">
        <v>0</v>
      </c>
      <c r="P243">
        <v>-1</v>
      </c>
      <c r="Q243">
        <v>0</v>
      </c>
      <c r="R243" t="s">
        <v>70</v>
      </c>
      <c r="S243">
        <v>0</v>
      </c>
      <c r="T243">
        <v>0</v>
      </c>
      <c r="U243">
        <v>975</v>
      </c>
      <c r="V243" t="s">
        <v>57</v>
      </c>
      <c r="W243">
        <v>0</v>
      </c>
      <c r="X243">
        <v>0</v>
      </c>
      <c r="Y243">
        <v>0</v>
      </c>
      <c r="Z243">
        <v>0</v>
      </c>
      <c r="AA243" t="s">
        <v>67</v>
      </c>
      <c r="AB243">
        <v>0</v>
      </c>
      <c r="AC243">
        <v>0</v>
      </c>
      <c r="AD243">
        <v>0</v>
      </c>
      <c r="AE243">
        <v>0</v>
      </c>
      <c r="AF243" t="s">
        <v>60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s">
        <v>58</v>
      </c>
      <c r="AM243" t="s">
        <v>58</v>
      </c>
      <c r="AN243" t="s">
        <v>71</v>
      </c>
      <c r="AO243">
        <v>14</v>
      </c>
      <c r="AP243">
        <v>1</v>
      </c>
      <c r="AQ243">
        <v>11</v>
      </c>
      <c r="AR243">
        <v>11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s">
        <v>61</v>
      </c>
      <c r="BA243" t="s">
        <v>57</v>
      </c>
      <c r="BC243" t="s">
        <v>58</v>
      </c>
      <c r="BD243" t="s">
        <v>58</v>
      </c>
      <c r="BE243">
        <v>16</v>
      </c>
    </row>
    <row r="244" spans="1:57" x14ac:dyDescent="0.25">
      <c r="A244" t="s">
        <v>413</v>
      </c>
      <c r="B244">
        <v>222</v>
      </c>
      <c r="C244">
        <v>0</v>
      </c>
      <c r="D244">
        <v>0</v>
      </c>
      <c r="E244">
        <v>0</v>
      </c>
      <c r="F244" t="s">
        <v>145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163</v>
      </c>
      <c r="N244">
        <v>-1</v>
      </c>
      <c r="O244">
        <v>0</v>
      </c>
      <c r="P244">
        <v>-1</v>
      </c>
      <c r="Q244">
        <v>0</v>
      </c>
      <c r="R244" t="s">
        <v>70</v>
      </c>
      <c r="S244">
        <v>0</v>
      </c>
      <c r="T244">
        <v>0</v>
      </c>
      <c r="U244">
        <v>780</v>
      </c>
      <c r="V244" t="s">
        <v>57</v>
      </c>
      <c r="W244">
        <v>0</v>
      </c>
      <c r="X244">
        <v>0</v>
      </c>
      <c r="Y244">
        <v>0</v>
      </c>
      <c r="Z244">
        <v>0</v>
      </c>
      <c r="AA244" t="s">
        <v>67</v>
      </c>
      <c r="AB244">
        <v>0</v>
      </c>
      <c r="AC244">
        <v>0</v>
      </c>
      <c r="AD244">
        <v>0</v>
      </c>
      <c r="AE244">
        <v>0</v>
      </c>
      <c r="AF244" t="s">
        <v>60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s">
        <v>58</v>
      </c>
      <c r="AM244" t="s">
        <v>58</v>
      </c>
      <c r="AN244" t="s">
        <v>71</v>
      </c>
      <c r="AO244">
        <v>14</v>
      </c>
      <c r="AP244">
        <v>1</v>
      </c>
      <c r="AQ244">
        <v>7</v>
      </c>
      <c r="AR244">
        <v>11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s">
        <v>61</v>
      </c>
      <c r="BA244" t="s">
        <v>57</v>
      </c>
      <c r="BC244" t="s">
        <v>58</v>
      </c>
      <c r="BD244" t="s">
        <v>58</v>
      </c>
      <c r="BE244">
        <v>16</v>
      </c>
    </row>
    <row r="245" spans="1:57" x14ac:dyDescent="0.25">
      <c r="A245" t="s">
        <v>414</v>
      </c>
      <c r="B245">
        <v>290</v>
      </c>
      <c r="C245">
        <v>0</v>
      </c>
      <c r="D245">
        <v>0</v>
      </c>
      <c r="E245">
        <v>0</v>
      </c>
      <c r="F245" t="s">
        <v>165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169</v>
      </c>
      <c r="N245">
        <v>-1</v>
      </c>
      <c r="O245">
        <v>0</v>
      </c>
      <c r="P245">
        <v>-1</v>
      </c>
      <c r="Q245">
        <v>0</v>
      </c>
      <c r="R245" t="s">
        <v>70</v>
      </c>
      <c r="S245">
        <v>0</v>
      </c>
      <c r="T245">
        <v>0</v>
      </c>
      <c r="U245">
        <v>1220</v>
      </c>
      <c r="V245" t="s">
        <v>57</v>
      </c>
      <c r="W245">
        <v>0</v>
      </c>
      <c r="X245">
        <v>0</v>
      </c>
      <c r="Y245">
        <v>0</v>
      </c>
      <c r="Z245">
        <v>0</v>
      </c>
      <c r="AA245" t="s">
        <v>60</v>
      </c>
      <c r="AB245">
        <v>0</v>
      </c>
      <c r="AC245">
        <v>0</v>
      </c>
      <c r="AD245">
        <v>0</v>
      </c>
      <c r="AE245">
        <v>0</v>
      </c>
      <c r="AF245" t="s">
        <v>60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s">
        <v>58</v>
      </c>
      <c r="AM245" t="s">
        <v>58</v>
      </c>
      <c r="AN245" t="s">
        <v>71</v>
      </c>
      <c r="AO245">
        <v>14</v>
      </c>
      <c r="AP245">
        <v>3</v>
      </c>
      <c r="AQ245">
        <v>13</v>
      </c>
      <c r="AR245">
        <v>11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s">
        <v>61</v>
      </c>
      <c r="BA245" t="s">
        <v>57</v>
      </c>
      <c r="BC245" t="s">
        <v>58</v>
      </c>
      <c r="BD245" t="s">
        <v>58</v>
      </c>
      <c r="BE245">
        <v>16</v>
      </c>
    </row>
    <row r="246" spans="1:57" x14ac:dyDescent="0.25">
      <c r="A246" t="s">
        <v>415</v>
      </c>
      <c r="B246">
        <v>93</v>
      </c>
      <c r="C246">
        <v>0</v>
      </c>
      <c r="D246">
        <v>0</v>
      </c>
      <c r="E246">
        <v>0</v>
      </c>
      <c r="F246" t="s">
        <v>167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149</v>
      </c>
      <c r="N246">
        <v>-1</v>
      </c>
      <c r="O246">
        <v>0</v>
      </c>
      <c r="P246">
        <v>-1</v>
      </c>
      <c r="Q246">
        <v>0</v>
      </c>
      <c r="R246" t="s">
        <v>70</v>
      </c>
      <c r="S246">
        <v>0</v>
      </c>
      <c r="T246">
        <v>0</v>
      </c>
      <c r="U246">
        <v>780</v>
      </c>
      <c r="V246" t="s">
        <v>57</v>
      </c>
      <c r="W246">
        <v>0</v>
      </c>
      <c r="X246">
        <v>0</v>
      </c>
      <c r="Y246">
        <v>0</v>
      </c>
      <c r="Z246">
        <v>0</v>
      </c>
      <c r="AA246" t="s">
        <v>67</v>
      </c>
      <c r="AB246">
        <v>0</v>
      </c>
      <c r="AC246">
        <v>0</v>
      </c>
      <c r="AD246">
        <v>0</v>
      </c>
      <c r="AE246">
        <v>0</v>
      </c>
      <c r="AF246" t="s">
        <v>60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s">
        <v>58</v>
      </c>
      <c r="AM246" t="s">
        <v>58</v>
      </c>
      <c r="AN246" t="s">
        <v>71</v>
      </c>
      <c r="AO246">
        <v>14</v>
      </c>
      <c r="AP246">
        <v>2</v>
      </c>
      <c r="AQ246">
        <v>6</v>
      </c>
      <c r="AR246">
        <v>11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s">
        <v>61</v>
      </c>
      <c r="BA246" t="s">
        <v>57</v>
      </c>
      <c r="BC246" t="s">
        <v>58</v>
      </c>
      <c r="BD246" t="s">
        <v>58</v>
      </c>
      <c r="BE246">
        <v>16</v>
      </c>
    </row>
    <row r="247" spans="1:57" x14ac:dyDescent="0.25">
      <c r="A247" t="s">
        <v>416</v>
      </c>
      <c r="B247">
        <v>171</v>
      </c>
      <c r="C247">
        <v>0</v>
      </c>
      <c r="D247">
        <v>0</v>
      </c>
      <c r="E247">
        <v>0</v>
      </c>
      <c r="F247" t="s">
        <v>143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162</v>
      </c>
      <c r="N247">
        <v>-1</v>
      </c>
      <c r="O247">
        <v>0</v>
      </c>
      <c r="P247">
        <v>-1</v>
      </c>
      <c r="Q247">
        <v>0</v>
      </c>
      <c r="R247" t="s">
        <v>70</v>
      </c>
      <c r="S247">
        <v>0</v>
      </c>
      <c r="T247">
        <v>0</v>
      </c>
      <c r="U247">
        <v>780</v>
      </c>
      <c r="V247" t="s">
        <v>57</v>
      </c>
      <c r="W247">
        <v>0</v>
      </c>
      <c r="X247">
        <v>0</v>
      </c>
      <c r="Y247">
        <v>0</v>
      </c>
      <c r="Z247">
        <v>0</v>
      </c>
      <c r="AA247" t="s">
        <v>67</v>
      </c>
      <c r="AB247">
        <v>0</v>
      </c>
      <c r="AC247">
        <v>0</v>
      </c>
      <c r="AD247">
        <v>0</v>
      </c>
      <c r="AE247">
        <v>0</v>
      </c>
      <c r="AF247" t="s">
        <v>60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s">
        <v>58</v>
      </c>
      <c r="AM247" t="s">
        <v>58</v>
      </c>
      <c r="AN247" t="s">
        <v>71</v>
      </c>
      <c r="AO247">
        <v>14</v>
      </c>
      <c r="AP247">
        <v>4</v>
      </c>
      <c r="AQ247">
        <v>4</v>
      </c>
      <c r="AR247">
        <v>11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s">
        <v>61</v>
      </c>
      <c r="BA247" t="s">
        <v>57</v>
      </c>
      <c r="BC247" t="s">
        <v>58</v>
      </c>
      <c r="BD247" t="s">
        <v>58</v>
      </c>
      <c r="BE247">
        <v>16</v>
      </c>
    </row>
    <row r="248" spans="1:57" x14ac:dyDescent="0.25">
      <c r="A248" t="s">
        <v>417</v>
      </c>
      <c r="B248">
        <v>109</v>
      </c>
      <c r="C248">
        <v>0</v>
      </c>
      <c r="D248">
        <v>0</v>
      </c>
      <c r="E248">
        <v>0</v>
      </c>
      <c r="F248" t="s">
        <v>172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152</v>
      </c>
      <c r="N248">
        <v>-1</v>
      </c>
      <c r="O248">
        <v>0</v>
      </c>
      <c r="P248">
        <v>-1</v>
      </c>
      <c r="Q248">
        <v>0</v>
      </c>
      <c r="R248" t="s">
        <v>70</v>
      </c>
      <c r="S248">
        <v>0</v>
      </c>
      <c r="T248">
        <v>0</v>
      </c>
      <c r="U248">
        <v>975</v>
      </c>
      <c r="V248" t="s">
        <v>57</v>
      </c>
      <c r="W248">
        <v>0</v>
      </c>
      <c r="X248">
        <v>0</v>
      </c>
      <c r="Y248">
        <v>0</v>
      </c>
      <c r="Z248">
        <v>0</v>
      </c>
      <c r="AA248" t="s">
        <v>67</v>
      </c>
      <c r="AB248">
        <v>0</v>
      </c>
      <c r="AC248">
        <v>0</v>
      </c>
      <c r="AD248">
        <v>0</v>
      </c>
      <c r="AE248">
        <v>0</v>
      </c>
      <c r="AF248" t="s">
        <v>60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s">
        <v>58</v>
      </c>
      <c r="AM248" t="s">
        <v>58</v>
      </c>
      <c r="AN248" t="s">
        <v>71</v>
      </c>
      <c r="AO248">
        <v>14</v>
      </c>
      <c r="AP248">
        <v>6</v>
      </c>
      <c r="AQ248">
        <v>9</v>
      </c>
      <c r="AR248">
        <v>11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s">
        <v>61</v>
      </c>
      <c r="BA248" t="s">
        <v>57</v>
      </c>
      <c r="BC248" t="s">
        <v>58</v>
      </c>
      <c r="BD248" t="s">
        <v>58</v>
      </c>
      <c r="BE248">
        <v>16</v>
      </c>
    </row>
    <row r="249" spans="1:57" x14ac:dyDescent="0.25">
      <c r="A249" t="s">
        <v>418</v>
      </c>
      <c r="B249">
        <v>317</v>
      </c>
      <c r="C249">
        <v>0</v>
      </c>
      <c r="D249">
        <v>0</v>
      </c>
      <c r="E249">
        <v>0</v>
      </c>
      <c r="F249" t="s">
        <v>158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150</v>
      </c>
      <c r="N249">
        <v>-1</v>
      </c>
      <c r="O249">
        <v>0</v>
      </c>
      <c r="P249">
        <v>-1</v>
      </c>
      <c r="Q249">
        <v>0</v>
      </c>
      <c r="R249" t="s">
        <v>70</v>
      </c>
      <c r="S249">
        <v>0</v>
      </c>
      <c r="T249">
        <v>0</v>
      </c>
      <c r="U249">
        <v>965</v>
      </c>
      <c r="V249" t="s">
        <v>57</v>
      </c>
      <c r="W249">
        <v>0</v>
      </c>
      <c r="X249">
        <v>0</v>
      </c>
      <c r="Y249">
        <v>0</v>
      </c>
      <c r="Z249">
        <v>0</v>
      </c>
      <c r="AA249" t="s">
        <v>67</v>
      </c>
      <c r="AB249">
        <v>0</v>
      </c>
      <c r="AC249">
        <v>0</v>
      </c>
      <c r="AD249">
        <v>0</v>
      </c>
      <c r="AE249">
        <v>0</v>
      </c>
      <c r="AF249" t="s">
        <v>60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s">
        <v>58</v>
      </c>
      <c r="AM249" t="s">
        <v>58</v>
      </c>
      <c r="AN249" t="s">
        <v>71</v>
      </c>
      <c r="AO249">
        <v>14</v>
      </c>
      <c r="AP249">
        <v>7</v>
      </c>
      <c r="AQ249">
        <v>8</v>
      </c>
      <c r="AR249">
        <v>11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s">
        <v>61</v>
      </c>
      <c r="BA249" t="s">
        <v>57</v>
      </c>
      <c r="BC249" t="s">
        <v>58</v>
      </c>
      <c r="BD249" t="s">
        <v>58</v>
      </c>
      <c r="BE249">
        <v>16</v>
      </c>
    </row>
    <row r="250" spans="1:57" x14ac:dyDescent="0.25">
      <c r="A250" t="s">
        <v>419</v>
      </c>
      <c r="B250">
        <v>187</v>
      </c>
      <c r="C250">
        <v>0</v>
      </c>
      <c r="D250">
        <v>0</v>
      </c>
      <c r="E250">
        <v>0</v>
      </c>
      <c r="F250" t="s">
        <v>157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156</v>
      </c>
      <c r="N250">
        <v>-1</v>
      </c>
      <c r="O250">
        <v>0</v>
      </c>
      <c r="P250">
        <v>-1</v>
      </c>
      <c r="Q250">
        <v>0</v>
      </c>
      <c r="R250" t="s">
        <v>70</v>
      </c>
      <c r="S250">
        <v>0</v>
      </c>
      <c r="T250">
        <v>0</v>
      </c>
      <c r="U250">
        <v>1220</v>
      </c>
      <c r="V250" t="s">
        <v>57</v>
      </c>
      <c r="W250">
        <v>0</v>
      </c>
      <c r="X250">
        <v>0</v>
      </c>
      <c r="Y250">
        <v>0</v>
      </c>
      <c r="Z250">
        <v>0</v>
      </c>
      <c r="AA250" t="s">
        <v>68</v>
      </c>
      <c r="AB250">
        <v>0</v>
      </c>
      <c r="AC250">
        <v>0</v>
      </c>
      <c r="AD250">
        <v>0</v>
      </c>
      <c r="AE250">
        <v>0</v>
      </c>
      <c r="AF250" t="s">
        <v>68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s">
        <v>58</v>
      </c>
      <c r="AM250" t="s">
        <v>58</v>
      </c>
      <c r="AN250" t="s">
        <v>71</v>
      </c>
      <c r="AO250">
        <v>14</v>
      </c>
      <c r="AP250">
        <v>10</v>
      </c>
      <c r="AQ250">
        <v>14</v>
      </c>
      <c r="AR250">
        <v>11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s">
        <v>61</v>
      </c>
      <c r="BA250" t="s">
        <v>57</v>
      </c>
      <c r="BC250" t="s">
        <v>58</v>
      </c>
      <c r="BD250" t="s">
        <v>58</v>
      </c>
      <c r="BE250">
        <v>16</v>
      </c>
    </row>
    <row r="251" spans="1:57" x14ac:dyDescent="0.25">
      <c r="A251" t="s">
        <v>420</v>
      </c>
      <c r="B251">
        <v>180</v>
      </c>
      <c r="C251">
        <v>0</v>
      </c>
      <c r="D251">
        <v>0</v>
      </c>
      <c r="E251">
        <v>0</v>
      </c>
      <c r="F251" t="s">
        <v>160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173</v>
      </c>
      <c r="N251">
        <v>-1</v>
      </c>
      <c r="O251">
        <v>0</v>
      </c>
      <c r="P251">
        <v>-1</v>
      </c>
      <c r="Q251">
        <v>0</v>
      </c>
      <c r="R251" t="s">
        <v>70</v>
      </c>
      <c r="S251">
        <v>0</v>
      </c>
      <c r="T251">
        <v>0</v>
      </c>
      <c r="U251">
        <v>975</v>
      </c>
      <c r="V251" t="s">
        <v>57</v>
      </c>
      <c r="W251">
        <v>0</v>
      </c>
      <c r="X251">
        <v>0</v>
      </c>
      <c r="Y251">
        <v>0</v>
      </c>
      <c r="Z251">
        <v>0</v>
      </c>
      <c r="AA251" t="s">
        <v>67</v>
      </c>
      <c r="AB251">
        <v>0</v>
      </c>
      <c r="AC251">
        <v>0</v>
      </c>
      <c r="AD251">
        <v>0</v>
      </c>
      <c r="AE251">
        <v>0</v>
      </c>
      <c r="AF251" t="s">
        <v>60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s">
        <v>58</v>
      </c>
      <c r="AM251" t="s">
        <v>58</v>
      </c>
      <c r="AN251" t="s">
        <v>71</v>
      </c>
      <c r="AO251">
        <v>14</v>
      </c>
      <c r="AP251">
        <v>11</v>
      </c>
      <c r="AQ251">
        <v>8</v>
      </c>
      <c r="AR251">
        <v>11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s">
        <v>61</v>
      </c>
      <c r="BA251" t="s">
        <v>57</v>
      </c>
      <c r="BC251" t="s">
        <v>58</v>
      </c>
      <c r="BD251" t="s">
        <v>58</v>
      </c>
      <c r="BE251">
        <v>16</v>
      </c>
    </row>
    <row r="252" spans="1:57" x14ac:dyDescent="0.25">
      <c r="A252" t="s">
        <v>421</v>
      </c>
      <c r="B252">
        <v>186</v>
      </c>
      <c r="C252">
        <v>0</v>
      </c>
      <c r="D252">
        <v>0</v>
      </c>
      <c r="E252">
        <v>0</v>
      </c>
      <c r="F252" t="s">
        <v>174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155</v>
      </c>
      <c r="N252">
        <v>-1</v>
      </c>
      <c r="O252">
        <v>0</v>
      </c>
      <c r="P252">
        <v>-1</v>
      </c>
      <c r="Q252">
        <v>0</v>
      </c>
      <c r="R252" t="s">
        <v>70</v>
      </c>
      <c r="S252">
        <v>0</v>
      </c>
      <c r="T252">
        <v>0</v>
      </c>
      <c r="U252">
        <v>780</v>
      </c>
      <c r="V252" t="s">
        <v>57</v>
      </c>
      <c r="W252">
        <v>0</v>
      </c>
      <c r="X252">
        <v>0</v>
      </c>
      <c r="Y252">
        <v>0</v>
      </c>
      <c r="Z252">
        <v>0</v>
      </c>
      <c r="AA252" t="s">
        <v>67</v>
      </c>
      <c r="AB252">
        <v>0</v>
      </c>
      <c r="AC252">
        <v>0</v>
      </c>
      <c r="AD252">
        <v>0</v>
      </c>
      <c r="AE252">
        <v>0</v>
      </c>
      <c r="AF252" t="s">
        <v>60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s">
        <v>58</v>
      </c>
      <c r="AM252" t="s">
        <v>58</v>
      </c>
      <c r="AN252" t="s">
        <v>71</v>
      </c>
      <c r="AO252">
        <v>14</v>
      </c>
      <c r="AP252">
        <v>10</v>
      </c>
      <c r="AQ252">
        <v>5</v>
      </c>
      <c r="AR252">
        <v>11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s">
        <v>61</v>
      </c>
      <c r="BA252" t="s">
        <v>57</v>
      </c>
      <c r="BC252" t="s">
        <v>58</v>
      </c>
      <c r="BD252" t="s">
        <v>58</v>
      </c>
      <c r="BE252">
        <v>16</v>
      </c>
    </row>
    <row r="253" spans="1:57" x14ac:dyDescent="0.25">
      <c r="A253" t="s">
        <v>422</v>
      </c>
      <c r="B253">
        <v>120</v>
      </c>
      <c r="C253">
        <v>0</v>
      </c>
      <c r="D253">
        <v>0</v>
      </c>
      <c r="E253">
        <v>0</v>
      </c>
      <c r="F253" t="s">
        <v>146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171</v>
      </c>
      <c r="N253">
        <v>-1</v>
      </c>
      <c r="O253">
        <v>0</v>
      </c>
      <c r="P253">
        <v>-1</v>
      </c>
      <c r="Q253">
        <v>0</v>
      </c>
      <c r="R253" t="s">
        <v>70</v>
      </c>
      <c r="S253">
        <v>0</v>
      </c>
      <c r="T253">
        <v>0</v>
      </c>
      <c r="U253">
        <v>975</v>
      </c>
      <c r="V253" t="s">
        <v>57</v>
      </c>
      <c r="W253">
        <v>0</v>
      </c>
      <c r="X253">
        <v>0</v>
      </c>
      <c r="Y253">
        <v>0</v>
      </c>
      <c r="Z253">
        <v>0</v>
      </c>
      <c r="AA253" t="s">
        <v>67</v>
      </c>
      <c r="AB253">
        <v>0</v>
      </c>
      <c r="AC253">
        <v>0</v>
      </c>
      <c r="AD253">
        <v>0</v>
      </c>
      <c r="AE253">
        <v>0</v>
      </c>
      <c r="AF253" t="s">
        <v>68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s">
        <v>58</v>
      </c>
      <c r="AM253" t="s">
        <v>58</v>
      </c>
      <c r="AN253" t="s">
        <v>71</v>
      </c>
      <c r="AO253">
        <v>14</v>
      </c>
      <c r="AP253">
        <v>11</v>
      </c>
      <c r="AQ253">
        <v>13</v>
      </c>
      <c r="AR253">
        <v>11</v>
      </c>
      <c r="AS253" t="b">
        <v>1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s">
        <v>61</v>
      </c>
      <c r="BA253" t="s">
        <v>57</v>
      </c>
      <c r="BC253" t="s">
        <v>58</v>
      </c>
      <c r="BD253" t="s">
        <v>58</v>
      </c>
      <c r="BE253">
        <v>16</v>
      </c>
    </row>
    <row r="254" spans="1:57" x14ac:dyDescent="0.25">
      <c r="A254" t="s">
        <v>423</v>
      </c>
      <c r="B254">
        <v>219</v>
      </c>
      <c r="C254">
        <v>0</v>
      </c>
      <c r="D254">
        <v>0</v>
      </c>
      <c r="E254">
        <v>0</v>
      </c>
      <c r="F254" t="s">
        <v>148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161</v>
      </c>
      <c r="N254">
        <v>-1</v>
      </c>
      <c r="O254">
        <v>0</v>
      </c>
      <c r="P254">
        <v>-1</v>
      </c>
      <c r="Q254">
        <v>0</v>
      </c>
      <c r="R254" t="s">
        <v>70</v>
      </c>
      <c r="S254">
        <v>0</v>
      </c>
      <c r="T254">
        <v>0</v>
      </c>
      <c r="U254">
        <v>780</v>
      </c>
      <c r="V254" t="s">
        <v>57</v>
      </c>
      <c r="W254">
        <v>0</v>
      </c>
      <c r="X254">
        <v>0</v>
      </c>
      <c r="Y254">
        <v>0</v>
      </c>
      <c r="Z254">
        <v>0</v>
      </c>
      <c r="AA254" t="s">
        <v>67</v>
      </c>
      <c r="AB254">
        <v>0</v>
      </c>
      <c r="AC254">
        <v>0</v>
      </c>
      <c r="AD254">
        <v>0</v>
      </c>
      <c r="AE254">
        <v>0</v>
      </c>
      <c r="AF254" t="s">
        <v>60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s">
        <v>58</v>
      </c>
      <c r="AM254" t="s">
        <v>58</v>
      </c>
      <c r="AN254" t="s">
        <v>71</v>
      </c>
      <c r="AO254">
        <v>14</v>
      </c>
      <c r="AP254">
        <v>12</v>
      </c>
      <c r="AQ254">
        <v>3</v>
      </c>
      <c r="AR254">
        <v>11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s">
        <v>61</v>
      </c>
      <c r="BA254" t="s">
        <v>57</v>
      </c>
      <c r="BC254" t="s">
        <v>58</v>
      </c>
      <c r="BD254" t="s">
        <v>58</v>
      </c>
      <c r="BE254">
        <v>16</v>
      </c>
    </row>
    <row r="255" spans="1:57" x14ac:dyDescent="0.25">
      <c r="A255" t="s">
        <v>424</v>
      </c>
      <c r="B255">
        <v>122</v>
      </c>
      <c r="C255">
        <v>0</v>
      </c>
      <c r="D255">
        <v>0</v>
      </c>
      <c r="E255">
        <v>0</v>
      </c>
      <c r="F255" t="s">
        <v>151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159</v>
      </c>
      <c r="N255">
        <v>-1</v>
      </c>
      <c r="O255">
        <v>0</v>
      </c>
      <c r="P255">
        <v>-1</v>
      </c>
      <c r="Q255">
        <v>0</v>
      </c>
      <c r="R255" t="s">
        <v>70</v>
      </c>
      <c r="S255">
        <v>0</v>
      </c>
      <c r="T255">
        <v>0</v>
      </c>
      <c r="U255">
        <v>780</v>
      </c>
      <c r="V255" t="s">
        <v>57</v>
      </c>
      <c r="W255">
        <v>0</v>
      </c>
      <c r="X255">
        <v>0</v>
      </c>
      <c r="Y255">
        <v>0</v>
      </c>
      <c r="Z255">
        <v>0</v>
      </c>
      <c r="AA255" t="s">
        <v>67</v>
      </c>
      <c r="AB255">
        <v>0</v>
      </c>
      <c r="AC255">
        <v>0</v>
      </c>
      <c r="AD255">
        <v>0</v>
      </c>
      <c r="AE255">
        <v>0</v>
      </c>
      <c r="AF255" t="s">
        <v>60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s">
        <v>58</v>
      </c>
      <c r="AM255" t="s">
        <v>58</v>
      </c>
      <c r="AN255" t="s">
        <v>71</v>
      </c>
      <c r="AO255">
        <v>14</v>
      </c>
      <c r="AP255">
        <v>16</v>
      </c>
      <c r="AQ255">
        <v>0</v>
      </c>
      <c r="AR255">
        <v>11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s">
        <v>61</v>
      </c>
      <c r="BA255" t="s">
        <v>57</v>
      </c>
      <c r="BC255" t="s">
        <v>58</v>
      </c>
      <c r="BD255" t="s">
        <v>58</v>
      </c>
      <c r="BE255">
        <v>16</v>
      </c>
    </row>
    <row r="256" spans="1:57" x14ac:dyDescent="0.25">
      <c r="A256" t="s">
        <v>425</v>
      </c>
      <c r="B256">
        <v>255</v>
      </c>
      <c r="C256">
        <v>0</v>
      </c>
      <c r="D256">
        <v>0</v>
      </c>
      <c r="E256">
        <v>0</v>
      </c>
      <c r="F256" t="s">
        <v>153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164</v>
      </c>
      <c r="N256">
        <v>-1</v>
      </c>
      <c r="O256">
        <v>0</v>
      </c>
      <c r="P256">
        <v>-1</v>
      </c>
      <c r="Q256">
        <v>0</v>
      </c>
      <c r="R256" t="s">
        <v>70</v>
      </c>
      <c r="S256">
        <v>0</v>
      </c>
      <c r="T256">
        <v>0</v>
      </c>
      <c r="U256">
        <v>780</v>
      </c>
      <c r="V256" t="s">
        <v>57</v>
      </c>
      <c r="W256">
        <v>0</v>
      </c>
      <c r="X256">
        <v>0</v>
      </c>
      <c r="Y256">
        <v>0</v>
      </c>
      <c r="Z256">
        <v>0</v>
      </c>
      <c r="AA256" t="s">
        <v>67</v>
      </c>
      <c r="AB256">
        <v>0</v>
      </c>
      <c r="AC256">
        <v>0</v>
      </c>
      <c r="AD256">
        <v>0</v>
      </c>
      <c r="AE256">
        <v>0</v>
      </c>
      <c r="AF256" t="s">
        <v>60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s">
        <v>58</v>
      </c>
      <c r="AM256" t="s">
        <v>58</v>
      </c>
      <c r="AN256" t="s">
        <v>71</v>
      </c>
      <c r="AO256">
        <v>14</v>
      </c>
      <c r="AP256">
        <v>17</v>
      </c>
      <c r="AQ256">
        <v>3</v>
      </c>
      <c r="AR256">
        <v>11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s">
        <v>61</v>
      </c>
      <c r="BA256" t="s">
        <v>57</v>
      </c>
      <c r="BC256" t="s">
        <v>58</v>
      </c>
      <c r="BD256" t="s">
        <v>58</v>
      </c>
      <c r="BE256">
        <v>16</v>
      </c>
    </row>
    <row r="257" spans="1:57" x14ac:dyDescent="0.25">
      <c r="A257" t="s">
        <v>426</v>
      </c>
      <c r="B257">
        <v>221</v>
      </c>
      <c r="C257">
        <v>0</v>
      </c>
      <c r="D257">
        <v>0</v>
      </c>
      <c r="E257">
        <v>0</v>
      </c>
      <c r="F257" t="s">
        <v>147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166</v>
      </c>
      <c r="N257">
        <v>-1</v>
      </c>
      <c r="O257">
        <v>0</v>
      </c>
      <c r="P257">
        <v>-1</v>
      </c>
      <c r="Q257">
        <v>0</v>
      </c>
      <c r="R257" t="s">
        <v>70</v>
      </c>
      <c r="S257">
        <v>0</v>
      </c>
      <c r="T257">
        <v>0</v>
      </c>
      <c r="U257">
        <v>965</v>
      </c>
      <c r="V257" t="s">
        <v>57</v>
      </c>
      <c r="W257">
        <v>0</v>
      </c>
      <c r="X257">
        <v>0</v>
      </c>
      <c r="Y257">
        <v>0</v>
      </c>
      <c r="Z257">
        <v>0</v>
      </c>
      <c r="AA257" t="s">
        <v>67</v>
      </c>
      <c r="AB257">
        <v>0</v>
      </c>
      <c r="AC257">
        <v>0</v>
      </c>
      <c r="AD257">
        <v>0</v>
      </c>
      <c r="AE257">
        <v>0</v>
      </c>
      <c r="AF257" t="s">
        <v>60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s">
        <v>58</v>
      </c>
      <c r="AM257" t="s">
        <v>58</v>
      </c>
      <c r="AN257" t="s">
        <v>71</v>
      </c>
      <c r="AO257">
        <v>14</v>
      </c>
      <c r="AP257">
        <v>17</v>
      </c>
      <c r="AQ257">
        <v>9</v>
      </c>
      <c r="AR257">
        <v>11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s">
        <v>61</v>
      </c>
      <c r="BA257" t="s">
        <v>57</v>
      </c>
      <c r="BC257" t="s">
        <v>58</v>
      </c>
      <c r="BD257" t="s">
        <v>58</v>
      </c>
      <c r="BE257">
        <v>16</v>
      </c>
    </row>
    <row r="258" spans="1:57" x14ac:dyDescent="0.25">
      <c r="A258" t="s">
        <v>427</v>
      </c>
      <c r="B258">
        <v>73</v>
      </c>
      <c r="C258">
        <v>0</v>
      </c>
      <c r="D258">
        <v>0</v>
      </c>
      <c r="E258">
        <v>0</v>
      </c>
      <c r="F258" t="s">
        <v>158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172</v>
      </c>
      <c r="N258">
        <v>-1</v>
      </c>
      <c r="O258">
        <v>0</v>
      </c>
      <c r="P258">
        <v>-1</v>
      </c>
      <c r="Q258">
        <v>0</v>
      </c>
      <c r="R258" t="s">
        <v>70</v>
      </c>
      <c r="S258">
        <v>0</v>
      </c>
      <c r="T258">
        <v>0</v>
      </c>
      <c r="U258">
        <v>1140</v>
      </c>
      <c r="V258" t="s">
        <v>57</v>
      </c>
      <c r="W258">
        <v>0</v>
      </c>
      <c r="X258">
        <v>0</v>
      </c>
      <c r="Y258">
        <v>0</v>
      </c>
      <c r="Z258">
        <v>0</v>
      </c>
      <c r="AA258" t="s">
        <v>65</v>
      </c>
      <c r="AB258">
        <v>0</v>
      </c>
      <c r="AC258">
        <v>0</v>
      </c>
      <c r="AD258">
        <v>0</v>
      </c>
      <c r="AE258">
        <v>0</v>
      </c>
      <c r="AF258" t="s">
        <v>65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s">
        <v>58</v>
      </c>
      <c r="AM258" t="s">
        <v>58</v>
      </c>
      <c r="AN258" t="s">
        <v>71</v>
      </c>
      <c r="AO258">
        <v>14</v>
      </c>
      <c r="AP258">
        <v>0</v>
      </c>
      <c r="AQ258">
        <v>13</v>
      </c>
      <c r="AR258">
        <v>11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s">
        <v>61</v>
      </c>
      <c r="BA258" t="s">
        <v>57</v>
      </c>
      <c r="BC258" t="s">
        <v>58</v>
      </c>
      <c r="BD258" t="s">
        <v>58</v>
      </c>
      <c r="BE258">
        <v>17</v>
      </c>
    </row>
    <row r="259" spans="1:57" x14ac:dyDescent="0.25">
      <c r="A259" t="s">
        <v>428</v>
      </c>
      <c r="B259">
        <v>78</v>
      </c>
      <c r="C259">
        <v>0</v>
      </c>
      <c r="D259">
        <v>0</v>
      </c>
      <c r="E259">
        <v>0</v>
      </c>
      <c r="F259" t="s">
        <v>151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152</v>
      </c>
      <c r="N259">
        <v>-1</v>
      </c>
      <c r="O259">
        <v>0</v>
      </c>
      <c r="P259">
        <v>-1</v>
      </c>
      <c r="Q259">
        <v>0</v>
      </c>
      <c r="R259" t="s">
        <v>70</v>
      </c>
      <c r="S259">
        <v>0</v>
      </c>
      <c r="T259">
        <v>0</v>
      </c>
      <c r="U259">
        <v>1335</v>
      </c>
      <c r="V259" t="s">
        <v>57</v>
      </c>
      <c r="W259">
        <v>0</v>
      </c>
      <c r="X259">
        <v>0</v>
      </c>
      <c r="Y259">
        <v>0</v>
      </c>
      <c r="Z259">
        <v>0</v>
      </c>
      <c r="AA259" t="s">
        <v>65</v>
      </c>
      <c r="AB259">
        <v>0</v>
      </c>
      <c r="AC259">
        <v>0</v>
      </c>
      <c r="AD259">
        <v>0</v>
      </c>
      <c r="AE259">
        <v>0</v>
      </c>
      <c r="AF259" t="s">
        <v>65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s">
        <v>58</v>
      </c>
      <c r="AM259" t="s">
        <v>58</v>
      </c>
      <c r="AN259" t="s">
        <v>71</v>
      </c>
      <c r="AO259">
        <v>14</v>
      </c>
      <c r="AP259">
        <v>0</v>
      </c>
      <c r="AQ259">
        <v>14</v>
      </c>
      <c r="AR259">
        <v>11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s">
        <v>61</v>
      </c>
      <c r="BA259" t="s">
        <v>57</v>
      </c>
      <c r="BC259" t="s">
        <v>58</v>
      </c>
      <c r="BD259" t="s">
        <v>58</v>
      </c>
      <c r="BE259">
        <v>17</v>
      </c>
    </row>
    <row r="260" spans="1:57" x14ac:dyDescent="0.25">
      <c r="A260" t="s">
        <v>429</v>
      </c>
      <c r="B260">
        <v>116</v>
      </c>
      <c r="C260">
        <v>0</v>
      </c>
      <c r="D260">
        <v>0</v>
      </c>
      <c r="E260">
        <v>0</v>
      </c>
      <c r="F260" t="s">
        <v>164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146</v>
      </c>
      <c r="N260">
        <v>-1</v>
      </c>
      <c r="O260">
        <v>0</v>
      </c>
      <c r="P260">
        <v>-1</v>
      </c>
      <c r="Q260">
        <v>0</v>
      </c>
      <c r="R260" t="s">
        <v>70</v>
      </c>
      <c r="S260">
        <v>0</v>
      </c>
      <c r="T260">
        <v>0</v>
      </c>
      <c r="U260">
        <v>1220</v>
      </c>
      <c r="V260" t="s">
        <v>57</v>
      </c>
      <c r="W260">
        <v>0</v>
      </c>
      <c r="X260">
        <v>0</v>
      </c>
      <c r="Y260">
        <v>0</v>
      </c>
      <c r="Z260">
        <v>0</v>
      </c>
      <c r="AA260" t="s">
        <v>60</v>
      </c>
      <c r="AB260">
        <v>0</v>
      </c>
      <c r="AC260">
        <v>0</v>
      </c>
      <c r="AD260">
        <v>0</v>
      </c>
      <c r="AE260">
        <v>0</v>
      </c>
      <c r="AF260" t="s">
        <v>60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s">
        <v>58</v>
      </c>
      <c r="AM260" t="s">
        <v>58</v>
      </c>
      <c r="AN260" t="s">
        <v>71</v>
      </c>
      <c r="AO260">
        <v>14</v>
      </c>
      <c r="AP260">
        <v>1</v>
      </c>
      <c r="AQ260">
        <v>13</v>
      </c>
      <c r="AR260">
        <v>11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s">
        <v>61</v>
      </c>
      <c r="BA260" t="s">
        <v>57</v>
      </c>
      <c r="BC260" t="s">
        <v>58</v>
      </c>
      <c r="BD260" t="s">
        <v>58</v>
      </c>
      <c r="BE260">
        <v>17</v>
      </c>
    </row>
    <row r="261" spans="1:57" x14ac:dyDescent="0.25">
      <c r="A261" t="s">
        <v>430</v>
      </c>
      <c r="B261">
        <v>148</v>
      </c>
      <c r="C261">
        <v>0</v>
      </c>
      <c r="D261">
        <v>0</v>
      </c>
      <c r="E261">
        <v>0</v>
      </c>
      <c r="F261" t="s">
        <v>147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154</v>
      </c>
      <c r="N261">
        <v>-1</v>
      </c>
      <c r="O261">
        <v>0</v>
      </c>
      <c r="P261">
        <v>-1</v>
      </c>
      <c r="Q261">
        <v>0</v>
      </c>
      <c r="R261" t="s">
        <v>70</v>
      </c>
      <c r="S261">
        <v>0</v>
      </c>
      <c r="T261">
        <v>0</v>
      </c>
      <c r="U261">
        <v>975</v>
      </c>
      <c r="V261" t="s">
        <v>57</v>
      </c>
      <c r="W261">
        <v>0</v>
      </c>
      <c r="X261">
        <v>0</v>
      </c>
      <c r="Y261">
        <v>0</v>
      </c>
      <c r="Z261">
        <v>0</v>
      </c>
      <c r="AA261" t="s">
        <v>67</v>
      </c>
      <c r="AB261">
        <v>0</v>
      </c>
      <c r="AC261">
        <v>0</v>
      </c>
      <c r="AD261">
        <v>0</v>
      </c>
      <c r="AE261">
        <v>0</v>
      </c>
      <c r="AF261" t="s">
        <v>60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s">
        <v>58</v>
      </c>
      <c r="AM261" t="s">
        <v>58</v>
      </c>
      <c r="AN261" t="s">
        <v>71</v>
      </c>
      <c r="AO261">
        <v>14</v>
      </c>
      <c r="AP261">
        <v>4</v>
      </c>
      <c r="AQ261">
        <v>9</v>
      </c>
      <c r="AR261">
        <v>11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s">
        <v>61</v>
      </c>
      <c r="BA261" t="s">
        <v>57</v>
      </c>
      <c r="BC261" t="s">
        <v>58</v>
      </c>
      <c r="BD261" t="s">
        <v>58</v>
      </c>
      <c r="BE261">
        <v>17</v>
      </c>
    </row>
    <row r="262" spans="1:57" x14ac:dyDescent="0.25">
      <c r="A262" t="s">
        <v>431</v>
      </c>
      <c r="B262">
        <v>166</v>
      </c>
      <c r="C262">
        <v>0</v>
      </c>
      <c r="D262">
        <v>0</v>
      </c>
      <c r="E262">
        <v>0</v>
      </c>
      <c r="F262" t="s">
        <v>156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161</v>
      </c>
      <c r="N262">
        <v>-1</v>
      </c>
      <c r="O262">
        <v>0</v>
      </c>
      <c r="P262">
        <v>-1</v>
      </c>
      <c r="Q262">
        <v>0</v>
      </c>
      <c r="R262" t="s">
        <v>70</v>
      </c>
      <c r="S262">
        <v>0</v>
      </c>
      <c r="T262">
        <v>0</v>
      </c>
      <c r="U262">
        <v>975</v>
      </c>
      <c r="V262" t="s">
        <v>57</v>
      </c>
      <c r="W262">
        <v>0</v>
      </c>
      <c r="X262">
        <v>0</v>
      </c>
      <c r="Y262">
        <v>0</v>
      </c>
      <c r="Z262">
        <v>0</v>
      </c>
      <c r="AA262" t="s">
        <v>67</v>
      </c>
      <c r="AB262">
        <v>0</v>
      </c>
      <c r="AC262">
        <v>0</v>
      </c>
      <c r="AD262">
        <v>0</v>
      </c>
      <c r="AE262">
        <v>0</v>
      </c>
      <c r="AF262" t="s">
        <v>60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s">
        <v>58</v>
      </c>
      <c r="AM262" t="s">
        <v>58</v>
      </c>
      <c r="AN262" t="s">
        <v>71</v>
      </c>
      <c r="AO262">
        <v>14</v>
      </c>
      <c r="AP262">
        <v>3</v>
      </c>
      <c r="AQ262">
        <v>12</v>
      </c>
      <c r="AR262">
        <v>11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s">
        <v>61</v>
      </c>
      <c r="BA262" t="s">
        <v>57</v>
      </c>
      <c r="BC262" t="s">
        <v>58</v>
      </c>
      <c r="BD262" t="s">
        <v>58</v>
      </c>
      <c r="BE262">
        <v>17</v>
      </c>
    </row>
    <row r="263" spans="1:57" x14ac:dyDescent="0.25">
      <c r="A263" t="s">
        <v>432</v>
      </c>
      <c r="B263">
        <v>174</v>
      </c>
      <c r="C263">
        <v>0</v>
      </c>
      <c r="D263">
        <v>0</v>
      </c>
      <c r="E263">
        <v>0</v>
      </c>
      <c r="F263" t="s">
        <v>171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163</v>
      </c>
      <c r="N263">
        <v>-1</v>
      </c>
      <c r="O263">
        <v>0</v>
      </c>
      <c r="P263">
        <v>-1</v>
      </c>
      <c r="Q263">
        <v>0</v>
      </c>
      <c r="R263" t="s">
        <v>70</v>
      </c>
      <c r="S263">
        <v>0</v>
      </c>
      <c r="T263">
        <v>0</v>
      </c>
      <c r="U263">
        <v>975</v>
      </c>
      <c r="V263" t="s">
        <v>57</v>
      </c>
      <c r="W263">
        <v>0</v>
      </c>
      <c r="X263">
        <v>0</v>
      </c>
      <c r="Y263">
        <v>0</v>
      </c>
      <c r="Z263">
        <v>0</v>
      </c>
      <c r="AA263" t="s">
        <v>67</v>
      </c>
      <c r="AB263">
        <v>0</v>
      </c>
      <c r="AC263">
        <v>0</v>
      </c>
      <c r="AD263">
        <v>0</v>
      </c>
      <c r="AE263">
        <v>0</v>
      </c>
      <c r="AF263" t="s">
        <v>60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s">
        <v>58</v>
      </c>
      <c r="AM263" t="s">
        <v>58</v>
      </c>
      <c r="AN263" t="s">
        <v>71</v>
      </c>
      <c r="AO263">
        <v>14</v>
      </c>
      <c r="AP263">
        <v>4</v>
      </c>
      <c r="AQ263">
        <v>12</v>
      </c>
      <c r="AR263">
        <v>11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s">
        <v>61</v>
      </c>
      <c r="BA263" t="s">
        <v>57</v>
      </c>
      <c r="BC263" t="s">
        <v>58</v>
      </c>
      <c r="BD263" t="s">
        <v>58</v>
      </c>
      <c r="BE263">
        <v>17</v>
      </c>
    </row>
    <row r="264" spans="1:57" x14ac:dyDescent="0.25">
      <c r="A264" t="s">
        <v>433</v>
      </c>
      <c r="B264">
        <v>178</v>
      </c>
      <c r="C264">
        <v>0</v>
      </c>
      <c r="D264">
        <v>0</v>
      </c>
      <c r="E264">
        <v>0</v>
      </c>
      <c r="F264" t="s">
        <v>159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165</v>
      </c>
      <c r="N264">
        <v>-1</v>
      </c>
      <c r="O264">
        <v>0</v>
      </c>
      <c r="P264">
        <v>-1</v>
      </c>
      <c r="Q264">
        <v>0</v>
      </c>
      <c r="R264" t="s">
        <v>70</v>
      </c>
      <c r="S264">
        <v>0</v>
      </c>
      <c r="T264">
        <v>0</v>
      </c>
      <c r="U264">
        <v>1220</v>
      </c>
      <c r="V264" t="s">
        <v>57</v>
      </c>
      <c r="W264">
        <v>0</v>
      </c>
      <c r="X264">
        <v>0</v>
      </c>
      <c r="Y264">
        <v>0</v>
      </c>
      <c r="Z264">
        <v>0</v>
      </c>
      <c r="AA264" t="s">
        <v>60</v>
      </c>
      <c r="AB264">
        <v>0</v>
      </c>
      <c r="AC264">
        <v>0</v>
      </c>
      <c r="AD264">
        <v>0</v>
      </c>
      <c r="AE264">
        <v>0</v>
      </c>
      <c r="AF264" t="s">
        <v>60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s">
        <v>58</v>
      </c>
      <c r="AM264" t="s">
        <v>58</v>
      </c>
      <c r="AN264" t="s">
        <v>71</v>
      </c>
      <c r="AO264">
        <v>14</v>
      </c>
      <c r="AP264">
        <v>8</v>
      </c>
      <c r="AQ264">
        <v>11</v>
      </c>
      <c r="AR264">
        <v>11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s">
        <v>61</v>
      </c>
      <c r="BA264" t="s">
        <v>57</v>
      </c>
      <c r="BC264" t="s">
        <v>58</v>
      </c>
      <c r="BD264" t="s">
        <v>58</v>
      </c>
      <c r="BE264">
        <v>17</v>
      </c>
    </row>
    <row r="265" spans="1:57" x14ac:dyDescent="0.25">
      <c r="A265" t="s">
        <v>434</v>
      </c>
      <c r="B265">
        <v>209</v>
      </c>
      <c r="C265">
        <v>0</v>
      </c>
      <c r="D265">
        <v>0</v>
      </c>
      <c r="E265">
        <v>0</v>
      </c>
      <c r="F265" t="s">
        <v>150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143</v>
      </c>
      <c r="N265">
        <v>-1</v>
      </c>
      <c r="O265">
        <v>0</v>
      </c>
      <c r="P265">
        <v>-1</v>
      </c>
      <c r="Q265">
        <v>0</v>
      </c>
      <c r="R265" t="s">
        <v>70</v>
      </c>
      <c r="S265">
        <v>0</v>
      </c>
      <c r="T265">
        <v>0</v>
      </c>
      <c r="U265">
        <v>780</v>
      </c>
      <c r="V265" t="s">
        <v>57</v>
      </c>
      <c r="W265">
        <v>0</v>
      </c>
      <c r="X265">
        <v>0</v>
      </c>
      <c r="Y265">
        <v>0</v>
      </c>
      <c r="Z265">
        <v>0</v>
      </c>
      <c r="AA265" t="s">
        <v>67</v>
      </c>
      <c r="AB265">
        <v>0</v>
      </c>
      <c r="AC265">
        <v>0</v>
      </c>
      <c r="AD265">
        <v>0</v>
      </c>
      <c r="AE265">
        <v>0</v>
      </c>
      <c r="AF265" t="s">
        <v>60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s">
        <v>58</v>
      </c>
      <c r="AM265" t="s">
        <v>58</v>
      </c>
      <c r="AN265" t="s">
        <v>71</v>
      </c>
      <c r="AO265">
        <v>14</v>
      </c>
      <c r="AP265">
        <v>11</v>
      </c>
      <c r="AQ265">
        <v>1</v>
      </c>
      <c r="AR265">
        <v>11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s">
        <v>61</v>
      </c>
      <c r="BA265" t="s">
        <v>57</v>
      </c>
      <c r="BC265" t="s">
        <v>58</v>
      </c>
      <c r="BD265" t="s">
        <v>58</v>
      </c>
      <c r="BE265">
        <v>17</v>
      </c>
    </row>
    <row r="266" spans="1:57" x14ac:dyDescent="0.25">
      <c r="A266" t="s">
        <v>435</v>
      </c>
      <c r="B266">
        <v>216</v>
      </c>
      <c r="C266">
        <v>0</v>
      </c>
      <c r="D266">
        <v>0</v>
      </c>
      <c r="E266">
        <v>0</v>
      </c>
      <c r="F266" t="s">
        <v>168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167</v>
      </c>
      <c r="N266">
        <v>-1</v>
      </c>
      <c r="O266">
        <v>0</v>
      </c>
      <c r="P266">
        <v>-1</v>
      </c>
      <c r="Q266">
        <v>0</v>
      </c>
      <c r="R266" t="s">
        <v>70</v>
      </c>
      <c r="S266">
        <v>0</v>
      </c>
      <c r="T266">
        <v>0</v>
      </c>
      <c r="U266">
        <v>965</v>
      </c>
      <c r="V266" t="s">
        <v>57</v>
      </c>
      <c r="W266">
        <v>0</v>
      </c>
      <c r="X266">
        <v>0</v>
      </c>
      <c r="Y266">
        <v>0</v>
      </c>
      <c r="Z266">
        <v>0</v>
      </c>
      <c r="AA266" t="s">
        <v>67</v>
      </c>
      <c r="AB266">
        <v>0</v>
      </c>
      <c r="AC266">
        <v>0</v>
      </c>
      <c r="AD266">
        <v>0</v>
      </c>
      <c r="AE266">
        <v>0</v>
      </c>
      <c r="AF266" t="s">
        <v>60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s">
        <v>58</v>
      </c>
      <c r="AM266" t="s">
        <v>58</v>
      </c>
      <c r="AN266" t="s">
        <v>71</v>
      </c>
      <c r="AO266">
        <v>14</v>
      </c>
      <c r="AP266">
        <v>12</v>
      </c>
      <c r="AQ266">
        <v>8</v>
      </c>
      <c r="AR266">
        <v>11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s">
        <v>61</v>
      </c>
      <c r="BA266" t="s">
        <v>57</v>
      </c>
      <c r="BC266" t="s">
        <v>58</v>
      </c>
      <c r="BD266" t="s">
        <v>58</v>
      </c>
      <c r="BE266">
        <v>17</v>
      </c>
    </row>
    <row r="267" spans="1:57" x14ac:dyDescent="0.25">
      <c r="A267" t="s">
        <v>436</v>
      </c>
      <c r="B267">
        <v>224</v>
      </c>
      <c r="C267">
        <v>0</v>
      </c>
      <c r="D267">
        <v>0</v>
      </c>
      <c r="E267">
        <v>0</v>
      </c>
      <c r="F267" t="s">
        <v>148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157</v>
      </c>
      <c r="N267">
        <v>-1</v>
      </c>
      <c r="O267">
        <v>0</v>
      </c>
      <c r="P267">
        <v>-1</v>
      </c>
      <c r="Q267">
        <v>0</v>
      </c>
      <c r="R267" t="s">
        <v>70</v>
      </c>
      <c r="S267">
        <v>0</v>
      </c>
      <c r="T267">
        <v>0</v>
      </c>
      <c r="U267">
        <v>1220</v>
      </c>
      <c r="V267" t="s">
        <v>57</v>
      </c>
      <c r="W267">
        <v>0</v>
      </c>
      <c r="X267">
        <v>0</v>
      </c>
      <c r="Y267">
        <v>0</v>
      </c>
      <c r="Z267">
        <v>0</v>
      </c>
      <c r="AA267" t="s">
        <v>68</v>
      </c>
      <c r="AB267">
        <v>0</v>
      </c>
      <c r="AC267">
        <v>0</v>
      </c>
      <c r="AD267">
        <v>0</v>
      </c>
      <c r="AE267">
        <v>0</v>
      </c>
      <c r="AF267" t="s">
        <v>68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s">
        <v>58</v>
      </c>
      <c r="AM267" t="s">
        <v>58</v>
      </c>
      <c r="AN267" t="s">
        <v>71</v>
      </c>
      <c r="AO267">
        <v>14</v>
      </c>
      <c r="AP267">
        <v>13</v>
      </c>
      <c r="AQ267">
        <v>13</v>
      </c>
      <c r="AR267">
        <v>11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s">
        <v>61</v>
      </c>
      <c r="BA267" t="s">
        <v>57</v>
      </c>
      <c r="BC267" t="s">
        <v>58</v>
      </c>
      <c r="BD267" t="s">
        <v>58</v>
      </c>
      <c r="BE267">
        <v>17</v>
      </c>
    </row>
    <row r="268" spans="1:57" x14ac:dyDescent="0.25">
      <c r="A268" t="s">
        <v>437</v>
      </c>
      <c r="B268">
        <v>231</v>
      </c>
      <c r="C268">
        <v>0</v>
      </c>
      <c r="D268">
        <v>0</v>
      </c>
      <c r="E268">
        <v>0</v>
      </c>
      <c r="F268" t="s">
        <v>153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170</v>
      </c>
      <c r="N268">
        <v>-1</v>
      </c>
      <c r="O268">
        <v>0</v>
      </c>
      <c r="P268">
        <v>-1</v>
      </c>
      <c r="Q268">
        <v>0</v>
      </c>
      <c r="R268" t="s">
        <v>70</v>
      </c>
      <c r="S268">
        <v>0</v>
      </c>
      <c r="T268">
        <v>0</v>
      </c>
      <c r="U268">
        <v>780</v>
      </c>
      <c r="V268" t="s">
        <v>57</v>
      </c>
      <c r="W268">
        <v>0</v>
      </c>
      <c r="X268">
        <v>0</v>
      </c>
      <c r="Y268">
        <v>0</v>
      </c>
      <c r="Z268">
        <v>0</v>
      </c>
      <c r="AA268" t="s">
        <v>67</v>
      </c>
      <c r="AB268">
        <v>0</v>
      </c>
      <c r="AC268">
        <v>0</v>
      </c>
      <c r="AD268">
        <v>0</v>
      </c>
      <c r="AE268">
        <v>0</v>
      </c>
      <c r="AF268" t="s">
        <v>60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s">
        <v>58</v>
      </c>
      <c r="AM268" t="s">
        <v>58</v>
      </c>
      <c r="AN268" t="s">
        <v>71</v>
      </c>
      <c r="AO268">
        <v>14</v>
      </c>
      <c r="AP268">
        <v>13</v>
      </c>
      <c r="AQ268">
        <v>4</v>
      </c>
      <c r="AR268">
        <v>11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s">
        <v>61</v>
      </c>
      <c r="BA268" t="s">
        <v>57</v>
      </c>
      <c r="BC268" t="s">
        <v>58</v>
      </c>
      <c r="BD268" t="s">
        <v>58</v>
      </c>
      <c r="BE268">
        <v>17</v>
      </c>
    </row>
    <row r="269" spans="1:57" x14ac:dyDescent="0.25">
      <c r="A269" t="s">
        <v>438</v>
      </c>
      <c r="B269">
        <v>281</v>
      </c>
      <c r="C269">
        <v>0</v>
      </c>
      <c r="D269">
        <v>0</v>
      </c>
      <c r="E269">
        <v>0</v>
      </c>
      <c r="F269" t="s">
        <v>145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144</v>
      </c>
      <c r="N269">
        <v>-1</v>
      </c>
      <c r="O269">
        <v>0</v>
      </c>
      <c r="P269">
        <v>-1</v>
      </c>
      <c r="Q269">
        <v>0</v>
      </c>
      <c r="R269" t="s">
        <v>70</v>
      </c>
      <c r="S269">
        <v>0</v>
      </c>
      <c r="T269">
        <v>0</v>
      </c>
      <c r="U269">
        <v>1220</v>
      </c>
      <c r="V269" t="s">
        <v>57</v>
      </c>
      <c r="W269">
        <v>0</v>
      </c>
      <c r="X269">
        <v>0</v>
      </c>
      <c r="Y269">
        <v>0</v>
      </c>
      <c r="Z269">
        <v>0</v>
      </c>
      <c r="AA269" t="s">
        <v>60</v>
      </c>
      <c r="AB269">
        <v>0</v>
      </c>
      <c r="AC269">
        <v>0</v>
      </c>
      <c r="AD269">
        <v>0</v>
      </c>
      <c r="AE269">
        <v>0</v>
      </c>
      <c r="AF269" t="s">
        <v>60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s">
        <v>58</v>
      </c>
      <c r="AM269" t="s">
        <v>58</v>
      </c>
      <c r="AN269" t="s">
        <v>71</v>
      </c>
      <c r="AO269">
        <v>14</v>
      </c>
      <c r="AP269">
        <v>12</v>
      </c>
      <c r="AQ269">
        <v>11</v>
      </c>
      <c r="AR269">
        <v>11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s">
        <v>61</v>
      </c>
      <c r="BA269" t="s">
        <v>57</v>
      </c>
      <c r="BC269" t="s">
        <v>58</v>
      </c>
      <c r="BD269" t="s">
        <v>58</v>
      </c>
      <c r="BE269">
        <v>17</v>
      </c>
    </row>
    <row r="270" spans="1:57" x14ac:dyDescent="0.25">
      <c r="A270" t="s">
        <v>439</v>
      </c>
      <c r="B270">
        <v>288</v>
      </c>
      <c r="C270">
        <v>0</v>
      </c>
      <c r="D270">
        <v>0</v>
      </c>
      <c r="E270">
        <v>0</v>
      </c>
      <c r="F270" t="s">
        <v>160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149</v>
      </c>
      <c r="N270">
        <v>-1</v>
      </c>
      <c r="O270">
        <v>0</v>
      </c>
      <c r="P270">
        <v>-1</v>
      </c>
      <c r="Q270">
        <v>0</v>
      </c>
      <c r="R270" t="s">
        <v>70</v>
      </c>
      <c r="S270">
        <v>0</v>
      </c>
      <c r="T270">
        <v>0</v>
      </c>
      <c r="U270">
        <v>780</v>
      </c>
      <c r="V270" t="s">
        <v>57</v>
      </c>
      <c r="W270">
        <v>0</v>
      </c>
      <c r="X270">
        <v>0</v>
      </c>
      <c r="Y270">
        <v>0</v>
      </c>
      <c r="Z270">
        <v>0</v>
      </c>
      <c r="AA270" t="s">
        <v>67</v>
      </c>
      <c r="AB270">
        <v>0</v>
      </c>
      <c r="AC270">
        <v>0</v>
      </c>
      <c r="AD270">
        <v>0</v>
      </c>
      <c r="AE270">
        <v>0</v>
      </c>
      <c r="AF270" t="s">
        <v>60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s">
        <v>58</v>
      </c>
      <c r="AM270" t="s">
        <v>58</v>
      </c>
      <c r="AN270" t="s">
        <v>71</v>
      </c>
      <c r="AO270">
        <v>14</v>
      </c>
      <c r="AP270">
        <v>15</v>
      </c>
      <c r="AQ270">
        <v>3</v>
      </c>
      <c r="AR270">
        <v>11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s">
        <v>61</v>
      </c>
      <c r="BA270" t="s">
        <v>57</v>
      </c>
      <c r="BC270" t="s">
        <v>58</v>
      </c>
      <c r="BD270" t="s">
        <v>58</v>
      </c>
      <c r="BE270">
        <v>17</v>
      </c>
    </row>
    <row r="271" spans="1:57" x14ac:dyDescent="0.25">
      <c r="A271" t="s">
        <v>440</v>
      </c>
      <c r="B271">
        <v>308</v>
      </c>
      <c r="C271">
        <v>0</v>
      </c>
      <c r="D271">
        <v>0</v>
      </c>
      <c r="E271">
        <v>0</v>
      </c>
      <c r="F271" t="s">
        <v>162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166</v>
      </c>
      <c r="N271">
        <v>-1</v>
      </c>
      <c r="O271">
        <v>0</v>
      </c>
      <c r="P271">
        <v>-1</v>
      </c>
      <c r="Q271">
        <v>0</v>
      </c>
      <c r="R271" t="s">
        <v>70</v>
      </c>
      <c r="S271">
        <v>0</v>
      </c>
      <c r="T271">
        <v>0</v>
      </c>
      <c r="U271">
        <v>780</v>
      </c>
      <c r="V271" t="s">
        <v>57</v>
      </c>
      <c r="W271">
        <v>0</v>
      </c>
      <c r="X271">
        <v>0</v>
      </c>
      <c r="Y271">
        <v>0</v>
      </c>
      <c r="Z271">
        <v>0</v>
      </c>
      <c r="AA271" t="s">
        <v>67</v>
      </c>
      <c r="AB271">
        <v>0</v>
      </c>
      <c r="AC271">
        <v>0</v>
      </c>
      <c r="AD271">
        <v>0</v>
      </c>
      <c r="AE271">
        <v>0</v>
      </c>
      <c r="AF271" t="s">
        <v>60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s">
        <v>58</v>
      </c>
      <c r="AM271" t="s">
        <v>58</v>
      </c>
      <c r="AN271" t="s">
        <v>71</v>
      </c>
      <c r="AO271">
        <v>14</v>
      </c>
      <c r="AP271">
        <v>16</v>
      </c>
      <c r="AQ271">
        <v>3</v>
      </c>
      <c r="AR271">
        <v>11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s">
        <v>61</v>
      </c>
      <c r="BA271" t="s">
        <v>57</v>
      </c>
      <c r="BC271" t="s">
        <v>58</v>
      </c>
      <c r="BD271" t="s">
        <v>58</v>
      </c>
      <c r="BE271">
        <v>17</v>
      </c>
    </row>
    <row r="272" spans="1:57" x14ac:dyDescent="0.25">
      <c r="A272" t="s">
        <v>441</v>
      </c>
      <c r="B272">
        <v>318</v>
      </c>
      <c r="C272">
        <v>0</v>
      </c>
      <c r="D272">
        <v>0</v>
      </c>
      <c r="E272">
        <v>0</v>
      </c>
      <c r="F272" t="s">
        <v>174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173</v>
      </c>
      <c r="N272">
        <v>-1</v>
      </c>
      <c r="O272">
        <v>0</v>
      </c>
      <c r="P272">
        <v>-1</v>
      </c>
      <c r="Q272">
        <v>0</v>
      </c>
      <c r="R272" t="s">
        <v>70</v>
      </c>
      <c r="S272">
        <v>0</v>
      </c>
      <c r="T272">
        <v>0</v>
      </c>
      <c r="U272">
        <v>965</v>
      </c>
      <c r="V272" t="s">
        <v>57</v>
      </c>
      <c r="W272">
        <v>0</v>
      </c>
      <c r="X272">
        <v>0</v>
      </c>
      <c r="Y272">
        <v>0</v>
      </c>
      <c r="Z272">
        <v>0</v>
      </c>
      <c r="AA272" t="s">
        <v>67</v>
      </c>
      <c r="AB272">
        <v>0</v>
      </c>
      <c r="AC272">
        <v>0</v>
      </c>
      <c r="AD272">
        <v>0</v>
      </c>
      <c r="AE272">
        <v>0</v>
      </c>
      <c r="AF272" t="s">
        <v>60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s">
        <v>58</v>
      </c>
      <c r="AM272" t="s">
        <v>58</v>
      </c>
      <c r="AN272" t="s">
        <v>71</v>
      </c>
      <c r="AO272">
        <v>14</v>
      </c>
      <c r="AP272">
        <v>17</v>
      </c>
      <c r="AQ272">
        <v>8</v>
      </c>
      <c r="AR272">
        <v>11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s">
        <v>61</v>
      </c>
      <c r="BA272" t="s">
        <v>57</v>
      </c>
      <c r="BC272" t="s">
        <v>58</v>
      </c>
      <c r="BD272" t="s">
        <v>58</v>
      </c>
      <c r="BE272">
        <v>17</v>
      </c>
    </row>
    <row r="273" spans="1:57" x14ac:dyDescent="0.25">
      <c r="A273" t="s">
        <v>442</v>
      </c>
      <c r="B273">
        <v>319</v>
      </c>
      <c r="C273">
        <v>0</v>
      </c>
      <c r="D273">
        <v>0</v>
      </c>
      <c r="E273">
        <v>0</v>
      </c>
      <c r="F273" t="s">
        <v>155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169</v>
      </c>
      <c r="N273">
        <v>-1</v>
      </c>
      <c r="O273">
        <v>0</v>
      </c>
      <c r="P273">
        <v>-1</v>
      </c>
      <c r="Q273">
        <v>0</v>
      </c>
      <c r="R273" t="s">
        <v>70</v>
      </c>
      <c r="S273">
        <v>0</v>
      </c>
      <c r="T273">
        <v>0</v>
      </c>
      <c r="U273">
        <v>780</v>
      </c>
      <c r="V273" t="s">
        <v>57</v>
      </c>
      <c r="W273">
        <v>0</v>
      </c>
      <c r="X273">
        <v>0</v>
      </c>
      <c r="Y273">
        <v>0</v>
      </c>
      <c r="Z273">
        <v>0</v>
      </c>
      <c r="AA273" t="s">
        <v>67</v>
      </c>
      <c r="AB273">
        <v>0</v>
      </c>
      <c r="AC273">
        <v>0</v>
      </c>
      <c r="AD273">
        <v>0</v>
      </c>
      <c r="AE273">
        <v>0</v>
      </c>
      <c r="AF273" t="s">
        <v>60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s">
        <v>58</v>
      </c>
      <c r="AM273" t="s">
        <v>58</v>
      </c>
      <c r="AN273" t="s">
        <v>71</v>
      </c>
      <c r="AO273">
        <v>14</v>
      </c>
      <c r="AP273">
        <v>17</v>
      </c>
      <c r="AQ273">
        <v>6</v>
      </c>
      <c r="AR273">
        <v>11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s">
        <v>61</v>
      </c>
      <c r="BA273" t="s">
        <v>57</v>
      </c>
      <c r="BC273" t="s">
        <v>58</v>
      </c>
      <c r="BD273" t="s">
        <v>58</v>
      </c>
      <c r="BE273">
        <v>17</v>
      </c>
    </row>
  </sheetData>
  <autoFilter ref="A1:BE273" xr:uid="{A8BCCC05-1366-46BB-85D0-091A82DC50DF}">
    <sortState xmlns:xlrd2="http://schemas.microsoft.com/office/spreadsheetml/2017/richdata2" ref="A2:BE273">
      <sortCondition ref="BE1:BE27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E36B-A6BA-4BB3-BC67-E0D4D3C25836}">
  <dimension ref="A1:B430"/>
  <sheetViews>
    <sheetView workbookViewId="0"/>
  </sheetViews>
  <sheetFormatPr defaultRowHeight="15.75" x14ac:dyDescent="0.25"/>
  <cols>
    <col min="1" max="2" width="33.625" bestFit="1" customWidth="1"/>
  </cols>
  <sheetData>
    <row r="1" spans="1:2" x14ac:dyDescent="0.25">
      <c r="A1" t="s">
        <v>3</v>
      </c>
      <c r="B1" t="s">
        <v>7</v>
      </c>
    </row>
    <row r="2" spans="1:2" x14ac:dyDescent="0.25">
      <c r="A2" t="s">
        <v>523</v>
      </c>
      <c r="B2" t="s">
        <v>525</v>
      </c>
    </row>
    <row r="3" spans="1:2" x14ac:dyDescent="0.25">
      <c r="A3" t="s">
        <v>541</v>
      </c>
      <c r="B3" t="s">
        <v>524</v>
      </c>
    </row>
    <row r="4" spans="1:2" x14ac:dyDescent="0.25">
      <c r="A4" t="s">
        <v>527</v>
      </c>
      <c r="B4" t="s">
        <v>532</v>
      </c>
    </row>
    <row r="5" spans="1:2" x14ac:dyDescent="0.25">
      <c r="A5" t="s">
        <v>515</v>
      </c>
      <c r="B5" t="s">
        <v>530</v>
      </c>
    </row>
    <row r="6" spans="1:2" x14ac:dyDescent="0.25">
      <c r="A6" t="s">
        <v>511</v>
      </c>
      <c r="B6" t="s">
        <v>522</v>
      </c>
    </row>
    <row r="7" spans="1:2" x14ac:dyDescent="0.25">
      <c r="A7" t="s">
        <v>536</v>
      </c>
      <c r="B7" t="s">
        <v>521</v>
      </c>
    </row>
    <row r="8" spans="1:2" x14ac:dyDescent="0.25">
      <c r="A8" t="s">
        <v>516</v>
      </c>
      <c r="B8" t="s">
        <v>533</v>
      </c>
    </row>
    <row r="9" spans="1:2" x14ac:dyDescent="0.25">
      <c r="A9" t="s">
        <v>513</v>
      </c>
      <c r="B9" t="s">
        <v>536</v>
      </c>
    </row>
    <row r="10" spans="1:2" x14ac:dyDescent="0.25">
      <c r="A10" t="s">
        <v>519</v>
      </c>
      <c r="B10" t="s">
        <v>520</v>
      </c>
    </row>
    <row r="11" spans="1:2" x14ac:dyDescent="0.25">
      <c r="A11" t="s">
        <v>538</v>
      </c>
      <c r="B11" t="s">
        <v>540</v>
      </c>
    </row>
    <row r="12" spans="1:2" x14ac:dyDescent="0.25">
      <c r="A12" t="s">
        <v>512</v>
      </c>
      <c r="B12" t="s">
        <v>529</v>
      </c>
    </row>
    <row r="13" spans="1:2" x14ac:dyDescent="0.25">
      <c r="A13" t="s">
        <v>518</v>
      </c>
      <c r="B13" t="s">
        <v>514</v>
      </c>
    </row>
    <row r="14" spans="1:2" x14ac:dyDescent="0.25">
      <c r="A14" t="s">
        <v>54</v>
      </c>
      <c r="B14" t="s">
        <v>54</v>
      </c>
    </row>
    <row r="15" spans="1:2" x14ac:dyDescent="0.25">
      <c r="A15" t="s">
        <v>542</v>
      </c>
      <c r="B15" t="s">
        <v>539</v>
      </c>
    </row>
    <row r="16" spans="1:2" x14ac:dyDescent="0.25">
      <c r="A16" t="s">
        <v>518</v>
      </c>
      <c r="B16" t="s">
        <v>542</v>
      </c>
    </row>
    <row r="17" spans="1:2" x14ac:dyDescent="0.25">
      <c r="A17" t="s">
        <v>517</v>
      </c>
      <c r="B17" t="s">
        <v>514</v>
      </c>
    </row>
    <row r="18" spans="1:2" x14ac:dyDescent="0.25">
      <c r="A18" t="s">
        <v>514</v>
      </c>
      <c r="B18" t="s">
        <v>539</v>
      </c>
    </row>
    <row r="19" spans="1:2" x14ac:dyDescent="0.25">
      <c r="A19" t="s">
        <v>532</v>
      </c>
      <c r="B19" t="s">
        <v>526</v>
      </c>
    </row>
    <row r="20" spans="1:2" x14ac:dyDescent="0.25">
      <c r="A20" t="s">
        <v>525</v>
      </c>
      <c r="B20" t="s">
        <v>529</v>
      </c>
    </row>
    <row r="21" spans="1:2" x14ac:dyDescent="0.25">
      <c r="A21" t="s">
        <v>513</v>
      </c>
      <c r="B21" t="s">
        <v>528</v>
      </c>
    </row>
    <row r="22" spans="1:2" x14ac:dyDescent="0.25">
      <c r="A22" t="s">
        <v>517</v>
      </c>
      <c r="B22" t="s">
        <v>535</v>
      </c>
    </row>
    <row r="23" spans="1:2" x14ac:dyDescent="0.25">
      <c r="A23" t="s">
        <v>538</v>
      </c>
      <c r="B23" t="s">
        <v>516</v>
      </c>
    </row>
    <row r="24" spans="1:2" x14ac:dyDescent="0.25">
      <c r="A24" t="s">
        <v>533</v>
      </c>
      <c r="B24" t="s">
        <v>528</v>
      </c>
    </row>
    <row r="25" spans="1:2" x14ac:dyDescent="0.25">
      <c r="A25" t="s">
        <v>518</v>
      </c>
      <c r="B25" t="s">
        <v>531</v>
      </c>
    </row>
    <row r="26" spans="1:2" x14ac:dyDescent="0.25">
      <c r="A26" t="s">
        <v>523</v>
      </c>
      <c r="B26" t="s">
        <v>512</v>
      </c>
    </row>
    <row r="27" spans="1:2" x14ac:dyDescent="0.25">
      <c r="A27" t="s">
        <v>526</v>
      </c>
      <c r="B27" t="s">
        <v>537</v>
      </c>
    </row>
    <row r="28" spans="1:2" x14ac:dyDescent="0.25">
      <c r="A28" t="s">
        <v>532</v>
      </c>
      <c r="B28" t="s">
        <v>541</v>
      </c>
    </row>
    <row r="29" spans="1:2" x14ac:dyDescent="0.25">
      <c r="A29" t="s">
        <v>527</v>
      </c>
      <c r="B29" t="s">
        <v>520</v>
      </c>
    </row>
    <row r="30" spans="1:2" x14ac:dyDescent="0.25">
      <c r="A30" t="s">
        <v>530</v>
      </c>
      <c r="B30" t="s">
        <v>541</v>
      </c>
    </row>
    <row r="31" spans="1:2" x14ac:dyDescent="0.25">
      <c r="A31" t="s">
        <v>537</v>
      </c>
      <c r="B31" t="s">
        <v>540</v>
      </c>
    </row>
    <row r="32" spans="1:2" x14ac:dyDescent="0.25">
      <c r="A32" t="s">
        <v>535</v>
      </c>
      <c r="B32" t="s">
        <v>526</v>
      </c>
    </row>
    <row r="33" spans="1:2" x14ac:dyDescent="0.25">
      <c r="A33" t="s">
        <v>535</v>
      </c>
      <c r="B33" t="s">
        <v>511</v>
      </c>
    </row>
    <row r="34" spans="1:2" x14ac:dyDescent="0.25">
      <c r="A34" t="s">
        <v>529</v>
      </c>
      <c r="B34" t="s">
        <v>526</v>
      </c>
    </row>
    <row r="35" spans="1:2" x14ac:dyDescent="0.25">
      <c r="A35" t="s">
        <v>534</v>
      </c>
      <c r="B35" t="s">
        <v>537</v>
      </c>
    </row>
    <row r="36" spans="1:2" x14ac:dyDescent="0.25">
      <c r="A36" t="s">
        <v>538</v>
      </c>
      <c r="B36" t="s">
        <v>521</v>
      </c>
    </row>
    <row r="37" spans="1:2" x14ac:dyDescent="0.25">
      <c r="A37" t="s">
        <v>530</v>
      </c>
      <c r="B37" t="s">
        <v>511</v>
      </c>
    </row>
    <row r="38" spans="1:2" x14ac:dyDescent="0.25">
      <c r="A38" t="s">
        <v>520</v>
      </c>
      <c r="B38" t="s">
        <v>523</v>
      </c>
    </row>
    <row r="39" spans="1:2" x14ac:dyDescent="0.25">
      <c r="A39" t="s">
        <v>525</v>
      </c>
      <c r="B39" t="s">
        <v>515</v>
      </c>
    </row>
    <row r="40" spans="1:2" x14ac:dyDescent="0.25">
      <c r="A40" t="s">
        <v>516</v>
      </c>
      <c r="B40" t="s">
        <v>529</v>
      </c>
    </row>
    <row r="41" spans="1:2" x14ac:dyDescent="0.25">
      <c r="A41" t="s">
        <v>528</v>
      </c>
      <c r="B41" t="s">
        <v>519</v>
      </c>
    </row>
    <row r="42" spans="1:2" x14ac:dyDescent="0.25">
      <c r="A42" t="s">
        <v>524</v>
      </c>
      <c r="B42" t="s">
        <v>513</v>
      </c>
    </row>
    <row r="43" spans="1:2" x14ac:dyDescent="0.25">
      <c r="A43" t="s">
        <v>521</v>
      </c>
      <c r="B43" t="s">
        <v>524</v>
      </c>
    </row>
    <row r="44" spans="1:2" x14ac:dyDescent="0.25">
      <c r="A44" t="s">
        <v>522</v>
      </c>
      <c r="B44" t="s">
        <v>533</v>
      </c>
    </row>
    <row r="45" spans="1:2" x14ac:dyDescent="0.25">
      <c r="A45" t="s">
        <v>517</v>
      </c>
      <c r="B45" t="s">
        <v>542</v>
      </c>
    </row>
    <row r="46" spans="1:2" x14ac:dyDescent="0.25">
      <c r="A46" t="s">
        <v>534</v>
      </c>
      <c r="B46" t="s">
        <v>531</v>
      </c>
    </row>
    <row r="47" spans="1:2" x14ac:dyDescent="0.25">
      <c r="A47" t="s">
        <v>515</v>
      </c>
      <c r="B47" t="s">
        <v>534</v>
      </c>
    </row>
    <row r="48" spans="1:2" x14ac:dyDescent="0.25">
      <c r="A48" t="s">
        <v>539</v>
      </c>
      <c r="B48" t="s">
        <v>522</v>
      </c>
    </row>
    <row r="49" spans="1:2" x14ac:dyDescent="0.25">
      <c r="A49" t="s">
        <v>523</v>
      </c>
      <c r="B49" t="s">
        <v>511</v>
      </c>
    </row>
    <row r="50" spans="1:2" x14ac:dyDescent="0.25">
      <c r="A50" t="s">
        <v>537</v>
      </c>
      <c r="B50" t="s">
        <v>531</v>
      </c>
    </row>
    <row r="51" spans="1:2" x14ac:dyDescent="0.25">
      <c r="A51" t="s">
        <v>512</v>
      </c>
      <c r="B51" t="s">
        <v>538</v>
      </c>
    </row>
    <row r="52" spans="1:2" x14ac:dyDescent="0.25">
      <c r="A52" t="s">
        <v>528</v>
      </c>
      <c r="B52" t="s">
        <v>513</v>
      </c>
    </row>
    <row r="53" spans="1:2" x14ac:dyDescent="0.25">
      <c r="A53" t="s">
        <v>540</v>
      </c>
      <c r="B53" t="s">
        <v>521</v>
      </c>
    </row>
    <row r="54" spans="1:2" x14ac:dyDescent="0.25">
      <c r="A54" t="s">
        <v>519</v>
      </c>
      <c r="B54" t="s">
        <v>516</v>
      </c>
    </row>
    <row r="55" spans="1:2" x14ac:dyDescent="0.25">
      <c r="A55" t="s">
        <v>536</v>
      </c>
      <c r="B55" t="s">
        <v>531</v>
      </c>
    </row>
    <row r="56" spans="1:2" x14ac:dyDescent="0.25">
      <c r="A56" t="s">
        <v>534</v>
      </c>
      <c r="B56" t="s">
        <v>515</v>
      </c>
    </row>
    <row r="57" spans="1:2" x14ac:dyDescent="0.25">
      <c r="A57" t="s">
        <v>520</v>
      </c>
      <c r="B57" t="s">
        <v>532</v>
      </c>
    </row>
    <row r="58" spans="1:2" x14ac:dyDescent="0.25">
      <c r="A58" t="s">
        <v>534</v>
      </c>
      <c r="B58" t="s">
        <v>518</v>
      </c>
    </row>
    <row r="59" spans="1:2" x14ac:dyDescent="0.25">
      <c r="A59" t="s">
        <v>525</v>
      </c>
      <c r="B59" t="s">
        <v>535</v>
      </c>
    </row>
    <row r="60" spans="1:2" x14ac:dyDescent="0.25">
      <c r="A60" t="s">
        <v>539</v>
      </c>
      <c r="B60" t="s">
        <v>527</v>
      </c>
    </row>
    <row r="61" spans="1:2" x14ac:dyDescent="0.25">
      <c r="A61" t="s">
        <v>517</v>
      </c>
      <c r="B61" t="s">
        <v>536</v>
      </c>
    </row>
    <row r="62" spans="1:2" x14ac:dyDescent="0.25">
      <c r="A62" t="s">
        <v>527</v>
      </c>
      <c r="B62" t="s">
        <v>532</v>
      </c>
    </row>
    <row r="63" spans="1:2" x14ac:dyDescent="0.25">
      <c r="A63" t="s">
        <v>522</v>
      </c>
      <c r="B63" t="s">
        <v>519</v>
      </c>
    </row>
    <row r="64" spans="1:2" x14ac:dyDescent="0.25">
      <c r="A64" t="s">
        <v>515</v>
      </c>
      <c r="B64" t="s">
        <v>540</v>
      </c>
    </row>
    <row r="65" spans="1:2" x14ac:dyDescent="0.25">
      <c r="A65" t="s">
        <v>512</v>
      </c>
      <c r="B65" t="s">
        <v>517</v>
      </c>
    </row>
    <row r="66" spans="1:2" x14ac:dyDescent="0.25">
      <c r="A66" t="s">
        <v>522</v>
      </c>
      <c r="B66" t="s">
        <v>512</v>
      </c>
    </row>
    <row r="67" spans="1:2" x14ac:dyDescent="0.25">
      <c r="A67" t="s">
        <v>535</v>
      </c>
      <c r="B67" t="s">
        <v>520</v>
      </c>
    </row>
    <row r="68" spans="1:2" x14ac:dyDescent="0.25">
      <c r="A68" t="s">
        <v>526</v>
      </c>
      <c r="B68" t="s">
        <v>528</v>
      </c>
    </row>
    <row r="69" spans="1:2" x14ac:dyDescent="0.25">
      <c r="A69" t="s">
        <v>514</v>
      </c>
      <c r="B69" t="s">
        <v>521</v>
      </c>
    </row>
    <row r="70" spans="1:2" x14ac:dyDescent="0.25">
      <c r="A70" t="s">
        <v>541</v>
      </c>
      <c r="B70" t="s">
        <v>514</v>
      </c>
    </row>
    <row r="71" spans="1:2" x14ac:dyDescent="0.25">
      <c r="A71" t="s">
        <v>513</v>
      </c>
      <c r="B71" t="s">
        <v>541</v>
      </c>
    </row>
    <row r="72" spans="1:2" x14ac:dyDescent="0.25">
      <c r="A72" t="s">
        <v>520</v>
      </c>
      <c r="B72" t="s">
        <v>536</v>
      </c>
    </row>
    <row r="73" spans="1:2" x14ac:dyDescent="0.25">
      <c r="A73" t="s">
        <v>539</v>
      </c>
      <c r="B73" t="s">
        <v>525</v>
      </c>
    </row>
    <row r="74" spans="1:2" x14ac:dyDescent="0.25">
      <c r="A74" t="s">
        <v>538</v>
      </c>
      <c r="B74" t="s">
        <v>542</v>
      </c>
    </row>
    <row r="75" spans="1:2" x14ac:dyDescent="0.25">
      <c r="A75" t="s">
        <v>542</v>
      </c>
      <c r="B75" t="s">
        <v>530</v>
      </c>
    </row>
    <row r="76" spans="1:2" x14ac:dyDescent="0.25">
      <c r="A76" t="s">
        <v>511</v>
      </c>
      <c r="B76" t="s">
        <v>522</v>
      </c>
    </row>
    <row r="77" spans="1:2" x14ac:dyDescent="0.25">
      <c r="A77" t="s">
        <v>524</v>
      </c>
      <c r="B77" t="s">
        <v>512</v>
      </c>
    </row>
    <row r="78" spans="1:2" x14ac:dyDescent="0.25">
      <c r="A78" t="s">
        <v>533</v>
      </c>
      <c r="B78" t="s">
        <v>527</v>
      </c>
    </row>
    <row r="79" spans="1:2" x14ac:dyDescent="0.25">
      <c r="A79" t="s">
        <v>518</v>
      </c>
      <c r="B79" t="s">
        <v>540</v>
      </c>
    </row>
    <row r="80" spans="1:2" x14ac:dyDescent="0.25">
      <c r="A80" t="s">
        <v>537</v>
      </c>
      <c r="B80" t="s">
        <v>529</v>
      </c>
    </row>
    <row r="81" spans="1:2" x14ac:dyDescent="0.25">
      <c r="A81" t="s">
        <v>535</v>
      </c>
      <c r="B81" t="s">
        <v>526</v>
      </c>
    </row>
    <row r="82" spans="1:2" x14ac:dyDescent="0.25">
      <c r="A82" t="s">
        <v>511</v>
      </c>
      <c r="B82" t="s">
        <v>529</v>
      </c>
    </row>
    <row r="83" spans="1:2" x14ac:dyDescent="0.25">
      <c r="A83" t="s">
        <v>516</v>
      </c>
      <c r="B83" t="s">
        <v>524</v>
      </c>
    </row>
    <row r="84" spans="1:2" x14ac:dyDescent="0.25">
      <c r="A84" t="s">
        <v>514</v>
      </c>
      <c r="B84" t="s">
        <v>531</v>
      </c>
    </row>
    <row r="85" spans="1:2" x14ac:dyDescent="0.25">
      <c r="A85" t="s">
        <v>518</v>
      </c>
      <c r="B85" t="s">
        <v>532</v>
      </c>
    </row>
    <row r="86" spans="1:2" x14ac:dyDescent="0.25">
      <c r="A86" t="s">
        <v>530</v>
      </c>
      <c r="B86" t="s">
        <v>534</v>
      </c>
    </row>
    <row r="87" spans="1:2" x14ac:dyDescent="0.25">
      <c r="A87" t="s">
        <v>517</v>
      </c>
      <c r="B87" t="s">
        <v>539</v>
      </c>
    </row>
    <row r="88" spans="1:2" x14ac:dyDescent="0.25">
      <c r="A88" t="s">
        <v>532</v>
      </c>
      <c r="B88" t="s">
        <v>533</v>
      </c>
    </row>
    <row r="89" spans="1:2" x14ac:dyDescent="0.25">
      <c r="A89" t="s">
        <v>523</v>
      </c>
      <c r="B89" t="s">
        <v>528</v>
      </c>
    </row>
    <row r="90" spans="1:2" x14ac:dyDescent="0.25">
      <c r="A90" t="s">
        <v>523</v>
      </c>
      <c r="B90" t="s">
        <v>530</v>
      </c>
    </row>
    <row r="91" spans="1:2" x14ac:dyDescent="0.25">
      <c r="A91" t="s">
        <v>519</v>
      </c>
      <c r="B91" t="s">
        <v>538</v>
      </c>
    </row>
    <row r="92" spans="1:2" x14ac:dyDescent="0.25">
      <c r="A92" t="s">
        <v>538</v>
      </c>
      <c r="B92" t="s">
        <v>533</v>
      </c>
    </row>
    <row r="93" spans="1:2" x14ac:dyDescent="0.25">
      <c r="A93" t="s">
        <v>540</v>
      </c>
      <c r="B93" t="s">
        <v>537</v>
      </c>
    </row>
    <row r="94" spans="1:2" x14ac:dyDescent="0.25">
      <c r="A94" t="s">
        <v>536</v>
      </c>
      <c r="B94" t="s">
        <v>534</v>
      </c>
    </row>
    <row r="95" spans="1:2" x14ac:dyDescent="0.25">
      <c r="A95" t="s">
        <v>535</v>
      </c>
      <c r="B95" t="s">
        <v>512</v>
      </c>
    </row>
    <row r="96" spans="1:2" x14ac:dyDescent="0.25">
      <c r="A96" t="s">
        <v>516</v>
      </c>
      <c r="B96" t="s">
        <v>541</v>
      </c>
    </row>
    <row r="97" spans="1:2" x14ac:dyDescent="0.25">
      <c r="A97" t="s">
        <v>537</v>
      </c>
      <c r="B97" t="s">
        <v>515</v>
      </c>
    </row>
    <row r="98" spans="1:2" x14ac:dyDescent="0.25">
      <c r="A98" t="s">
        <v>517</v>
      </c>
      <c r="B98" t="s">
        <v>520</v>
      </c>
    </row>
    <row r="99" spans="1:2" x14ac:dyDescent="0.25">
      <c r="A99" t="s">
        <v>542</v>
      </c>
      <c r="B99" t="s">
        <v>519</v>
      </c>
    </row>
    <row r="100" spans="1:2" x14ac:dyDescent="0.25">
      <c r="A100" t="s">
        <v>515</v>
      </c>
      <c r="B100" t="s">
        <v>511</v>
      </c>
    </row>
    <row r="101" spans="1:2" x14ac:dyDescent="0.25">
      <c r="A101" t="s">
        <v>522</v>
      </c>
      <c r="B101" t="s">
        <v>525</v>
      </c>
    </row>
    <row r="102" spans="1:2" x14ac:dyDescent="0.25">
      <c r="A102" t="s">
        <v>521</v>
      </c>
      <c r="B102" t="s">
        <v>535</v>
      </c>
    </row>
    <row r="103" spans="1:2" x14ac:dyDescent="0.25">
      <c r="A103" t="s">
        <v>525</v>
      </c>
      <c r="B103" t="s">
        <v>516</v>
      </c>
    </row>
    <row r="104" spans="1:2" x14ac:dyDescent="0.25">
      <c r="A104" t="s">
        <v>526</v>
      </c>
      <c r="B104" t="s">
        <v>519</v>
      </c>
    </row>
    <row r="105" spans="1:2" x14ac:dyDescent="0.25">
      <c r="A105" t="s">
        <v>531</v>
      </c>
      <c r="B105" t="s">
        <v>536</v>
      </c>
    </row>
    <row r="106" spans="1:2" x14ac:dyDescent="0.25">
      <c r="A106" t="s">
        <v>513</v>
      </c>
      <c r="B106" t="s">
        <v>529</v>
      </c>
    </row>
    <row r="107" spans="1:2" x14ac:dyDescent="0.25">
      <c r="A107" t="s">
        <v>519</v>
      </c>
      <c r="B107" t="s">
        <v>533</v>
      </c>
    </row>
    <row r="108" spans="1:2" x14ac:dyDescent="0.25">
      <c r="A108" t="s">
        <v>524</v>
      </c>
      <c r="B108" t="s">
        <v>541</v>
      </c>
    </row>
    <row r="109" spans="1:2" x14ac:dyDescent="0.25">
      <c r="A109" t="s">
        <v>540</v>
      </c>
      <c r="B109" t="s">
        <v>536</v>
      </c>
    </row>
    <row r="110" spans="1:2" x14ac:dyDescent="0.25">
      <c r="A110" t="s">
        <v>533</v>
      </c>
      <c r="B110" t="s">
        <v>518</v>
      </c>
    </row>
    <row r="111" spans="1:2" x14ac:dyDescent="0.25">
      <c r="A111" t="s">
        <v>516</v>
      </c>
      <c r="B111" t="s">
        <v>521</v>
      </c>
    </row>
    <row r="112" spans="1:2" x14ac:dyDescent="0.25">
      <c r="A112" t="s">
        <v>540</v>
      </c>
      <c r="B112" t="s">
        <v>532</v>
      </c>
    </row>
    <row r="113" spans="1:2" x14ac:dyDescent="0.25">
      <c r="A113" t="s">
        <v>542</v>
      </c>
      <c r="B113" t="s">
        <v>514</v>
      </c>
    </row>
    <row r="114" spans="1:2" x14ac:dyDescent="0.25">
      <c r="A114" t="s">
        <v>529</v>
      </c>
      <c r="B114" t="s">
        <v>523</v>
      </c>
    </row>
    <row r="115" spans="1:2" x14ac:dyDescent="0.25">
      <c r="A115" t="s">
        <v>542</v>
      </c>
      <c r="B115" t="s">
        <v>527</v>
      </c>
    </row>
    <row r="116" spans="1:2" x14ac:dyDescent="0.25">
      <c r="A116" t="s">
        <v>540</v>
      </c>
      <c r="B116" t="s">
        <v>530</v>
      </c>
    </row>
    <row r="117" spans="1:2" x14ac:dyDescent="0.25">
      <c r="A117" t="s">
        <v>534</v>
      </c>
      <c r="B117" t="s">
        <v>517</v>
      </c>
    </row>
    <row r="118" spans="1:2" x14ac:dyDescent="0.25">
      <c r="A118" t="s">
        <v>518</v>
      </c>
      <c r="B118" t="s">
        <v>530</v>
      </c>
    </row>
    <row r="119" spans="1:2" x14ac:dyDescent="0.25">
      <c r="A119" t="s">
        <v>521</v>
      </c>
      <c r="B119" t="s">
        <v>527</v>
      </c>
    </row>
    <row r="120" spans="1:2" x14ac:dyDescent="0.25">
      <c r="A120" t="s">
        <v>513</v>
      </c>
      <c r="B120" t="s">
        <v>518</v>
      </c>
    </row>
    <row r="121" spans="1:2" x14ac:dyDescent="0.25">
      <c r="A121" t="s">
        <v>531</v>
      </c>
      <c r="B121" t="s">
        <v>523</v>
      </c>
    </row>
    <row r="122" spans="1:2" x14ac:dyDescent="0.25">
      <c r="A122" t="s">
        <v>524</v>
      </c>
      <c r="B122" t="s">
        <v>539</v>
      </c>
    </row>
    <row r="123" spans="1:2" x14ac:dyDescent="0.25">
      <c r="A123" t="s">
        <v>516</v>
      </c>
      <c r="B123" t="s">
        <v>522</v>
      </c>
    </row>
    <row r="124" spans="1:2" x14ac:dyDescent="0.25">
      <c r="A124" t="s">
        <v>525</v>
      </c>
      <c r="B124" t="s">
        <v>524</v>
      </c>
    </row>
    <row r="125" spans="1:2" x14ac:dyDescent="0.25">
      <c r="A125" t="s">
        <v>532</v>
      </c>
      <c r="B125" t="s">
        <v>530</v>
      </c>
    </row>
    <row r="126" spans="1:2" x14ac:dyDescent="0.25">
      <c r="A126" t="s">
        <v>531</v>
      </c>
      <c r="B126" t="s">
        <v>537</v>
      </c>
    </row>
    <row r="127" spans="1:2" x14ac:dyDescent="0.25">
      <c r="A127" t="s">
        <v>512</v>
      </c>
      <c r="B127" t="s">
        <v>519</v>
      </c>
    </row>
    <row r="128" spans="1:2" x14ac:dyDescent="0.25">
      <c r="A128" t="s">
        <v>527</v>
      </c>
      <c r="B128" t="s">
        <v>526</v>
      </c>
    </row>
    <row r="129" spans="1:2" x14ac:dyDescent="0.25">
      <c r="A129" t="s">
        <v>520</v>
      </c>
      <c r="B129" t="s">
        <v>522</v>
      </c>
    </row>
    <row r="130" spans="1:2" x14ac:dyDescent="0.25">
      <c r="A130" t="s">
        <v>513</v>
      </c>
      <c r="B130" t="s">
        <v>523</v>
      </c>
    </row>
    <row r="131" spans="1:2" x14ac:dyDescent="0.25">
      <c r="A131" t="s">
        <v>512</v>
      </c>
      <c r="B131" t="s">
        <v>528</v>
      </c>
    </row>
    <row r="132" spans="1:2" x14ac:dyDescent="0.25">
      <c r="A132" t="s">
        <v>542</v>
      </c>
      <c r="B132" t="s">
        <v>533</v>
      </c>
    </row>
    <row r="133" spans="1:2" x14ac:dyDescent="0.25">
      <c r="A133" t="s">
        <v>528</v>
      </c>
      <c r="B133" t="s">
        <v>539</v>
      </c>
    </row>
    <row r="134" spans="1:2" x14ac:dyDescent="0.25">
      <c r="A134" t="s">
        <v>514</v>
      </c>
      <c r="B134" t="s">
        <v>541</v>
      </c>
    </row>
    <row r="135" spans="1:2" x14ac:dyDescent="0.25">
      <c r="A135" t="s">
        <v>541</v>
      </c>
      <c r="B135" t="s">
        <v>512</v>
      </c>
    </row>
    <row r="136" spans="1:2" x14ac:dyDescent="0.25">
      <c r="A136" t="s">
        <v>527</v>
      </c>
      <c r="B136" t="s">
        <v>538</v>
      </c>
    </row>
    <row r="137" spans="1:2" x14ac:dyDescent="0.25">
      <c r="A137" t="s">
        <v>511</v>
      </c>
      <c r="B137" t="s">
        <v>517</v>
      </c>
    </row>
    <row r="138" spans="1:2" x14ac:dyDescent="0.25">
      <c r="A138" t="s">
        <v>529</v>
      </c>
      <c r="B138" t="s">
        <v>513</v>
      </c>
    </row>
    <row r="139" spans="1:2" x14ac:dyDescent="0.25">
      <c r="A139" t="s">
        <v>525</v>
      </c>
      <c r="B139" t="s">
        <v>539</v>
      </c>
    </row>
    <row r="140" spans="1:2" x14ac:dyDescent="0.25">
      <c r="A140" t="s">
        <v>515</v>
      </c>
      <c r="B140" t="s">
        <v>536</v>
      </c>
    </row>
    <row r="141" spans="1:2" x14ac:dyDescent="0.25">
      <c r="A141" t="s">
        <v>524</v>
      </c>
      <c r="B141" t="s">
        <v>535</v>
      </c>
    </row>
    <row r="142" spans="1:2" x14ac:dyDescent="0.25">
      <c r="A142" t="s">
        <v>541</v>
      </c>
      <c r="B142" t="s">
        <v>521</v>
      </c>
    </row>
    <row r="143" spans="1:2" x14ac:dyDescent="0.25">
      <c r="A143" t="s">
        <v>511</v>
      </c>
      <c r="B143" t="s">
        <v>537</v>
      </c>
    </row>
    <row r="144" spans="1:2" x14ac:dyDescent="0.25">
      <c r="A144" t="s">
        <v>526</v>
      </c>
      <c r="B144" t="s">
        <v>511</v>
      </c>
    </row>
    <row r="145" spans="1:2" x14ac:dyDescent="0.25">
      <c r="A145" t="s">
        <v>534</v>
      </c>
      <c r="B145" t="s">
        <v>520</v>
      </c>
    </row>
    <row r="146" spans="1:2" x14ac:dyDescent="0.25">
      <c r="A146" t="s">
        <v>537</v>
      </c>
      <c r="B146" t="s">
        <v>538</v>
      </c>
    </row>
    <row r="147" spans="1:2" x14ac:dyDescent="0.25">
      <c r="A147" t="s">
        <v>511</v>
      </c>
      <c r="B147" t="s">
        <v>513</v>
      </c>
    </row>
    <row r="148" spans="1:2" x14ac:dyDescent="0.25">
      <c r="A148" t="s">
        <v>517</v>
      </c>
      <c r="B148" t="s">
        <v>518</v>
      </c>
    </row>
    <row r="149" spans="1:2" x14ac:dyDescent="0.25">
      <c r="A149" t="s">
        <v>515</v>
      </c>
      <c r="B149" t="s">
        <v>523</v>
      </c>
    </row>
    <row r="150" spans="1:2" x14ac:dyDescent="0.25">
      <c r="A150" t="s">
        <v>530</v>
      </c>
      <c r="B150" t="s">
        <v>538</v>
      </c>
    </row>
    <row r="151" spans="1:2" x14ac:dyDescent="0.25">
      <c r="A151" t="s">
        <v>515</v>
      </c>
      <c r="B151" t="s">
        <v>526</v>
      </c>
    </row>
    <row r="152" spans="1:2" x14ac:dyDescent="0.25">
      <c r="A152" t="s">
        <v>534</v>
      </c>
      <c r="B152" t="s">
        <v>531</v>
      </c>
    </row>
    <row r="153" spans="1:2" x14ac:dyDescent="0.25">
      <c r="A153" t="s">
        <v>535</v>
      </c>
      <c r="B153" t="s">
        <v>528</v>
      </c>
    </row>
    <row r="154" spans="1:2" x14ac:dyDescent="0.25">
      <c r="A154" t="s">
        <v>511</v>
      </c>
      <c r="B154" t="s">
        <v>515</v>
      </c>
    </row>
    <row r="155" spans="1:2" x14ac:dyDescent="0.25">
      <c r="A155" t="s">
        <v>518</v>
      </c>
      <c r="B155" t="s">
        <v>542</v>
      </c>
    </row>
    <row r="156" spans="1:2" x14ac:dyDescent="0.25">
      <c r="A156" t="s">
        <v>532</v>
      </c>
      <c r="B156" t="s">
        <v>534</v>
      </c>
    </row>
    <row r="157" spans="1:2" x14ac:dyDescent="0.25">
      <c r="A157" t="s">
        <v>528</v>
      </c>
      <c r="B157" t="s">
        <v>524</v>
      </c>
    </row>
    <row r="158" spans="1:2" x14ac:dyDescent="0.25">
      <c r="A158" t="s">
        <v>532</v>
      </c>
      <c r="B158" t="s">
        <v>520</v>
      </c>
    </row>
    <row r="159" spans="1:2" x14ac:dyDescent="0.25">
      <c r="A159" t="s">
        <v>527</v>
      </c>
      <c r="B159" t="s">
        <v>542</v>
      </c>
    </row>
    <row r="160" spans="1:2" x14ac:dyDescent="0.25">
      <c r="A160" t="s">
        <v>533</v>
      </c>
      <c r="B160" t="s">
        <v>521</v>
      </c>
    </row>
    <row r="161" spans="1:2" x14ac:dyDescent="0.25">
      <c r="A161" t="s">
        <v>527</v>
      </c>
      <c r="B161" t="s">
        <v>530</v>
      </c>
    </row>
    <row r="162" spans="1:2" x14ac:dyDescent="0.25">
      <c r="A162" t="s">
        <v>512</v>
      </c>
      <c r="B162" t="s">
        <v>525</v>
      </c>
    </row>
    <row r="163" spans="1:2" x14ac:dyDescent="0.25">
      <c r="A163" t="s">
        <v>528</v>
      </c>
      <c r="B163" t="s">
        <v>529</v>
      </c>
    </row>
    <row r="164" spans="1:2" x14ac:dyDescent="0.25">
      <c r="A164" t="s">
        <v>517</v>
      </c>
      <c r="B164" t="s">
        <v>531</v>
      </c>
    </row>
    <row r="165" spans="1:2" x14ac:dyDescent="0.25">
      <c r="A165" t="s">
        <v>527</v>
      </c>
      <c r="B165" t="s">
        <v>514</v>
      </c>
    </row>
    <row r="166" spans="1:2" x14ac:dyDescent="0.25">
      <c r="A166" t="s">
        <v>534</v>
      </c>
      <c r="B166" t="s">
        <v>540</v>
      </c>
    </row>
    <row r="167" spans="1:2" x14ac:dyDescent="0.25">
      <c r="A167" t="s">
        <v>541</v>
      </c>
      <c r="B167" t="s">
        <v>537</v>
      </c>
    </row>
    <row r="168" spans="1:2" x14ac:dyDescent="0.25">
      <c r="A168" t="s">
        <v>533</v>
      </c>
      <c r="B168" t="s">
        <v>541</v>
      </c>
    </row>
    <row r="169" spans="1:2" x14ac:dyDescent="0.25">
      <c r="A169" t="s">
        <v>514</v>
      </c>
      <c r="B169" t="s">
        <v>519</v>
      </c>
    </row>
    <row r="170" spans="1:2" x14ac:dyDescent="0.25">
      <c r="A170" t="s">
        <v>513</v>
      </c>
      <c r="B170" t="s">
        <v>539</v>
      </c>
    </row>
    <row r="171" spans="1:2" x14ac:dyDescent="0.25">
      <c r="A171" t="s">
        <v>530</v>
      </c>
      <c r="B171" t="s">
        <v>516</v>
      </c>
    </row>
    <row r="172" spans="1:2" x14ac:dyDescent="0.25">
      <c r="A172" t="s">
        <v>522</v>
      </c>
      <c r="B172" t="s">
        <v>514</v>
      </c>
    </row>
    <row r="173" spans="1:2" x14ac:dyDescent="0.25">
      <c r="A173" t="s">
        <v>521</v>
      </c>
      <c r="B173" t="s">
        <v>522</v>
      </c>
    </row>
    <row r="174" spans="1:2" x14ac:dyDescent="0.25">
      <c r="A174" t="s">
        <v>529</v>
      </c>
      <c r="B174" t="s">
        <v>535</v>
      </c>
    </row>
    <row r="175" spans="1:2" x14ac:dyDescent="0.25">
      <c r="A175" t="s">
        <v>512</v>
      </c>
      <c r="B175" t="s">
        <v>522</v>
      </c>
    </row>
    <row r="176" spans="1:2" x14ac:dyDescent="0.25">
      <c r="A176" t="s">
        <v>542</v>
      </c>
      <c r="B176" t="s">
        <v>536</v>
      </c>
    </row>
    <row r="177" spans="1:2" x14ac:dyDescent="0.25">
      <c r="A177" t="s">
        <v>525</v>
      </c>
      <c r="B177" t="s">
        <v>513</v>
      </c>
    </row>
    <row r="178" spans="1:2" x14ac:dyDescent="0.25">
      <c r="A178" t="s">
        <v>517</v>
      </c>
      <c r="B178" t="s">
        <v>534</v>
      </c>
    </row>
    <row r="179" spans="1:2" x14ac:dyDescent="0.25">
      <c r="A179" t="s">
        <v>524</v>
      </c>
      <c r="B179" t="s">
        <v>522</v>
      </c>
    </row>
    <row r="180" spans="1:2" x14ac:dyDescent="0.25">
      <c r="A180" t="s">
        <v>514</v>
      </c>
      <c r="B180" t="s">
        <v>516</v>
      </c>
    </row>
    <row r="181" spans="1:2" x14ac:dyDescent="0.25">
      <c r="A181" t="s">
        <v>538</v>
      </c>
      <c r="B181" t="s">
        <v>518</v>
      </c>
    </row>
    <row r="182" spans="1:2" x14ac:dyDescent="0.25">
      <c r="A182" t="s">
        <v>539</v>
      </c>
      <c r="B182" t="s">
        <v>523</v>
      </c>
    </row>
    <row r="183" spans="1:2" x14ac:dyDescent="0.25">
      <c r="A183" t="s">
        <v>537</v>
      </c>
      <c r="B183" t="s">
        <v>512</v>
      </c>
    </row>
    <row r="184" spans="1:2" x14ac:dyDescent="0.25">
      <c r="A184" t="s">
        <v>525</v>
      </c>
      <c r="B184" t="s">
        <v>529</v>
      </c>
    </row>
    <row r="185" spans="1:2" x14ac:dyDescent="0.25">
      <c r="A185" t="s">
        <v>528</v>
      </c>
      <c r="B185" t="s">
        <v>535</v>
      </c>
    </row>
    <row r="186" spans="1:2" x14ac:dyDescent="0.25">
      <c r="A186" t="s">
        <v>520</v>
      </c>
      <c r="B186" t="s">
        <v>530</v>
      </c>
    </row>
    <row r="187" spans="1:2" x14ac:dyDescent="0.25">
      <c r="A187" t="s">
        <v>519</v>
      </c>
      <c r="B187" t="s">
        <v>541</v>
      </c>
    </row>
    <row r="188" spans="1:2" x14ac:dyDescent="0.25">
      <c r="A188" t="s">
        <v>536</v>
      </c>
      <c r="B188" t="s">
        <v>532</v>
      </c>
    </row>
    <row r="189" spans="1:2" x14ac:dyDescent="0.25">
      <c r="A189" t="s">
        <v>516</v>
      </c>
      <c r="B189" t="s">
        <v>539</v>
      </c>
    </row>
    <row r="190" spans="1:2" x14ac:dyDescent="0.25">
      <c r="A190" t="s">
        <v>523</v>
      </c>
      <c r="B190" t="s">
        <v>526</v>
      </c>
    </row>
    <row r="191" spans="1:2" x14ac:dyDescent="0.25">
      <c r="A191" t="s">
        <v>541</v>
      </c>
      <c r="B191" t="s">
        <v>522</v>
      </c>
    </row>
    <row r="192" spans="1:2" x14ac:dyDescent="0.25">
      <c r="A192" t="s">
        <v>526</v>
      </c>
      <c r="B192" t="s">
        <v>513</v>
      </c>
    </row>
    <row r="193" spans="1:2" x14ac:dyDescent="0.25">
      <c r="A193" t="s">
        <v>519</v>
      </c>
      <c r="B193" t="s">
        <v>515</v>
      </c>
    </row>
    <row r="194" spans="1:2" x14ac:dyDescent="0.25">
      <c r="A194" t="s">
        <v>518</v>
      </c>
      <c r="B194" t="s">
        <v>520</v>
      </c>
    </row>
    <row r="195" spans="1:2" x14ac:dyDescent="0.25">
      <c r="A195" t="s">
        <v>528</v>
      </c>
      <c r="B195" t="s">
        <v>516</v>
      </c>
    </row>
    <row r="196" spans="1:2" x14ac:dyDescent="0.25">
      <c r="A196" t="s">
        <v>518</v>
      </c>
      <c r="B196" t="s">
        <v>536</v>
      </c>
    </row>
    <row r="197" spans="1:2" x14ac:dyDescent="0.25">
      <c r="A197" t="s">
        <v>527</v>
      </c>
      <c r="B197" t="s">
        <v>519</v>
      </c>
    </row>
    <row r="198" spans="1:2" x14ac:dyDescent="0.25">
      <c r="A198" t="s">
        <v>536</v>
      </c>
      <c r="B198" t="s">
        <v>530</v>
      </c>
    </row>
    <row r="199" spans="1:2" x14ac:dyDescent="0.25">
      <c r="A199" t="s">
        <v>537</v>
      </c>
      <c r="B199" t="s">
        <v>513</v>
      </c>
    </row>
    <row r="200" spans="1:2" x14ac:dyDescent="0.25">
      <c r="A200" t="s">
        <v>538</v>
      </c>
      <c r="B200" t="s">
        <v>517</v>
      </c>
    </row>
    <row r="201" spans="1:2" x14ac:dyDescent="0.25">
      <c r="A201" t="s">
        <v>515</v>
      </c>
      <c r="B201" t="s">
        <v>524</v>
      </c>
    </row>
    <row r="202" spans="1:2" x14ac:dyDescent="0.25">
      <c r="A202" t="s">
        <v>533</v>
      </c>
      <c r="B202" t="s">
        <v>520</v>
      </c>
    </row>
    <row r="203" spans="1:2" x14ac:dyDescent="0.25">
      <c r="A203" t="s">
        <v>540</v>
      </c>
      <c r="B203" t="s">
        <v>525</v>
      </c>
    </row>
    <row r="204" spans="1:2" x14ac:dyDescent="0.25">
      <c r="A204" t="s">
        <v>515</v>
      </c>
      <c r="B204" t="s">
        <v>531</v>
      </c>
    </row>
    <row r="205" spans="1:2" x14ac:dyDescent="0.25">
      <c r="A205" t="s">
        <v>528</v>
      </c>
      <c r="B205" t="s">
        <v>530</v>
      </c>
    </row>
    <row r="206" spans="1:2" x14ac:dyDescent="0.25">
      <c r="A206" t="s">
        <v>536</v>
      </c>
      <c r="B206" t="s">
        <v>540</v>
      </c>
    </row>
    <row r="207" spans="1:2" x14ac:dyDescent="0.25">
      <c r="A207" t="s">
        <v>531</v>
      </c>
      <c r="B207" t="s">
        <v>526</v>
      </c>
    </row>
    <row r="208" spans="1:2" x14ac:dyDescent="0.25">
      <c r="A208" t="s">
        <v>532</v>
      </c>
      <c r="B208" t="s">
        <v>538</v>
      </c>
    </row>
    <row r="209" spans="1:2" x14ac:dyDescent="0.25">
      <c r="A209" t="s">
        <v>530</v>
      </c>
      <c r="B209" t="s">
        <v>517</v>
      </c>
    </row>
    <row r="210" spans="1:2" x14ac:dyDescent="0.25">
      <c r="A210" t="s">
        <v>526</v>
      </c>
      <c r="B210" t="s">
        <v>532</v>
      </c>
    </row>
    <row r="211" spans="1:2" x14ac:dyDescent="0.25">
      <c r="A211" t="s">
        <v>511</v>
      </c>
      <c r="B211" t="s">
        <v>533</v>
      </c>
    </row>
    <row r="212" spans="1:2" x14ac:dyDescent="0.25">
      <c r="A212" t="s">
        <v>529</v>
      </c>
      <c r="B212" t="s">
        <v>539</v>
      </c>
    </row>
    <row r="213" spans="1:2" x14ac:dyDescent="0.25">
      <c r="A213" t="s">
        <v>521</v>
      </c>
      <c r="B213" t="s">
        <v>511</v>
      </c>
    </row>
    <row r="214" spans="1:2" x14ac:dyDescent="0.25">
      <c r="A214" t="s">
        <v>542</v>
      </c>
      <c r="B214" t="s">
        <v>523</v>
      </c>
    </row>
    <row r="215" spans="1:2" x14ac:dyDescent="0.25">
      <c r="A215" t="s">
        <v>542</v>
      </c>
      <c r="B215" t="s">
        <v>532</v>
      </c>
    </row>
    <row r="216" spans="1:2" x14ac:dyDescent="0.25">
      <c r="A216" t="s">
        <v>526</v>
      </c>
      <c r="B216" t="s">
        <v>525</v>
      </c>
    </row>
    <row r="217" spans="1:2" x14ac:dyDescent="0.25">
      <c r="A217" t="s">
        <v>521</v>
      </c>
      <c r="B217" t="s">
        <v>514</v>
      </c>
    </row>
    <row r="218" spans="1:2" x14ac:dyDescent="0.25">
      <c r="A218" t="s">
        <v>520</v>
      </c>
      <c r="B218" t="s">
        <v>540</v>
      </c>
    </row>
    <row r="219" spans="1:2" x14ac:dyDescent="0.25">
      <c r="A219" t="s">
        <v>531</v>
      </c>
      <c r="B219" t="s">
        <v>540</v>
      </c>
    </row>
    <row r="220" spans="1:2" x14ac:dyDescent="0.25">
      <c r="A220" t="s">
        <v>533</v>
      </c>
      <c r="B220" t="s">
        <v>538</v>
      </c>
    </row>
    <row r="221" spans="1:2" x14ac:dyDescent="0.25">
      <c r="A221" t="s">
        <v>522</v>
      </c>
      <c r="B221" t="s">
        <v>534</v>
      </c>
    </row>
    <row r="222" spans="1:2" x14ac:dyDescent="0.25">
      <c r="A222" t="s">
        <v>524</v>
      </c>
      <c r="B222" t="s">
        <v>521</v>
      </c>
    </row>
    <row r="223" spans="1:2" x14ac:dyDescent="0.25">
      <c r="A223" t="s">
        <v>535</v>
      </c>
      <c r="B223" t="s">
        <v>523</v>
      </c>
    </row>
    <row r="224" spans="1:2" x14ac:dyDescent="0.25">
      <c r="A224" t="s">
        <v>513</v>
      </c>
      <c r="B224" t="s">
        <v>535</v>
      </c>
    </row>
    <row r="225" spans="1:2" x14ac:dyDescent="0.25">
      <c r="A225" t="s">
        <v>526</v>
      </c>
      <c r="B225" t="s">
        <v>523</v>
      </c>
    </row>
    <row r="226" spans="1:2" x14ac:dyDescent="0.25">
      <c r="A226" t="s">
        <v>537</v>
      </c>
      <c r="B226" t="s">
        <v>517</v>
      </c>
    </row>
    <row r="227" spans="1:2" x14ac:dyDescent="0.25">
      <c r="A227" t="s">
        <v>513</v>
      </c>
      <c r="B227" t="s">
        <v>531</v>
      </c>
    </row>
    <row r="228" spans="1:2" x14ac:dyDescent="0.25">
      <c r="A228" t="s">
        <v>537</v>
      </c>
      <c r="B228" t="s">
        <v>511</v>
      </c>
    </row>
    <row r="229" spans="1:2" x14ac:dyDescent="0.25">
      <c r="A229" t="s">
        <v>524</v>
      </c>
      <c r="B229" t="s">
        <v>540</v>
      </c>
    </row>
    <row r="230" spans="1:2" x14ac:dyDescent="0.25">
      <c r="A230" t="s">
        <v>516</v>
      </c>
      <c r="B230" t="s">
        <v>536</v>
      </c>
    </row>
    <row r="231" spans="1:2" x14ac:dyDescent="0.25">
      <c r="A231" t="s">
        <v>511</v>
      </c>
      <c r="B231" t="s">
        <v>534</v>
      </c>
    </row>
    <row r="232" spans="1:2" x14ac:dyDescent="0.25">
      <c r="A232" t="s">
        <v>519</v>
      </c>
      <c r="B232" t="s">
        <v>524</v>
      </c>
    </row>
    <row r="233" spans="1:2" x14ac:dyDescent="0.25">
      <c r="A233" t="s">
        <v>541</v>
      </c>
      <c r="B233" t="s">
        <v>527</v>
      </c>
    </row>
    <row r="234" spans="1:2" x14ac:dyDescent="0.25">
      <c r="A234" t="s">
        <v>527</v>
      </c>
      <c r="B234" t="s">
        <v>533</v>
      </c>
    </row>
    <row r="235" spans="1:2" x14ac:dyDescent="0.25">
      <c r="A235" t="s">
        <v>520</v>
      </c>
      <c r="B235" t="s">
        <v>518</v>
      </c>
    </row>
    <row r="236" spans="1:2" x14ac:dyDescent="0.25">
      <c r="A236" t="s">
        <v>538</v>
      </c>
      <c r="B236" t="s">
        <v>541</v>
      </c>
    </row>
    <row r="237" spans="1:2" x14ac:dyDescent="0.25">
      <c r="A237" t="s">
        <v>514</v>
      </c>
      <c r="B237" t="s">
        <v>528</v>
      </c>
    </row>
    <row r="238" spans="1:2" x14ac:dyDescent="0.25">
      <c r="A238" t="s">
        <v>512</v>
      </c>
      <c r="B238" t="s">
        <v>514</v>
      </c>
    </row>
    <row r="239" spans="1:2" x14ac:dyDescent="0.25">
      <c r="A239" t="s">
        <v>512</v>
      </c>
      <c r="B239" t="s">
        <v>516</v>
      </c>
    </row>
    <row r="240" spans="1:2" x14ac:dyDescent="0.25">
      <c r="A240" t="s">
        <v>513</v>
      </c>
      <c r="B240" t="s">
        <v>515</v>
      </c>
    </row>
    <row r="241" spans="1:2" x14ac:dyDescent="0.25">
      <c r="A241" t="s">
        <v>531</v>
      </c>
      <c r="B241" t="s">
        <v>515</v>
      </c>
    </row>
    <row r="242" spans="1:2" x14ac:dyDescent="0.25">
      <c r="A242" t="s">
        <v>534</v>
      </c>
      <c r="B242" t="s">
        <v>536</v>
      </c>
    </row>
    <row r="243" spans="1:2" x14ac:dyDescent="0.25">
      <c r="A243" t="s">
        <v>539</v>
      </c>
      <c r="B243" t="s">
        <v>518</v>
      </c>
    </row>
    <row r="244" spans="1:2" x14ac:dyDescent="0.25">
      <c r="A244" t="s">
        <v>528</v>
      </c>
      <c r="B244" t="s">
        <v>525</v>
      </c>
    </row>
    <row r="245" spans="1:2" x14ac:dyDescent="0.25">
      <c r="A245" t="s">
        <v>512</v>
      </c>
      <c r="B245" t="s">
        <v>524</v>
      </c>
    </row>
    <row r="246" spans="1:2" x14ac:dyDescent="0.25">
      <c r="A246" t="s">
        <v>521</v>
      </c>
      <c r="B246" t="s">
        <v>542</v>
      </c>
    </row>
    <row r="247" spans="1:2" x14ac:dyDescent="0.25">
      <c r="A247" t="s">
        <v>523</v>
      </c>
      <c r="B247" t="s">
        <v>537</v>
      </c>
    </row>
    <row r="248" spans="1:2" x14ac:dyDescent="0.25">
      <c r="A248" t="s">
        <v>514</v>
      </c>
      <c r="B248" t="s">
        <v>533</v>
      </c>
    </row>
    <row r="249" spans="1:2" x14ac:dyDescent="0.25">
      <c r="A249" t="s">
        <v>516</v>
      </c>
      <c r="B249" t="s">
        <v>535</v>
      </c>
    </row>
    <row r="250" spans="1:2" x14ac:dyDescent="0.25">
      <c r="A250" t="s">
        <v>539</v>
      </c>
      <c r="B250" t="s">
        <v>535</v>
      </c>
    </row>
    <row r="251" spans="1:2" x14ac:dyDescent="0.25">
      <c r="A251" t="s">
        <v>520</v>
      </c>
      <c r="B251" t="s">
        <v>527</v>
      </c>
    </row>
    <row r="252" spans="1:2" x14ac:dyDescent="0.25">
      <c r="A252" t="s">
        <v>525</v>
      </c>
      <c r="B252" t="s">
        <v>532</v>
      </c>
    </row>
    <row r="253" spans="1:2" x14ac:dyDescent="0.25">
      <c r="A253" t="s">
        <v>526</v>
      </c>
      <c r="B253" t="s">
        <v>529</v>
      </c>
    </row>
    <row r="254" spans="1:2" x14ac:dyDescent="0.25">
      <c r="A254" t="s">
        <v>529</v>
      </c>
      <c r="B254" t="s">
        <v>515</v>
      </c>
    </row>
    <row r="255" spans="1:2" x14ac:dyDescent="0.25">
      <c r="A255" t="s">
        <v>529</v>
      </c>
      <c r="B255" t="s">
        <v>521</v>
      </c>
    </row>
    <row r="256" spans="1:2" x14ac:dyDescent="0.25">
      <c r="A256" t="s">
        <v>523</v>
      </c>
      <c r="B256" t="s">
        <v>514</v>
      </c>
    </row>
    <row r="257" spans="1:2" x14ac:dyDescent="0.25">
      <c r="A257" t="s">
        <v>535</v>
      </c>
      <c r="B257" t="s">
        <v>522</v>
      </c>
    </row>
    <row r="258" spans="1:2" x14ac:dyDescent="0.25">
      <c r="A258" t="s">
        <v>540</v>
      </c>
      <c r="B258" t="s">
        <v>517</v>
      </c>
    </row>
    <row r="259" spans="1:2" x14ac:dyDescent="0.25">
      <c r="A259" t="s">
        <v>530</v>
      </c>
      <c r="B259" t="s">
        <v>518</v>
      </c>
    </row>
    <row r="260" spans="1:2" x14ac:dyDescent="0.25">
      <c r="A260" t="s">
        <v>541</v>
      </c>
      <c r="B260" t="s">
        <v>539</v>
      </c>
    </row>
    <row r="261" spans="1:2" x14ac:dyDescent="0.25">
      <c r="A261" t="s">
        <v>538</v>
      </c>
      <c r="B261" t="s">
        <v>520</v>
      </c>
    </row>
    <row r="262" spans="1:2" x14ac:dyDescent="0.25">
      <c r="A262" t="s">
        <v>524</v>
      </c>
      <c r="B262" t="s">
        <v>516</v>
      </c>
    </row>
    <row r="263" spans="1:2" x14ac:dyDescent="0.25">
      <c r="A263" t="s">
        <v>530</v>
      </c>
      <c r="B263" t="s">
        <v>533</v>
      </c>
    </row>
    <row r="264" spans="1:2" x14ac:dyDescent="0.25">
      <c r="A264" t="s">
        <v>532</v>
      </c>
      <c r="B264" t="s">
        <v>517</v>
      </c>
    </row>
    <row r="265" spans="1:2" x14ac:dyDescent="0.25">
      <c r="A265" t="s">
        <v>519</v>
      </c>
      <c r="B265" t="s">
        <v>525</v>
      </c>
    </row>
    <row r="266" spans="1:2" x14ac:dyDescent="0.25">
      <c r="A266" t="s">
        <v>539</v>
      </c>
      <c r="B266" t="s">
        <v>528</v>
      </c>
    </row>
    <row r="267" spans="1:2" x14ac:dyDescent="0.25">
      <c r="A267" t="s">
        <v>523</v>
      </c>
      <c r="B267" t="s">
        <v>513</v>
      </c>
    </row>
    <row r="268" spans="1:2" x14ac:dyDescent="0.25">
      <c r="A268" t="s">
        <v>527</v>
      </c>
      <c r="B268" t="s">
        <v>540</v>
      </c>
    </row>
    <row r="269" spans="1:2" x14ac:dyDescent="0.25">
      <c r="A269" t="s">
        <v>536</v>
      </c>
      <c r="B269" t="s">
        <v>511</v>
      </c>
    </row>
    <row r="270" spans="1:2" x14ac:dyDescent="0.25">
      <c r="A270" t="s">
        <v>542</v>
      </c>
      <c r="B270" t="s">
        <v>538</v>
      </c>
    </row>
    <row r="271" spans="1:2" x14ac:dyDescent="0.25">
      <c r="A271" t="s">
        <v>517</v>
      </c>
      <c r="B271" t="s">
        <v>540</v>
      </c>
    </row>
    <row r="272" spans="1:2" x14ac:dyDescent="0.25">
      <c r="A272" t="s">
        <v>536</v>
      </c>
      <c r="B272" t="s">
        <v>528</v>
      </c>
    </row>
    <row r="273" spans="1:2" x14ac:dyDescent="0.25">
      <c r="A273" t="s">
        <v>517</v>
      </c>
      <c r="B273" t="s">
        <v>515</v>
      </c>
    </row>
    <row r="274" spans="1:2" x14ac:dyDescent="0.25">
      <c r="A274" t="s">
        <v>531</v>
      </c>
      <c r="B274" t="s">
        <v>516</v>
      </c>
    </row>
    <row r="275" spans="1:2" x14ac:dyDescent="0.25">
      <c r="A275" t="s">
        <v>515</v>
      </c>
      <c r="B275" t="s">
        <v>527</v>
      </c>
    </row>
    <row r="276" spans="1:2" x14ac:dyDescent="0.25">
      <c r="A276" t="s">
        <v>533</v>
      </c>
      <c r="B276" t="s">
        <v>534</v>
      </c>
    </row>
    <row r="277" spans="1:2" x14ac:dyDescent="0.25">
      <c r="A277" t="s">
        <v>521</v>
      </c>
      <c r="B277" t="s">
        <v>519</v>
      </c>
    </row>
    <row r="278" spans="1:2" x14ac:dyDescent="0.25">
      <c r="A278" t="s">
        <v>518</v>
      </c>
      <c r="B278" t="s">
        <v>512</v>
      </c>
    </row>
    <row r="279" spans="1:2" x14ac:dyDescent="0.25">
      <c r="A279" t="s">
        <v>522</v>
      </c>
      <c r="B279" t="s">
        <v>516</v>
      </c>
    </row>
    <row r="280" spans="1:2" x14ac:dyDescent="0.25">
      <c r="A280" t="s">
        <v>539</v>
      </c>
      <c r="B280" t="s">
        <v>512</v>
      </c>
    </row>
    <row r="281" spans="1:2" x14ac:dyDescent="0.25">
      <c r="A281" t="s">
        <v>535</v>
      </c>
      <c r="B281" t="s">
        <v>525</v>
      </c>
    </row>
    <row r="282" spans="1:2" x14ac:dyDescent="0.25">
      <c r="A282" t="s">
        <v>532</v>
      </c>
      <c r="B282" t="s">
        <v>524</v>
      </c>
    </row>
    <row r="283" spans="1:2" x14ac:dyDescent="0.25">
      <c r="A283" t="s">
        <v>514</v>
      </c>
      <c r="B283" t="s">
        <v>524</v>
      </c>
    </row>
    <row r="284" spans="1:2" x14ac:dyDescent="0.25">
      <c r="A284" t="s">
        <v>514</v>
      </c>
      <c r="B284" t="s">
        <v>538</v>
      </c>
    </row>
    <row r="285" spans="1:2" x14ac:dyDescent="0.25">
      <c r="A285" t="s">
        <v>529</v>
      </c>
      <c r="B285" t="s">
        <v>531</v>
      </c>
    </row>
    <row r="286" spans="1:2" x14ac:dyDescent="0.25">
      <c r="A286" t="s">
        <v>522</v>
      </c>
      <c r="B286" t="s">
        <v>519</v>
      </c>
    </row>
    <row r="287" spans="1:2" x14ac:dyDescent="0.25">
      <c r="A287" t="s">
        <v>519</v>
      </c>
      <c r="B287" t="s">
        <v>521</v>
      </c>
    </row>
    <row r="288" spans="1:2" x14ac:dyDescent="0.25">
      <c r="A288" t="s">
        <v>518</v>
      </c>
      <c r="B288" t="s">
        <v>527</v>
      </c>
    </row>
    <row r="289" spans="1:2" x14ac:dyDescent="0.25">
      <c r="A289" t="s">
        <v>513</v>
      </c>
      <c r="B289" t="s">
        <v>526</v>
      </c>
    </row>
    <row r="290" spans="1:2" x14ac:dyDescent="0.25">
      <c r="A290" t="s">
        <v>522</v>
      </c>
      <c r="B290" t="s">
        <v>528</v>
      </c>
    </row>
    <row r="291" spans="1:2" x14ac:dyDescent="0.25">
      <c r="A291" t="s">
        <v>538</v>
      </c>
      <c r="B291" t="s">
        <v>527</v>
      </c>
    </row>
    <row r="292" spans="1:2" x14ac:dyDescent="0.25">
      <c r="A292" t="s">
        <v>540</v>
      </c>
      <c r="B292" t="s">
        <v>511</v>
      </c>
    </row>
    <row r="293" spans="1:2" x14ac:dyDescent="0.25">
      <c r="A293" t="s">
        <v>533</v>
      </c>
      <c r="B293" t="s">
        <v>529</v>
      </c>
    </row>
    <row r="294" spans="1:2" x14ac:dyDescent="0.25">
      <c r="A294" t="s">
        <v>519</v>
      </c>
      <c r="B294" t="s">
        <v>514</v>
      </c>
    </row>
    <row r="295" spans="1:2" x14ac:dyDescent="0.25">
      <c r="A295" t="s">
        <v>541</v>
      </c>
      <c r="B295" t="s">
        <v>542</v>
      </c>
    </row>
    <row r="296" spans="1:2" x14ac:dyDescent="0.25">
      <c r="A296" t="s">
        <v>521</v>
      </c>
      <c r="B296" t="s">
        <v>512</v>
      </c>
    </row>
    <row r="297" spans="1:2" x14ac:dyDescent="0.25">
      <c r="A297" t="s">
        <v>529</v>
      </c>
      <c r="B297" t="s">
        <v>520</v>
      </c>
    </row>
    <row r="298" spans="1:2" x14ac:dyDescent="0.25">
      <c r="A298" t="s">
        <v>536</v>
      </c>
      <c r="B298" t="s">
        <v>537</v>
      </c>
    </row>
    <row r="299" spans="1:2" x14ac:dyDescent="0.25">
      <c r="A299" t="s">
        <v>537</v>
      </c>
      <c r="B299" t="s">
        <v>534</v>
      </c>
    </row>
    <row r="300" spans="1:2" x14ac:dyDescent="0.25">
      <c r="A300" t="s">
        <v>511</v>
      </c>
      <c r="B300" t="s">
        <v>531</v>
      </c>
    </row>
    <row r="301" spans="1:2" x14ac:dyDescent="0.25">
      <c r="A301" t="s">
        <v>531</v>
      </c>
      <c r="B301" t="s">
        <v>542</v>
      </c>
    </row>
    <row r="302" spans="1:2" x14ac:dyDescent="0.25">
      <c r="A302" t="s">
        <v>530</v>
      </c>
      <c r="B302" t="s">
        <v>532</v>
      </c>
    </row>
    <row r="303" spans="1:2" x14ac:dyDescent="0.25">
      <c r="A303" t="s">
        <v>523</v>
      </c>
      <c r="B303" t="s">
        <v>525</v>
      </c>
    </row>
    <row r="304" spans="1:2" x14ac:dyDescent="0.25">
      <c r="A304" t="s">
        <v>525</v>
      </c>
      <c r="B304" t="s">
        <v>528</v>
      </c>
    </row>
    <row r="305" spans="1:2" x14ac:dyDescent="0.25">
      <c r="A305" t="s">
        <v>520</v>
      </c>
      <c r="B305" t="s">
        <v>542</v>
      </c>
    </row>
    <row r="306" spans="1:2" x14ac:dyDescent="0.25">
      <c r="A306" t="s">
        <v>534</v>
      </c>
      <c r="B306" t="s">
        <v>535</v>
      </c>
    </row>
    <row r="307" spans="1:2" x14ac:dyDescent="0.25">
      <c r="A307" t="s">
        <v>531</v>
      </c>
      <c r="B307" t="s">
        <v>511</v>
      </c>
    </row>
    <row r="308" spans="1:2" x14ac:dyDescent="0.25">
      <c r="A308" t="s">
        <v>536</v>
      </c>
      <c r="B308" t="s">
        <v>517</v>
      </c>
    </row>
    <row r="309" spans="1:2" x14ac:dyDescent="0.25">
      <c r="A309" t="s">
        <v>538</v>
      </c>
      <c r="B309" t="s">
        <v>513</v>
      </c>
    </row>
    <row r="310" spans="1:2" x14ac:dyDescent="0.25">
      <c r="A310" t="s">
        <v>521</v>
      </c>
      <c r="B310" t="s">
        <v>541</v>
      </c>
    </row>
    <row r="311" spans="1:2" x14ac:dyDescent="0.25">
      <c r="A311" t="s">
        <v>541</v>
      </c>
      <c r="B311" t="s">
        <v>519</v>
      </c>
    </row>
    <row r="312" spans="1:2" x14ac:dyDescent="0.25">
      <c r="A312" t="s">
        <v>539</v>
      </c>
      <c r="B312" t="s">
        <v>526</v>
      </c>
    </row>
    <row r="313" spans="1:2" x14ac:dyDescent="0.25">
      <c r="A313" t="s">
        <v>54</v>
      </c>
      <c r="B313" t="s">
        <v>54</v>
      </c>
    </row>
    <row r="314" spans="1:2" x14ac:dyDescent="0.25">
      <c r="A314" t="s">
        <v>530</v>
      </c>
      <c r="B314" t="s">
        <v>520</v>
      </c>
    </row>
    <row r="315" spans="1:2" x14ac:dyDescent="0.25">
      <c r="A315" t="s">
        <v>532</v>
      </c>
      <c r="B315" t="s">
        <v>518</v>
      </c>
    </row>
    <row r="316" spans="1:2" x14ac:dyDescent="0.25">
      <c r="A316" t="s">
        <v>515</v>
      </c>
      <c r="B316" t="s">
        <v>537</v>
      </c>
    </row>
    <row r="317" spans="1:2" x14ac:dyDescent="0.25">
      <c r="A317" t="s">
        <v>526</v>
      </c>
      <c r="B317" t="s">
        <v>537</v>
      </c>
    </row>
    <row r="318" spans="1:2" x14ac:dyDescent="0.25">
      <c r="A318" t="s">
        <v>535</v>
      </c>
      <c r="B318" t="s">
        <v>539</v>
      </c>
    </row>
    <row r="319" spans="1:2" x14ac:dyDescent="0.25">
      <c r="A319" t="s">
        <v>523</v>
      </c>
      <c r="B319" t="s">
        <v>529</v>
      </c>
    </row>
    <row r="320" spans="1:2" x14ac:dyDescent="0.25">
      <c r="A320" t="s">
        <v>540</v>
      </c>
      <c r="B320" t="s">
        <v>534</v>
      </c>
    </row>
    <row r="321" spans="1:2" x14ac:dyDescent="0.25">
      <c r="A321" t="s">
        <v>54</v>
      </c>
      <c r="B321" t="s">
        <v>54</v>
      </c>
    </row>
    <row r="322" spans="1:2" x14ac:dyDescent="0.25">
      <c r="A322" t="s">
        <v>54</v>
      </c>
      <c r="B322" t="s">
        <v>54</v>
      </c>
    </row>
    <row r="323" spans="1:2" x14ac:dyDescent="0.25">
      <c r="A323" t="s">
        <v>54</v>
      </c>
      <c r="B323" t="s">
        <v>54</v>
      </c>
    </row>
    <row r="324" spans="1:2" x14ac:dyDescent="0.25">
      <c r="A324" t="s">
        <v>54</v>
      </c>
      <c r="B324" t="s">
        <v>54</v>
      </c>
    </row>
    <row r="325" spans="1:2" x14ac:dyDescent="0.25">
      <c r="A325" t="s">
        <v>533</v>
      </c>
      <c r="B325" t="s">
        <v>542</v>
      </c>
    </row>
    <row r="326" spans="1:2" x14ac:dyDescent="0.25">
      <c r="A326" t="s">
        <v>54</v>
      </c>
      <c r="B326" t="s">
        <v>54</v>
      </c>
    </row>
    <row r="327" spans="1:2" x14ac:dyDescent="0.25">
      <c r="A327" t="s">
        <v>54</v>
      </c>
      <c r="B327" t="s">
        <v>54</v>
      </c>
    </row>
    <row r="328" spans="1:2" x14ac:dyDescent="0.25">
      <c r="A328" t="s">
        <v>54</v>
      </c>
      <c r="B328" t="s">
        <v>54</v>
      </c>
    </row>
    <row r="329" spans="1:2" x14ac:dyDescent="0.25">
      <c r="A329" t="s">
        <v>54</v>
      </c>
      <c r="B329" t="s">
        <v>54</v>
      </c>
    </row>
    <row r="330" spans="1:2" x14ac:dyDescent="0.25">
      <c r="A330" t="s">
        <v>54</v>
      </c>
      <c r="B330" t="s">
        <v>54</v>
      </c>
    </row>
    <row r="331" spans="1:2" x14ac:dyDescent="0.25">
      <c r="A331" t="s">
        <v>54</v>
      </c>
      <c r="B331" t="s">
        <v>54</v>
      </c>
    </row>
    <row r="332" spans="1:2" x14ac:dyDescent="0.25">
      <c r="A332" t="s">
        <v>522</v>
      </c>
      <c r="B332" t="s">
        <v>524</v>
      </c>
    </row>
    <row r="333" spans="1:2" x14ac:dyDescent="0.25">
      <c r="A333" t="s">
        <v>516</v>
      </c>
      <c r="B333" t="s">
        <v>512</v>
      </c>
    </row>
    <row r="334" spans="1:2" x14ac:dyDescent="0.25">
      <c r="A334" t="s">
        <v>54</v>
      </c>
      <c r="B334" t="s">
        <v>54</v>
      </c>
    </row>
    <row r="335" spans="1:2" x14ac:dyDescent="0.25">
      <c r="A335" t="s">
        <v>54</v>
      </c>
      <c r="B335" t="s">
        <v>54</v>
      </c>
    </row>
    <row r="336" spans="1:2" x14ac:dyDescent="0.25">
      <c r="A336" t="s">
        <v>542</v>
      </c>
      <c r="B336" t="s">
        <v>543</v>
      </c>
    </row>
    <row r="337" spans="1:2" x14ac:dyDescent="0.25">
      <c r="A337" t="s">
        <v>531</v>
      </c>
      <c r="B337" t="s">
        <v>543</v>
      </c>
    </row>
    <row r="338" spans="1:2" x14ac:dyDescent="0.25">
      <c r="A338" t="s">
        <v>523</v>
      </c>
      <c r="B338" t="s">
        <v>543</v>
      </c>
    </row>
    <row r="339" spans="1:2" x14ac:dyDescent="0.25">
      <c r="A339" t="s">
        <v>535</v>
      </c>
      <c r="B339" t="s">
        <v>543</v>
      </c>
    </row>
    <row r="340" spans="1:2" x14ac:dyDescent="0.25">
      <c r="A340" t="s">
        <v>536</v>
      </c>
      <c r="B340" t="s">
        <v>543</v>
      </c>
    </row>
    <row r="341" spans="1:2" x14ac:dyDescent="0.25">
      <c r="A341" t="s">
        <v>524</v>
      </c>
      <c r="B341" t="s">
        <v>543</v>
      </c>
    </row>
    <row r="342" spans="1:2" x14ac:dyDescent="0.25">
      <c r="A342" t="s">
        <v>522</v>
      </c>
      <c r="B342" t="s">
        <v>543</v>
      </c>
    </row>
    <row r="343" spans="1:2" x14ac:dyDescent="0.25">
      <c r="A343" t="s">
        <v>530</v>
      </c>
      <c r="B343" t="s">
        <v>543</v>
      </c>
    </row>
    <row r="344" spans="1:2" x14ac:dyDescent="0.25">
      <c r="A344" t="s">
        <v>516</v>
      </c>
      <c r="B344" t="s">
        <v>543</v>
      </c>
    </row>
    <row r="345" spans="1:2" x14ac:dyDescent="0.25">
      <c r="A345" t="s">
        <v>541</v>
      </c>
      <c r="B345" t="s">
        <v>543</v>
      </c>
    </row>
    <row r="346" spans="1:2" x14ac:dyDescent="0.25">
      <c r="A346" t="s">
        <v>514</v>
      </c>
      <c r="B346" t="s">
        <v>543</v>
      </c>
    </row>
    <row r="347" spans="1:2" x14ac:dyDescent="0.25">
      <c r="A347" t="s">
        <v>528</v>
      </c>
      <c r="B347" t="s">
        <v>543</v>
      </c>
    </row>
    <row r="348" spans="1:2" x14ac:dyDescent="0.25">
      <c r="A348" t="s">
        <v>540</v>
      </c>
      <c r="B348" t="s">
        <v>543</v>
      </c>
    </row>
    <row r="349" spans="1:2" x14ac:dyDescent="0.25">
      <c r="A349" t="s">
        <v>532</v>
      </c>
      <c r="B349" t="s">
        <v>543</v>
      </c>
    </row>
    <row r="350" spans="1:2" x14ac:dyDescent="0.25">
      <c r="A350" t="s">
        <v>511</v>
      </c>
      <c r="B350" t="s">
        <v>543</v>
      </c>
    </row>
    <row r="351" spans="1:2" x14ac:dyDescent="0.25">
      <c r="A351" t="s">
        <v>515</v>
      </c>
      <c r="B351" t="s">
        <v>543</v>
      </c>
    </row>
    <row r="352" spans="1:2" x14ac:dyDescent="0.25">
      <c r="A352" t="s">
        <v>526</v>
      </c>
      <c r="B352" t="s">
        <v>543</v>
      </c>
    </row>
    <row r="353" spans="1:2" x14ac:dyDescent="0.25">
      <c r="A353" t="s">
        <v>518</v>
      </c>
      <c r="B353" t="s">
        <v>543</v>
      </c>
    </row>
    <row r="354" spans="1:2" x14ac:dyDescent="0.25">
      <c r="A354" t="s">
        <v>539</v>
      </c>
      <c r="B354" t="s">
        <v>543</v>
      </c>
    </row>
    <row r="355" spans="1:2" x14ac:dyDescent="0.25">
      <c r="A355" t="s">
        <v>537</v>
      </c>
      <c r="B355" t="s">
        <v>543</v>
      </c>
    </row>
    <row r="356" spans="1:2" x14ac:dyDescent="0.25">
      <c r="A356" t="s">
        <v>520</v>
      </c>
      <c r="B356" t="s">
        <v>543</v>
      </c>
    </row>
    <row r="357" spans="1:2" x14ac:dyDescent="0.25">
      <c r="A357" t="s">
        <v>513</v>
      </c>
      <c r="B357" t="s">
        <v>543</v>
      </c>
    </row>
    <row r="358" spans="1:2" x14ac:dyDescent="0.25">
      <c r="A358" t="s">
        <v>519</v>
      </c>
      <c r="B358" t="s">
        <v>543</v>
      </c>
    </row>
    <row r="359" spans="1:2" x14ac:dyDescent="0.25">
      <c r="A359" t="s">
        <v>525</v>
      </c>
      <c r="B359" t="s">
        <v>543</v>
      </c>
    </row>
    <row r="360" spans="1:2" x14ac:dyDescent="0.25">
      <c r="A360" t="s">
        <v>538</v>
      </c>
      <c r="B360" t="s">
        <v>543</v>
      </c>
    </row>
    <row r="361" spans="1:2" x14ac:dyDescent="0.25">
      <c r="A361" t="s">
        <v>533</v>
      </c>
      <c r="B361" t="s">
        <v>543</v>
      </c>
    </row>
    <row r="362" spans="1:2" x14ac:dyDescent="0.25">
      <c r="A362" t="s">
        <v>517</v>
      </c>
      <c r="B362" t="s">
        <v>543</v>
      </c>
    </row>
    <row r="363" spans="1:2" x14ac:dyDescent="0.25">
      <c r="A363" t="s">
        <v>529</v>
      </c>
      <c r="B363" t="s">
        <v>543</v>
      </c>
    </row>
    <row r="364" spans="1:2" x14ac:dyDescent="0.25">
      <c r="A364" t="s">
        <v>512</v>
      </c>
      <c r="B364" t="s">
        <v>543</v>
      </c>
    </row>
    <row r="365" spans="1:2" x14ac:dyDescent="0.25">
      <c r="A365" t="s">
        <v>527</v>
      </c>
      <c r="B365" t="s">
        <v>543</v>
      </c>
    </row>
    <row r="366" spans="1:2" x14ac:dyDescent="0.25">
      <c r="A366" t="s">
        <v>521</v>
      </c>
      <c r="B366" t="s">
        <v>543</v>
      </c>
    </row>
    <row r="367" spans="1:2" x14ac:dyDescent="0.25">
      <c r="A367" t="s">
        <v>534</v>
      </c>
      <c r="B367" t="s">
        <v>543</v>
      </c>
    </row>
    <row r="368" spans="1:2" x14ac:dyDescent="0.25">
      <c r="A368" t="s">
        <v>54</v>
      </c>
      <c r="B368" t="s">
        <v>54</v>
      </c>
    </row>
    <row r="369" spans="1:2" x14ac:dyDescent="0.25">
      <c r="A369" t="s">
        <v>54</v>
      </c>
      <c r="B369" t="s">
        <v>54</v>
      </c>
    </row>
    <row r="370" spans="1:2" x14ac:dyDescent="0.25">
      <c r="A370" t="s">
        <v>54</v>
      </c>
      <c r="B370" t="s">
        <v>54</v>
      </c>
    </row>
    <row r="371" spans="1:2" x14ac:dyDescent="0.25">
      <c r="A371" t="s">
        <v>54</v>
      </c>
      <c r="B371" t="s">
        <v>54</v>
      </c>
    </row>
    <row r="372" spans="1:2" x14ac:dyDescent="0.25">
      <c r="A372" t="s">
        <v>54</v>
      </c>
      <c r="B372" t="s">
        <v>54</v>
      </c>
    </row>
    <row r="373" spans="1:2" x14ac:dyDescent="0.25">
      <c r="A373" t="s">
        <v>54</v>
      </c>
      <c r="B373" t="s">
        <v>54</v>
      </c>
    </row>
    <row r="374" spans="1:2" x14ac:dyDescent="0.25">
      <c r="A374" t="s">
        <v>54</v>
      </c>
      <c r="B374" t="s">
        <v>54</v>
      </c>
    </row>
    <row r="375" spans="1:2" x14ac:dyDescent="0.25">
      <c r="A375" t="s">
        <v>54</v>
      </c>
      <c r="B375" t="s">
        <v>54</v>
      </c>
    </row>
    <row r="376" spans="1:2" x14ac:dyDescent="0.25">
      <c r="A376" t="s">
        <v>54</v>
      </c>
      <c r="B376" t="s">
        <v>54</v>
      </c>
    </row>
    <row r="377" spans="1:2" x14ac:dyDescent="0.25">
      <c r="A377" t="s">
        <v>54</v>
      </c>
      <c r="B377" t="s">
        <v>54</v>
      </c>
    </row>
    <row r="378" spans="1:2" x14ac:dyDescent="0.25">
      <c r="A378" t="s">
        <v>54</v>
      </c>
      <c r="B378" t="s">
        <v>54</v>
      </c>
    </row>
    <row r="379" spans="1:2" x14ac:dyDescent="0.25">
      <c r="A379" t="s">
        <v>54</v>
      </c>
      <c r="B379" t="s">
        <v>54</v>
      </c>
    </row>
    <row r="380" spans="1:2" x14ac:dyDescent="0.25">
      <c r="A380" t="s">
        <v>54</v>
      </c>
      <c r="B380" t="s">
        <v>54</v>
      </c>
    </row>
    <row r="381" spans="1:2" x14ac:dyDescent="0.25">
      <c r="A381" t="s">
        <v>54</v>
      </c>
      <c r="B381" t="s">
        <v>54</v>
      </c>
    </row>
    <row r="382" spans="1:2" x14ac:dyDescent="0.25">
      <c r="A382" t="s">
        <v>54</v>
      </c>
      <c r="B382" t="s">
        <v>54</v>
      </c>
    </row>
    <row r="383" spans="1:2" x14ac:dyDescent="0.25">
      <c r="A383" t="s">
        <v>54</v>
      </c>
      <c r="B383" t="s">
        <v>54</v>
      </c>
    </row>
    <row r="384" spans="1:2" x14ac:dyDescent="0.25">
      <c r="A384" t="s">
        <v>54</v>
      </c>
      <c r="B384" t="s">
        <v>54</v>
      </c>
    </row>
    <row r="385" spans="1:2" x14ac:dyDescent="0.25">
      <c r="A385" t="s">
        <v>54</v>
      </c>
      <c r="B385" t="s">
        <v>54</v>
      </c>
    </row>
    <row r="386" spans="1:2" x14ac:dyDescent="0.25">
      <c r="A386" t="s">
        <v>54</v>
      </c>
      <c r="B386" t="s">
        <v>54</v>
      </c>
    </row>
    <row r="387" spans="1:2" x14ac:dyDescent="0.25">
      <c r="A387" t="s">
        <v>54</v>
      </c>
      <c r="B387" t="s">
        <v>54</v>
      </c>
    </row>
    <row r="388" spans="1:2" x14ac:dyDescent="0.25">
      <c r="A388" t="s">
        <v>54</v>
      </c>
      <c r="B388" t="s">
        <v>54</v>
      </c>
    </row>
    <row r="389" spans="1:2" x14ac:dyDescent="0.25">
      <c r="A389" t="s">
        <v>54</v>
      </c>
      <c r="B389" t="s">
        <v>54</v>
      </c>
    </row>
    <row r="390" spans="1:2" x14ac:dyDescent="0.25">
      <c r="A390" t="s">
        <v>54</v>
      </c>
      <c r="B390" t="s">
        <v>54</v>
      </c>
    </row>
    <row r="391" spans="1:2" x14ac:dyDescent="0.25">
      <c r="A391" t="s">
        <v>54</v>
      </c>
      <c r="B391" t="s">
        <v>54</v>
      </c>
    </row>
    <row r="392" spans="1:2" x14ac:dyDescent="0.25">
      <c r="A392" t="s">
        <v>54</v>
      </c>
      <c r="B392" t="s">
        <v>54</v>
      </c>
    </row>
    <row r="393" spans="1:2" x14ac:dyDescent="0.25">
      <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ow>
    <row r="395" spans="1:2" x14ac:dyDescent="0.25">
      <c r="A395" t="s">
        <v>54</v>
      </c>
      <c r="B395" t="s">
        <v>54</v>
      </c>
    </row>
    <row r="396" spans="1:2" x14ac:dyDescent="0.25">
      <c r="A396" t="s">
        <v>54</v>
      </c>
      <c r="B396" t="s">
        <v>54</v>
      </c>
    </row>
    <row r="397" spans="1:2" x14ac:dyDescent="0.25">
      <c r="A397" t="s">
        <v>54</v>
      </c>
      <c r="B397" t="s">
        <v>54</v>
      </c>
    </row>
    <row r="398" spans="1:2" x14ac:dyDescent="0.25">
      <c r="A398" t="s">
        <v>54</v>
      </c>
      <c r="B398" t="s">
        <v>54</v>
      </c>
    </row>
    <row r="399" spans="1:2" x14ac:dyDescent="0.25">
      <c r="A399" t="s">
        <v>54</v>
      </c>
      <c r="B399" t="s">
        <v>54</v>
      </c>
    </row>
    <row r="400" spans="1:2" x14ac:dyDescent="0.25">
      <c r="A400" t="s">
        <v>54</v>
      </c>
      <c r="B400" t="s">
        <v>54</v>
      </c>
    </row>
    <row r="401" spans="1:2" x14ac:dyDescent="0.25">
      <c r="A401" t="s">
        <v>54</v>
      </c>
      <c r="B401" t="s">
        <v>54</v>
      </c>
    </row>
    <row r="402" spans="1:2" x14ac:dyDescent="0.25">
      <c r="A402" t="s">
        <v>54</v>
      </c>
      <c r="B402" t="s">
        <v>54</v>
      </c>
    </row>
    <row r="403" spans="1:2" x14ac:dyDescent="0.25">
      <c r="A403" t="s">
        <v>54</v>
      </c>
      <c r="B403" t="s">
        <v>54</v>
      </c>
    </row>
    <row r="404" spans="1:2" x14ac:dyDescent="0.25">
      <c r="A404" t="s">
        <v>54</v>
      </c>
      <c r="B404" t="s">
        <v>54</v>
      </c>
    </row>
    <row r="405" spans="1:2" x14ac:dyDescent="0.25">
      <c r="A405" t="s">
        <v>54</v>
      </c>
      <c r="B405" t="s">
        <v>54</v>
      </c>
    </row>
    <row r="406" spans="1:2" x14ac:dyDescent="0.25">
      <c r="A406" t="s">
        <v>54</v>
      </c>
      <c r="B406" t="s">
        <v>54</v>
      </c>
    </row>
    <row r="407" spans="1:2" x14ac:dyDescent="0.25">
      <c r="A407" t="s">
        <v>54</v>
      </c>
      <c r="B407" t="s">
        <v>54</v>
      </c>
    </row>
    <row r="408" spans="1:2" x14ac:dyDescent="0.25">
      <c r="A408" t="s">
        <v>54</v>
      </c>
      <c r="B408" t="s">
        <v>54</v>
      </c>
    </row>
    <row r="409" spans="1:2" x14ac:dyDescent="0.25">
      <c r="A409" t="s">
        <v>54</v>
      </c>
      <c r="B409" t="s">
        <v>54</v>
      </c>
    </row>
    <row r="410" spans="1:2" x14ac:dyDescent="0.25">
      <c r="A410" t="s">
        <v>54</v>
      </c>
      <c r="B410" t="s">
        <v>54</v>
      </c>
    </row>
    <row r="411" spans="1:2" x14ac:dyDescent="0.25">
      <c r="A411" t="s">
        <v>54</v>
      </c>
      <c r="B411" t="s">
        <v>54</v>
      </c>
    </row>
    <row r="412" spans="1:2" x14ac:dyDescent="0.25">
      <c r="A412" t="s">
        <v>54</v>
      </c>
      <c r="B412" t="s">
        <v>54</v>
      </c>
    </row>
    <row r="413" spans="1:2" x14ac:dyDescent="0.25">
      <c r="A413" t="s">
        <v>54</v>
      </c>
      <c r="B413" t="s">
        <v>54</v>
      </c>
    </row>
    <row r="414" spans="1:2" x14ac:dyDescent="0.25">
      <c r="A414" t="s">
        <v>54</v>
      </c>
      <c r="B414" t="s">
        <v>54</v>
      </c>
    </row>
    <row r="415" spans="1:2" x14ac:dyDescent="0.25">
      <c r="A415" t="s">
        <v>54</v>
      </c>
      <c r="B415" t="s">
        <v>54</v>
      </c>
    </row>
    <row r="416" spans="1:2" x14ac:dyDescent="0.25">
      <c r="A416" t="s">
        <v>54</v>
      </c>
      <c r="B416" t="s">
        <v>54</v>
      </c>
    </row>
    <row r="417" spans="1:2" x14ac:dyDescent="0.25">
      <c r="A417" t="s">
        <v>54</v>
      </c>
      <c r="B417" t="s">
        <v>54</v>
      </c>
    </row>
    <row r="418" spans="1:2" x14ac:dyDescent="0.25">
      <c r="A418" t="s">
        <v>54</v>
      </c>
      <c r="B418" t="s">
        <v>54</v>
      </c>
    </row>
    <row r="419" spans="1:2" x14ac:dyDescent="0.25">
      <c r="A419" t="s">
        <v>54</v>
      </c>
      <c r="B419" t="s">
        <v>54</v>
      </c>
    </row>
    <row r="420" spans="1:2" x14ac:dyDescent="0.25">
      <c r="A420" t="s">
        <v>54</v>
      </c>
      <c r="B420" t="s">
        <v>54</v>
      </c>
    </row>
    <row r="421" spans="1:2" x14ac:dyDescent="0.25">
      <c r="A421" t="s">
        <v>54</v>
      </c>
      <c r="B421" t="s">
        <v>54</v>
      </c>
    </row>
    <row r="422" spans="1:2" x14ac:dyDescent="0.25">
      <c r="A422" t="s">
        <v>54</v>
      </c>
      <c r="B422" t="s">
        <v>54</v>
      </c>
    </row>
    <row r="423" spans="1:2" x14ac:dyDescent="0.25">
      <c r="A423" t="s">
        <v>54</v>
      </c>
      <c r="B423" t="s">
        <v>54</v>
      </c>
    </row>
    <row r="424" spans="1:2" x14ac:dyDescent="0.25">
      <c r="A424" t="s">
        <v>54</v>
      </c>
      <c r="B424" t="s">
        <v>54</v>
      </c>
    </row>
    <row r="425" spans="1:2" x14ac:dyDescent="0.25">
      <c r="A425" t="s">
        <v>54</v>
      </c>
      <c r="B425" t="s">
        <v>54</v>
      </c>
    </row>
    <row r="426" spans="1:2" x14ac:dyDescent="0.25">
      <c r="A426" t="s">
        <v>54</v>
      </c>
      <c r="B426" t="s">
        <v>54</v>
      </c>
    </row>
    <row r="427" spans="1:2" x14ac:dyDescent="0.25">
      <c r="A427" t="s">
        <v>54</v>
      </c>
      <c r="B427" t="s">
        <v>54</v>
      </c>
    </row>
    <row r="428" spans="1:2" x14ac:dyDescent="0.25">
      <c r="A428" t="s">
        <v>54</v>
      </c>
      <c r="B428" t="s">
        <v>54</v>
      </c>
    </row>
    <row r="429" spans="1:2" x14ac:dyDescent="0.25">
      <c r="A429" t="s">
        <v>54</v>
      </c>
      <c r="B429" t="s">
        <v>54</v>
      </c>
    </row>
    <row r="430" spans="1:2" x14ac:dyDescent="0.25">
      <c r="A430" t="s">
        <v>54</v>
      </c>
      <c r="B430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1CCE-71BA-419F-8CDA-41F5A3CFF651}">
  <sheetPr filterMode="1"/>
  <dimension ref="A1:F430"/>
  <sheetViews>
    <sheetView topLeftCell="A255" workbookViewId="0">
      <selection activeCell="F13" sqref="F13:F301"/>
    </sheetView>
  </sheetViews>
  <sheetFormatPr defaultRowHeight="15.75" x14ac:dyDescent="0.25"/>
  <cols>
    <col min="1" max="1" width="15.875" bestFit="1" customWidth="1"/>
    <col min="3" max="3" width="12.25" bestFit="1" customWidth="1"/>
    <col min="4" max="4" width="11.25" bestFit="1" customWidth="1"/>
    <col min="5" max="5" width="15.25" bestFit="1" customWidth="1"/>
  </cols>
  <sheetData>
    <row r="1" spans="1:6" x14ac:dyDescent="0.25">
      <c r="A1" t="str">
        <f>Old!AI1</f>
        <v>AwayScoreQuarter3</v>
      </c>
      <c r="B1" t="str">
        <f>Old!AS1</f>
        <v>SeasonWeekType</v>
      </c>
      <c r="C1" t="str">
        <f>Old!BF1</f>
        <v>AwayTeamStatus</v>
      </c>
      <c r="D1" t="s">
        <v>31</v>
      </c>
      <c r="E1" t="s">
        <v>44</v>
      </c>
      <c r="F1" t="s">
        <v>140</v>
      </c>
    </row>
    <row r="2" spans="1:6" hidden="1" x14ac:dyDescent="0.25">
      <c r="A2">
        <f>Old!AI2</f>
        <v>0</v>
      </c>
      <c r="B2" t="str">
        <f>Old!AS2</f>
        <v>PreSeason</v>
      </c>
      <c r="C2" t="str">
        <f>Old!BF2</f>
        <v>Pending</v>
      </c>
      <c r="D2">
        <v>20</v>
      </c>
      <c r="E2">
        <v>1</v>
      </c>
      <c r="F2" t="str">
        <f>_xlfn.CONCAT(D2,"-",E2)</f>
        <v>20-1</v>
      </c>
    </row>
    <row r="3" spans="1:6" hidden="1" x14ac:dyDescent="0.25">
      <c r="A3">
        <f>Old!AI3</f>
        <v>0</v>
      </c>
      <c r="B3" t="str">
        <f>Old!AS3</f>
        <v>PreSeason</v>
      </c>
      <c r="C3" t="str">
        <f>Old!BF3</f>
        <v>Pending</v>
      </c>
      <c r="D3">
        <v>18</v>
      </c>
      <c r="E3">
        <v>0</v>
      </c>
      <c r="F3" t="str">
        <f t="shared" ref="F3:F12" si="0">_xlfn.CONCAT(D3,"-",E3)</f>
        <v>18-0</v>
      </c>
    </row>
    <row r="4" spans="1:6" hidden="1" x14ac:dyDescent="0.25">
      <c r="A4">
        <f>Old!AI4</f>
        <v>0</v>
      </c>
      <c r="B4" t="str">
        <f>Old!AS4</f>
        <v>PreSeason</v>
      </c>
      <c r="C4" t="str">
        <f>Old!BF4</f>
        <v>Pending</v>
      </c>
      <c r="D4">
        <v>18</v>
      </c>
      <c r="E4">
        <v>1</v>
      </c>
      <c r="F4" t="str">
        <f t="shared" si="0"/>
        <v>18-1</v>
      </c>
    </row>
    <row r="5" spans="1:6" hidden="1" x14ac:dyDescent="0.25">
      <c r="A5">
        <f>Old!AI5</f>
        <v>0</v>
      </c>
      <c r="B5" t="str">
        <f>Old!AS5</f>
        <v>PreSeason</v>
      </c>
      <c r="C5" t="str">
        <f>Old!BF5</f>
        <v>Pending</v>
      </c>
      <c r="D5">
        <v>20</v>
      </c>
      <c r="E5">
        <v>0</v>
      </c>
      <c r="F5" t="str">
        <f t="shared" si="0"/>
        <v>20-0</v>
      </c>
    </row>
    <row r="6" spans="1:6" hidden="1" x14ac:dyDescent="0.25">
      <c r="A6">
        <f>Old!AI6</f>
        <v>0</v>
      </c>
      <c r="B6" t="str">
        <f>Old!AS6</f>
        <v>PreSeason</v>
      </c>
      <c r="C6" t="str">
        <f>Old!BF6</f>
        <v>Pending</v>
      </c>
      <c r="D6">
        <v>18</v>
      </c>
      <c r="E6">
        <v>2</v>
      </c>
      <c r="F6" t="str">
        <f t="shared" si="0"/>
        <v>18-2</v>
      </c>
    </row>
    <row r="7" spans="1:6" hidden="1" x14ac:dyDescent="0.25">
      <c r="A7">
        <f>Old!AI7</f>
        <v>0</v>
      </c>
      <c r="B7" t="str">
        <f>Old!AS7</f>
        <v>PreSeason</v>
      </c>
      <c r="C7" t="str">
        <f>Old!BF7</f>
        <v>Pending</v>
      </c>
      <c r="D7">
        <v>18</v>
      </c>
      <c r="E7">
        <v>4</v>
      </c>
      <c r="F7" t="str">
        <f t="shared" si="0"/>
        <v>18-4</v>
      </c>
    </row>
    <row r="8" spans="1:6" hidden="1" x14ac:dyDescent="0.25">
      <c r="A8">
        <f>Old!AI8</f>
        <v>0</v>
      </c>
      <c r="B8" t="str">
        <f>Old!AS8</f>
        <v>PreSeason</v>
      </c>
      <c r="C8" t="str">
        <f>Old!BF8</f>
        <v>Pending</v>
      </c>
      <c r="D8">
        <v>18</v>
      </c>
      <c r="E8">
        <v>3</v>
      </c>
      <c r="F8" t="str">
        <f t="shared" si="0"/>
        <v>18-3</v>
      </c>
    </row>
    <row r="9" spans="1:6" hidden="1" x14ac:dyDescent="0.25">
      <c r="A9">
        <f>Old!AI9</f>
        <v>0</v>
      </c>
      <c r="B9" t="str">
        <f>Old!AS9</f>
        <v>PreSeason</v>
      </c>
      <c r="C9" t="str">
        <f>Old!BF9</f>
        <v>Pending</v>
      </c>
      <c r="D9">
        <v>19</v>
      </c>
      <c r="E9">
        <v>3</v>
      </c>
      <c r="F9" t="str">
        <f t="shared" si="0"/>
        <v>19-3</v>
      </c>
    </row>
    <row r="10" spans="1:6" hidden="1" x14ac:dyDescent="0.25">
      <c r="A10">
        <f>Old!AI10</f>
        <v>0</v>
      </c>
      <c r="B10" t="str">
        <f>Old!AS10</f>
        <v>PreSeason</v>
      </c>
      <c r="C10" t="str">
        <f>Old!BF10</f>
        <v>Pending</v>
      </c>
      <c r="D10">
        <v>18</v>
      </c>
      <c r="E10">
        <v>5</v>
      </c>
      <c r="F10" t="str">
        <f t="shared" si="0"/>
        <v>18-5</v>
      </c>
    </row>
    <row r="11" spans="1:6" hidden="1" x14ac:dyDescent="0.25">
      <c r="A11">
        <f>Old!AI11</f>
        <v>0</v>
      </c>
      <c r="B11" t="str">
        <f>Old!AS11</f>
        <v>PreSeason</v>
      </c>
      <c r="C11" t="str">
        <f>Old!BF11</f>
        <v>Pending</v>
      </c>
      <c r="D11">
        <v>19</v>
      </c>
      <c r="E11">
        <v>1</v>
      </c>
      <c r="F11" t="str">
        <f t="shared" si="0"/>
        <v>19-1</v>
      </c>
    </row>
    <row r="12" spans="1:6" hidden="1" x14ac:dyDescent="0.25">
      <c r="A12">
        <f>Old!AI12</f>
        <v>0</v>
      </c>
      <c r="B12" t="str">
        <f>Old!AS12</f>
        <v>PreSeason</v>
      </c>
      <c r="C12" t="str">
        <f>Old!BF12</f>
        <v>Pending</v>
      </c>
      <c r="D12">
        <v>19</v>
      </c>
      <c r="E12">
        <v>0</v>
      </c>
      <c r="F12" t="str">
        <f t="shared" si="0"/>
        <v>19-0</v>
      </c>
    </row>
    <row r="13" spans="1:6" x14ac:dyDescent="0.25">
      <c r="A13">
        <f>Old!AI272</f>
        <v>0</v>
      </c>
      <c r="B13" t="str">
        <f>Old!AS272</f>
        <v>RegularSeason</v>
      </c>
      <c r="C13" t="str">
        <f>Old!BF272</f>
        <v>Pending</v>
      </c>
      <c r="D13">
        <v>0</v>
      </c>
      <c r="E13">
        <v>0</v>
      </c>
      <c r="F13" t="str">
        <f t="shared" ref="F13:F76" si="1">_xlfn.CONCAT(D13,"-",E13)</f>
        <v>0-0</v>
      </c>
    </row>
    <row r="14" spans="1:6" hidden="1" x14ac:dyDescent="0.25">
      <c r="A14">
        <f>Old!AI14</f>
        <v>0</v>
      </c>
      <c r="B14" t="str">
        <f>Old!AS14</f>
        <v>PreSeason</v>
      </c>
      <c r="C14" t="str">
        <f>Old!BF14</f>
        <v>Pending</v>
      </c>
      <c r="D14">
        <v>0</v>
      </c>
      <c r="E14">
        <v>31</v>
      </c>
      <c r="F14" t="str">
        <f t="shared" si="1"/>
        <v>0-31</v>
      </c>
    </row>
    <row r="15" spans="1:6" hidden="1" x14ac:dyDescent="0.25">
      <c r="A15">
        <f>Old!AI15</f>
        <v>0</v>
      </c>
      <c r="B15" t="str">
        <f>Old!AS15</f>
        <v>PreSeason</v>
      </c>
      <c r="C15" t="str">
        <f>Old!BF15</f>
        <v>Pending</v>
      </c>
      <c r="D15">
        <v>22</v>
      </c>
      <c r="E15">
        <v>0</v>
      </c>
      <c r="F15" t="str">
        <f t="shared" si="1"/>
        <v>22-0</v>
      </c>
    </row>
    <row r="16" spans="1:6" x14ac:dyDescent="0.25">
      <c r="A16">
        <f>Old!AI275</f>
        <v>0</v>
      </c>
      <c r="B16" t="str">
        <f>Old!AS275</f>
        <v>RegularSeason</v>
      </c>
      <c r="C16" t="str">
        <f>Old!BF275</f>
        <v>Pending</v>
      </c>
      <c r="D16">
        <v>0</v>
      </c>
      <c r="E16">
        <v>1</v>
      </c>
      <c r="F16" t="str">
        <f t="shared" si="1"/>
        <v>0-1</v>
      </c>
    </row>
    <row r="17" spans="1:6" x14ac:dyDescent="0.25">
      <c r="A17">
        <f>Old!AI279</f>
        <v>0</v>
      </c>
      <c r="B17" t="str">
        <f>Old!AS279</f>
        <v>RegularSeason</v>
      </c>
      <c r="C17" t="str">
        <f>Old!BF279</f>
        <v>Pending</v>
      </c>
      <c r="D17">
        <v>0</v>
      </c>
      <c r="E17">
        <v>2</v>
      </c>
      <c r="F17" t="str">
        <f t="shared" si="1"/>
        <v>0-2</v>
      </c>
    </row>
    <row r="18" spans="1:6" x14ac:dyDescent="0.25">
      <c r="A18">
        <f>Old!AI280</f>
        <v>0</v>
      </c>
      <c r="B18" t="str">
        <f>Old!AS280</f>
        <v>RegularSeason</v>
      </c>
      <c r="C18" t="str">
        <f>Old!BF280</f>
        <v>Pending</v>
      </c>
      <c r="D18">
        <v>0</v>
      </c>
      <c r="E18">
        <v>3</v>
      </c>
      <c r="F18" t="str">
        <f t="shared" si="1"/>
        <v>0-3</v>
      </c>
    </row>
    <row r="19" spans="1:6" x14ac:dyDescent="0.25">
      <c r="A19">
        <f>Old!AI281</f>
        <v>0</v>
      </c>
      <c r="B19" t="str">
        <f>Old!AS281</f>
        <v>RegularSeason</v>
      </c>
      <c r="C19" t="str">
        <f>Old!BF281</f>
        <v>Pending</v>
      </c>
      <c r="D19">
        <v>0</v>
      </c>
      <c r="E19">
        <v>4</v>
      </c>
      <c r="F19" t="str">
        <f t="shared" si="1"/>
        <v>0-4</v>
      </c>
    </row>
    <row r="20" spans="1:6" x14ac:dyDescent="0.25">
      <c r="A20">
        <f>Old!AI284</f>
        <v>0</v>
      </c>
      <c r="B20" t="str">
        <f>Old!AS284</f>
        <v>RegularSeason</v>
      </c>
      <c r="C20" t="str">
        <f>Old!BF284</f>
        <v>Pending</v>
      </c>
      <c r="D20">
        <v>0</v>
      </c>
      <c r="E20">
        <v>5</v>
      </c>
      <c r="F20" t="str">
        <f t="shared" si="1"/>
        <v>0-5</v>
      </c>
    </row>
    <row r="21" spans="1:6" x14ac:dyDescent="0.25">
      <c r="A21">
        <f>Old!AI287</f>
        <v>0</v>
      </c>
      <c r="B21" t="str">
        <f>Old!AS287</f>
        <v>RegularSeason</v>
      </c>
      <c r="C21" t="str">
        <f>Old!BF287</f>
        <v>Pending</v>
      </c>
      <c r="D21">
        <v>0</v>
      </c>
      <c r="E21">
        <v>6</v>
      </c>
      <c r="F21" t="str">
        <f t="shared" si="1"/>
        <v>0-6</v>
      </c>
    </row>
    <row r="22" spans="1:6" x14ac:dyDescent="0.25">
      <c r="A22">
        <f>Old!AI301</f>
        <v>0</v>
      </c>
      <c r="B22" t="str">
        <f>Old!AS301</f>
        <v>RegularSeason</v>
      </c>
      <c r="C22" t="str">
        <f>Old!BF301</f>
        <v>Pending</v>
      </c>
      <c r="D22">
        <v>0</v>
      </c>
      <c r="E22">
        <v>7</v>
      </c>
      <c r="F22" t="str">
        <f t="shared" si="1"/>
        <v>0-7</v>
      </c>
    </row>
    <row r="23" spans="1:6" x14ac:dyDescent="0.25">
      <c r="A23">
        <f>Old!AI267</f>
        <v>0</v>
      </c>
      <c r="B23" t="str">
        <f>Old!AS267</f>
        <v>RegularSeason</v>
      </c>
      <c r="C23" t="str">
        <f>Old!BF267</f>
        <v>Pending</v>
      </c>
      <c r="D23">
        <v>0</v>
      </c>
      <c r="E23">
        <v>8</v>
      </c>
      <c r="F23" t="str">
        <f t="shared" si="1"/>
        <v>0-8</v>
      </c>
    </row>
    <row r="24" spans="1:6" x14ac:dyDescent="0.25">
      <c r="A24">
        <f>Old!AI270</f>
        <v>0</v>
      </c>
      <c r="B24" t="str">
        <f>Old!AS270</f>
        <v>RegularSeason</v>
      </c>
      <c r="C24" t="str">
        <f>Old!BF270</f>
        <v>Pending</v>
      </c>
      <c r="D24">
        <v>0</v>
      </c>
      <c r="E24">
        <v>9</v>
      </c>
      <c r="F24" t="str">
        <f t="shared" si="1"/>
        <v>0-9</v>
      </c>
    </row>
    <row r="25" spans="1:6" x14ac:dyDescent="0.25">
      <c r="A25">
        <f>Old!AI259</f>
        <v>0</v>
      </c>
      <c r="B25" t="str">
        <f>Old!AS259</f>
        <v>RegularSeason</v>
      </c>
      <c r="C25" t="str">
        <f>Old!BF259</f>
        <v>Pending</v>
      </c>
      <c r="D25">
        <v>0</v>
      </c>
      <c r="E25">
        <v>10</v>
      </c>
      <c r="F25" t="str">
        <f t="shared" si="1"/>
        <v>0-10</v>
      </c>
    </row>
    <row r="26" spans="1:6" x14ac:dyDescent="0.25">
      <c r="A26">
        <f>Old!AI283</f>
        <v>0</v>
      </c>
      <c r="B26" t="str">
        <f>Old!AS283</f>
        <v>RegularSeason</v>
      </c>
      <c r="C26" t="str">
        <f>Old!BF283</f>
        <v>Pending</v>
      </c>
      <c r="D26">
        <v>0</v>
      </c>
      <c r="E26">
        <v>11</v>
      </c>
      <c r="F26" t="str">
        <f t="shared" si="1"/>
        <v>0-11</v>
      </c>
    </row>
    <row r="27" spans="1:6" x14ac:dyDescent="0.25">
      <c r="A27">
        <f>Old!AI285</f>
        <v>0</v>
      </c>
      <c r="B27" t="str">
        <f>Old!AS285</f>
        <v>RegularSeason</v>
      </c>
      <c r="C27" t="str">
        <f>Old!BF285</f>
        <v>Pending</v>
      </c>
      <c r="D27">
        <v>0</v>
      </c>
      <c r="E27">
        <v>12</v>
      </c>
      <c r="F27" t="str">
        <f t="shared" si="1"/>
        <v>0-12</v>
      </c>
    </row>
    <row r="28" spans="1:6" x14ac:dyDescent="0.25">
      <c r="A28">
        <f>Old!AI298</f>
        <v>0</v>
      </c>
      <c r="B28" t="str">
        <f>Old!AS298</f>
        <v>RegularSeason</v>
      </c>
      <c r="C28" t="str">
        <f>Old!BF298</f>
        <v>Pending</v>
      </c>
      <c r="D28">
        <v>0</v>
      </c>
      <c r="E28">
        <v>13</v>
      </c>
      <c r="F28" t="str">
        <f t="shared" si="1"/>
        <v>0-13</v>
      </c>
    </row>
    <row r="29" spans="1:6" x14ac:dyDescent="0.25">
      <c r="A29">
        <f>Old!AI291</f>
        <v>0</v>
      </c>
      <c r="B29" t="str">
        <f>Old!AS291</f>
        <v>RegularSeason</v>
      </c>
      <c r="C29" t="str">
        <f>Old!BF291</f>
        <v>Pending</v>
      </c>
      <c r="D29">
        <v>0</v>
      </c>
      <c r="E29">
        <v>14</v>
      </c>
      <c r="F29" t="str">
        <f t="shared" si="1"/>
        <v>0-14</v>
      </c>
    </row>
    <row r="30" spans="1:6" hidden="1" x14ac:dyDescent="0.25">
      <c r="A30">
        <f>Old!AI30</f>
        <v>0</v>
      </c>
      <c r="B30" t="str">
        <f>Old!AS30</f>
        <v>PreSeason</v>
      </c>
      <c r="C30" t="str">
        <f>Old!BF30</f>
        <v>Pending</v>
      </c>
      <c r="D30">
        <v>19</v>
      </c>
      <c r="E30">
        <v>2</v>
      </c>
      <c r="F30" t="str">
        <f t="shared" si="1"/>
        <v>19-2</v>
      </c>
    </row>
    <row r="31" spans="1:6" x14ac:dyDescent="0.25">
      <c r="A31">
        <f>Old!AI277</f>
        <v>0</v>
      </c>
      <c r="B31" t="str">
        <f>Old!AS277</f>
        <v>RegularSeason</v>
      </c>
      <c r="C31" t="str">
        <f>Old!BF277</f>
        <v>Pending</v>
      </c>
      <c r="D31">
        <v>0</v>
      </c>
      <c r="E31">
        <v>15</v>
      </c>
      <c r="F31" t="str">
        <f t="shared" si="1"/>
        <v>0-15</v>
      </c>
    </row>
    <row r="32" spans="1:6" x14ac:dyDescent="0.25">
      <c r="A32">
        <f>Old!AI256</f>
        <v>0</v>
      </c>
      <c r="B32" t="str">
        <f>Old!AS256</f>
        <v>RegularSeason</v>
      </c>
      <c r="C32" t="str">
        <f>Old!BF256</f>
        <v>Pending</v>
      </c>
      <c r="D32">
        <v>1</v>
      </c>
      <c r="E32">
        <v>0</v>
      </c>
      <c r="F32" t="str">
        <f t="shared" si="1"/>
        <v>1-0</v>
      </c>
    </row>
    <row r="33" spans="1:6" x14ac:dyDescent="0.25">
      <c r="A33">
        <f>Old!AI258</f>
        <v>0</v>
      </c>
      <c r="B33" t="str">
        <f>Old!AS258</f>
        <v>RegularSeason</v>
      </c>
      <c r="C33" t="str">
        <f>Old!BF258</f>
        <v>Pending</v>
      </c>
      <c r="D33">
        <v>1</v>
      </c>
      <c r="E33">
        <v>1</v>
      </c>
      <c r="F33" t="str">
        <f t="shared" si="1"/>
        <v>1-1</v>
      </c>
    </row>
    <row r="34" spans="1:6" x14ac:dyDescent="0.25">
      <c r="A34">
        <f>Old!AI261</f>
        <v>0</v>
      </c>
      <c r="B34" t="str">
        <f>Old!AS261</f>
        <v>RegularSeason</v>
      </c>
      <c r="C34" t="str">
        <f>Old!BF261</f>
        <v>Pending</v>
      </c>
      <c r="D34">
        <v>1</v>
      </c>
      <c r="E34">
        <v>2</v>
      </c>
      <c r="F34" t="str">
        <f t="shared" si="1"/>
        <v>1-2</v>
      </c>
    </row>
    <row r="35" spans="1:6" x14ac:dyDescent="0.25">
      <c r="A35">
        <f>Old!AI262</f>
        <v>0</v>
      </c>
      <c r="B35" t="str">
        <f>Old!AS262</f>
        <v>RegularSeason</v>
      </c>
      <c r="C35" t="str">
        <f>Old!BF262</f>
        <v>Pending</v>
      </c>
      <c r="D35">
        <v>1</v>
      </c>
      <c r="E35">
        <v>3</v>
      </c>
      <c r="F35" t="str">
        <f t="shared" si="1"/>
        <v>1-3</v>
      </c>
    </row>
    <row r="36" spans="1:6" x14ac:dyDescent="0.25">
      <c r="A36">
        <f>Old!AI263</f>
        <v>0</v>
      </c>
      <c r="B36" t="str">
        <f>Old!AS263</f>
        <v>RegularSeason</v>
      </c>
      <c r="C36" t="str">
        <f>Old!BF263</f>
        <v>Pending</v>
      </c>
      <c r="D36">
        <v>1</v>
      </c>
      <c r="E36">
        <v>4</v>
      </c>
      <c r="F36" t="str">
        <f t="shared" si="1"/>
        <v>1-4</v>
      </c>
    </row>
    <row r="37" spans="1:6" x14ac:dyDescent="0.25">
      <c r="A37">
        <f>Old!AI264</f>
        <v>0</v>
      </c>
      <c r="B37" t="str">
        <f>Old!AS264</f>
        <v>RegularSeason</v>
      </c>
      <c r="C37" t="str">
        <f>Old!BF264</f>
        <v>Pending</v>
      </c>
      <c r="D37">
        <v>1</v>
      </c>
      <c r="E37">
        <v>5</v>
      </c>
      <c r="F37" t="str">
        <f t="shared" si="1"/>
        <v>1-5</v>
      </c>
    </row>
    <row r="38" spans="1:6" x14ac:dyDescent="0.25">
      <c r="A38">
        <f>Old!AI265</f>
        <v>0</v>
      </c>
      <c r="B38" t="str">
        <f>Old!AS265</f>
        <v>RegularSeason</v>
      </c>
      <c r="C38" t="str">
        <f>Old!BF265</f>
        <v>Pending</v>
      </c>
      <c r="D38">
        <v>1</v>
      </c>
      <c r="E38">
        <v>6</v>
      </c>
      <c r="F38" t="str">
        <f t="shared" si="1"/>
        <v>1-6</v>
      </c>
    </row>
    <row r="39" spans="1:6" x14ac:dyDescent="0.25">
      <c r="A39">
        <f>Old!AI274</f>
        <v>0</v>
      </c>
      <c r="B39" t="str">
        <f>Old!AS274</f>
        <v>RegularSeason</v>
      </c>
      <c r="C39" t="str">
        <f>Old!BF274</f>
        <v>Pending</v>
      </c>
      <c r="D39">
        <v>1</v>
      </c>
      <c r="E39">
        <v>7</v>
      </c>
      <c r="F39" t="str">
        <f t="shared" si="1"/>
        <v>1-7</v>
      </c>
    </row>
    <row r="40" spans="1:6" x14ac:dyDescent="0.25">
      <c r="A40">
        <f>Old!AI241</f>
        <v>0</v>
      </c>
      <c r="B40" t="str">
        <f>Old!AS241</f>
        <v>RegularSeason</v>
      </c>
      <c r="C40" t="str">
        <f>Old!BF241</f>
        <v>Pending</v>
      </c>
      <c r="D40">
        <v>1</v>
      </c>
      <c r="E40">
        <v>8</v>
      </c>
      <c r="F40" t="str">
        <f t="shared" si="1"/>
        <v>1-8</v>
      </c>
    </row>
    <row r="41" spans="1:6" x14ac:dyDescent="0.25">
      <c r="A41">
        <f>Old!AI248</f>
        <v>0</v>
      </c>
      <c r="B41" t="str">
        <f>Old!AS248</f>
        <v>RegularSeason</v>
      </c>
      <c r="C41" t="str">
        <f>Old!BF248</f>
        <v>Pending</v>
      </c>
      <c r="D41">
        <v>1</v>
      </c>
      <c r="E41">
        <v>9</v>
      </c>
      <c r="F41" t="str">
        <f t="shared" si="1"/>
        <v>1-9</v>
      </c>
    </row>
    <row r="42" spans="1:6" x14ac:dyDescent="0.25">
      <c r="A42">
        <f>Old!AI252</f>
        <v>0</v>
      </c>
      <c r="B42" t="str">
        <f>Old!AS252</f>
        <v>RegularSeason</v>
      </c>
      <c r="C42" t="str">
        <f>Old!BF252</f>
        <v>Pending</v>
      </c>
      <c r="D42">
        <v>1</v>
      </c>
      <c r="E42">
        <v>10</v>
      </c>
      <c r="F42" t="str">
        <f t="shared" si="1"/>
        <v>1-10</v>
      </c>
    </row>
    <row r="43" spans="1:6" x14ac:dyDescent="0.25">
      <c r="A43">
        <f>Old!AI260</f>
        <v>0</v>
      </c>
      <c r="B43" t="str">
        <f>Old!AS260</f>
        <v>RegularSeason</v>
      </c>
      <c r="C43" t="str">
        <f>Old!BF260</f>
        <v>Pending</v>
      </c>
      <c r="D43">
        <v>1</v>
      </c>
      <c r="E43">
        <v>11</v>
      </c>
      <c r="F43" t="str">
        <f t="shared" si="1"/>
        <v>1-11</v>
      </c>
    </row>
    <row r="44" spans="1:6" x14ac:dyDescent="0.25">
      <c r="A44">
        <f>Old!AI266</f>
        <v>0</v>
      </c>
      <c r="B44" t="str">
        <f>Old!AS266</f>
        <v>RegularSeason</v>
      </c>
      <c r="C44" t="str">
        <f>Old!BF266</f>
        <v>Pending</v>
      </c>
      <c r="D44">
        <v>1</v>
      </c>
      <c r="E44">
        <v>12</v>
      </c>
      <c r="F44" t="str">
        <f t="shared" si="1"/>
        <v>1-12</v>
      </c>
    </row>
    <row r="45" spans="1:6" x14ac:dyDescent="0.25">
      <c r="A45">
        <f>Old!AI257</f>
        <v>0</v>
      </c>
      <c r="B45" t="str">
        <f>Old!AS257</f>
        <v>RegularSeason</v>
      </c>
      <c r="C45" t="str">
        <f>Old!BF257</f>
        <v>Pending</v>
      </c>
      <c r="D45">
        <v>1</v>
      </c>
      <c r="E45">
        <v>13</v>
      </c>
      <c r="F45" t="str">
        <f t="shared" si="1"/>
        <v>1-13</v>
      </c>
    </row>
    <row r="46" spans="1:6" x14ac:dyDescent="0.25">
      <c r="A46">
        <f>Old!AI286</f>
        <v>0</v>
      </c>
      <c r="B46" t="str">
        <f>Old!AS286</f>
        <v>RegularSeason</v>
      </c>
      <c r="C46" t="str">
        <f>Old!BF286</f>
        <v>Pending</v>
      </c>
      <c r="D46">
        <v>1</v>
      </c>
      <c r="E46">
        <v>14</v>
      </c>
      <c r="F46" t="str">
        <f t="shared" si="1"/>
        <v>1-14</v>
      </c>
    </row>
    <row r="47" spans="1:6" x14ac:dyDescent="0.25">
      <c r="A47">
        <f>Old!AI282</f>
        <v>0</v>
      </c>
      <c r="B47" t="str">
        <f>Old!AS282</f>
        <v>RegularSeason</v>
      </c>
      <c r="C47" t="str">
        <f>Old!BF282</f>
        <v>Pending</v>
      </c>
      <c r="D47">
        <v>1</v>
      </c>
      <c r="E47">
        <v>15</v>
      </c>
      <c r="F47" t="str">
        <f t="shared" si="1"/>
        <v>1-15</v>
      </c>
    </row>
    <row r="48" spans="1:6" x14ac:dyDescent="0.25">
      <c r="A48">
        <f>Old!AI240</f>
        <v>0</v>
      </c>
      <c r="B48" t="str">
        <f>Old!AS240</f>
        <v>RegularSeason</v>
      </c>
      <c r="C48" t="str">
        <f>Old!BF240</f>
        <v>Pending</v>
      </c>
      <c r="D48">
        <v>2</v>
      </c>
      <c r="E48">
        <v>0</v>
      </c>
      <c r="F48" t="str">
        <f t="shared" si="1"/>
        <v>2-0</v>
      </c>
    </row>
    <row r="49" spans="1:6" x14ac:dyDescent="0.25">
      <c r="A49">
        <f>Old!AI243</f>
        <v>0</v>
      </c>
      <c r="B49" t="str">
        <f>Old!AS243</f>
        <v>RegularSeason</v>
      </c>
      <c r="C49" t="str">
        <f>Old!BF243</f>
        <v>Pending</v>
      </c>
      <c r="D49">
        <v>2</v>
      </c>
      <c r="E49">
        <v>1</v>
      </c>
      <c r="F49" t="str">
        <f t="shared" si="1"/>
        <v>2-1</v>
      </c>
    </row>
    <row r="50" spans="1:6" x14ac:dyDescent="0.25">
      <c r="A50">
        <f>Old!AI244</f>
        <v>0</v>
      </c>
      <c r="B50" t="str">
        <f>Old!AS244</f>
        <v>RegularSeason</v>
      </c>
      <c r="C50" t="str">
        <f>Old!BF244</f>
        <v>Pending</v>
      </c>
      <c r="D50">
        <v>2</v>
      </c>
      <c r="E50">
        <v>2</v>
      </c>
      <c r="F50" t="str">
        <f t="shared" si="1"/>
        <v>2-2</v>
      </c>
    </row>
    <row r="51" spans="1:6" x14ac:dyDescent="0.25">
      <c r="A51">
        <f>Old!AI246</f>
        <v>0</v>
      </c>
      <c r="B51" t="str">
        <f>Old!AS246</f>
        <v>RegularSeason</v>
      </c>
      <c r="C51" t="str">
        <f>Old!BF246</f>
        <v>Pending</v>
      </c>
      <c r="D51">
        <v>2</v>
      </c>
      <c r="E51">
        <v>3</v>
      </c>
      <c r="F51" t="str">
        <f t="shared" si="1"/>
        <v>2-3</v>
      </c>
    </row>
    <row r="52" spans="1:6" x14ac:dyDescent="0.25">
      <c r="A52">
        <f>Old!AI247</f>
        <v>0</v>
      </c>
      <c r="B52" t="str">
        <f>Old!AS247</f>
        <v>RegularSeason</v>
      </c>
      <c r="C52" t="str">
        <f>Old!BF247</f>
        <v>Pending</v>
      </c>
      <c r="D52">
        <v>2</v>
      </c>
      <c r="E52">
        <v>4</v>
      </c>
      <c r="F52" t="str">
        <f t="shared" si="1"/>
        <v>2-4</v>
      </c>
    </row>
    <row r="53" spans="1:6" x14ac:dyDescent="0.25">
      <c r="A53">
        <f>Old!AI249</f>
        <v>0</v>
      </c>
      <c r="B53" t="str">
        <f>Old!AS249</f>
        <v>RegularSeason</v>
      </c>
      <c r="C53" t="str">
        <f>Old!BF249</f>
        <v>Pending</v>
      </c>
      <c r="D53">
        <v>2</v>
      </c>
      <c r="E53">
        <v>5</v>
      </c>
      <c r="F53" t="str">
        <f t="shared" si="1"/>
        <v>2-5</v>
      </c>
    </row>
    <row r="54" spans="1:6" x14ac:dyDescent="0.25">
      <c r="A54">
        <f>Old!AI254</f>
        <v>0</v>
      </c>
      <c r="B54" t="str">
        <f>Old!AS254</f>
        <v>RegularSeason</v>
      </c>
      <c r="C54" t="str">
        <f>Old!BF254</f>
        <v>Pending</v>
      </c>
      <c r="D54">
        <v>2</v>
      </c>
      <c r="E54">
        <v>6</v>
      </c>
      <c r="F54" t="str">
        <f t="shared" si="1"/>
        <v>2-6</v>
      </c>
    </row>
    <row r="55" spans="1:6" x14ac:dyDescent="0.25">
      <c r="A55">
        <f>Old!AI271</f>
        <v>0</v>
      </c>
      <c r="B55" t="str">
        <f>Old!AS271</f>
        <v>RegularSeason</v>
      </c>
      <c r="C55" t="str">
        <f>Old!BF271</f>
        <v>Pending</v>
      </c>
      <c r="D55">
        <v>2</v>
      </c>
      <c r="E55">
        <v>7</v>
      </c>
      <c r="F55" t="str">
        <f t="shared" si="1"/>
        <v>2-7</v>
      </c>
    </row>
    <row r="56" spans="1:6" x14ac:dyDescent="0.25">
      <c r="A56">
        <f>Old!AI236</f>
        <v>0</v>
      </c>
      <c r="B56" t="str">
        <f>Old!AS236</f>
        <v>RegularSeason</v>
      </c>
      <c r="C56" t="str">
        <f>Old!BF236</f>
        <v>Pending</v>
      </c>
      <c r="D56">
        <v>2</v>
      </c>
      <c r="E56">
        <v>8</v>
      </c>
      <c r="F56" t="str">
        <f t="shared" si="1"/>
        <v>2-8</v>
      </c>
    </row>
    <row r="57" spans="1:6" x14ac:dyDescent="0.25">
      <c r="A57">
        <f>Old!AI250</f>
        <v>0</v>
      </c>
      <c r="B57" t="str">
        <f>Old!AS250</f>
        <v>RegularSeason</v>
      </c>
      <c r="C57" t="str">
        <f>Old!BF250</f>
        <v>Pending</v>
      </c>
      <c r="D57">
        <v>2</v>
      </c>
      <c r="E57">
        <v>9</v>
      </c>
      <c r="F57" t="str">
        <f t="shared" si="1"/>
        <v>2-9</v>
      </c>
    </row>
    <row r="58" spans="1:6" x14ac:dyDescent="0.25">
      <c r="A58">
        <f>Old!AI225</f>
        <v>0</v>
      </c>
      <c r="B58" t="str">
        <f>Old!AS225</f>
        <v>RegularSeason</v>
      </c>
      <c r="C58" t="str">
        <f>Old!BF225</f>
        <v>Pending</v>
      </c>
      <c r="D58">
        <v>2</v>
      </c>
      <c r="E58">
        <v>10</v>
      </c>
      <c r="F58" t="str">
        <f t="shared" si="1"/>
        <v>2-10</v>
      </c>
    </row>
    <row r="59" spans="1:6" x14ac:dyDescent="0.25">
      <c r="A59">
        <f>Old!AI231</f>
        <v>0</v>
      </c>
      <c r="B59" t="str">
        <f>Old!AS231</f>
        <v>RegularSeason</v>
      </c>
      <c r="C59" t="str">
        <f>Old!BF231</f>
        <v>Pending</v>
      </c>
      <c r="D59">
        <v>2</v>
      </c>
      <c r="E59">
        <v>11</v>
      </c>
      <c r="F59" t="str">
        <f t="shared" si="1"/>
        <v>2-11</v>
      </c>
    </row>
    <row r="60" spans="1:6" x14ac:dyDescent="0.25">
      <c r="A60">
        <f>Old!AI253</f>
        <v>0</v>
      </c>
      <c r="B60" t="str">
        <f>Old!AS253</f>
        <v>RegularSeason</v>
      </c>
      <c r="C60" t="str">
        <f>Old!BF253</f>
        <v>Pending</v>
      </c>
      <c r="D60">
        <v>2</v>
      </c>
      <c r="E60">
        <v>12</v>
      </c>
      <c r="F60" t="str">
        <f t="shared" si="1"/>
        <v>2-12</v>
      </c>
    </row>
    <row r="61" spans="1:6" x14ac:dyDescent="0.25">
      <c r="A61">
        <f>Old!AI268</f>
        <v>0</v>
      </c>
      <c r="B61" t="str">
        <f>Old!AS268</f>
        <v>RegularSeason</v>
      </c>
      <c r="C61" t="str">
        <f>Old!BF268</f>
        <v>Pending</v>
      </c>
      <c r="D61">
        <v>2</v>
      </c>
      <c r="E61">
        <v>13</v>
      </c>
      <c r="F61" t="str">
        <f t="shared" si="1"/>
        <v>2-13</v>
      </c>
    </row>
    <row r="62" spans="1:6" x14ac:dyDescent="0.25">
      <c r="A62">
        <f>Old!AI245</f>
        <v>0</v>
      </c>
      <c r="B62" t="str">
        <f>Old!AS245</f>
        <v>RegularSeason</v>
      </c>
      <c r="C62" t="str">
        <f>Old!BF245</f>
        <v>Pending</v>
      </c>
      <c r="D62">
        <v>2</v>
      </c>
      <c r="E62">
        <v>14</v>
      </c>
      <c r="F62" t="str">
        <f t="shared" si="1"/>
        <v>2-14</v>
      </c>
    </row>
    <row r="63" spans="1:6" x14ac:dyDescent="0.25">
      <c r="A63">
        <f>Old!AI269</f>
        <v>0</v>
      </c>
      <c r="B63" t="str">
        <f>Old!AS269</f>
        <v>RegularSeason</v>
      </c>
      <c r="C63" t="str">
        <f>Old!BF269</f>
        <v>Pending</v>
      </c>
      <c r="D63">
        <v>2</v>
      </c>
      <c r="E63">
        <v>15</v>
      </c>
      <c r="F63" t="str">
        <f t="shared" si="1"/>
        <v>2-15</v>
      </c>
    </row>
    <row r="64" spans="1:6" x14ac:dyDescent="0.25">
      <c r="A64">
        <f>Old!AI224</f>
        <v>0</v>
      </c>
      <c r="B64" t="str">
        <f>Old!AS224</f>
        <v>RegularSeason</v>
      </c>
      <c r="C64" t="str">
        <f>Old!BF224</f>
        <v>Pending</v>
      </c>
      <c r="D64">
        <v>3</v>
      </c>
      <c r="E64">
        <v>0</v>
      </c>
      <c r="F64" t="str">
        <f t="shared" si="1"/>
        <v>3-0</v>
      </c>
    </row>
    <row r="65" spans="1:6" x14ac:dyDescent="0.25">
      <c r="A65">
        <f>Old!AI228</f>
        <v>0</v>
      </c>
      <c r="B65" t="str">
        <f>Old!AS228</f>
        <v>RegularSeason</v>
      </c>
      <c r="C65" t="str">
        <f>Old!BF228</f>
        <v>Pending</v>
      </c>
      <c r="D65">
        <v>3</v>
      </c>
      <c r="E65">
        <v>1</v>
      </c>
      <c r="F65" t="str">
        <f t="shared" si="1"/>
        <v>3-1</v>
      </c>
    </row>
    <row r="66" spans="1:6" x14ac:dyDescent="0.25">
      <c r="A66">
        <f>Old!AI229</f>
        <v>0</v>
      </c>
      <c r="B66" t="str">
        <f>Old!AS229</f>
        <v>RegularSeason</v>
      </c>
      <c r="C66" t="str">
        <f>Old!BF229</f>
        <v>Pending</v>
      </c>
      <c r="D66">
        <v>3</v>
      </c>
      <c r="E66">
        <v>2</v>
      </c>
      <c r="F66" t="str">
        <f t="shared" si="1"/>
        <v>3-2</v>
      </c>
    </row>
    <row r="67" spans="1:6" x14ac:dyDescent="0.25">
      <c r="A67">
        <f>Old!AI232</f>
        <v>0</v>
      </c>
      <c r="B67" t="str">
        <f>Old!AS232</f>
        <v>RegularSeason</v>
      </c>
      <c r="C67" t="str">
        <f>Old!BF232</f>
        <v>Pending</v>
      </c>
      <c r="D67">
        <v>3</v>
      </c>
      <c r="E67">
        <v>3</v>
      </c>
      <c r="F67" t="str">
        <f t="shared" si="1"/>
        <v>3-3</v>
      </c>
    </row>
    <row r="68" spans="1:6" x14ac:dyDescent="0.25">
      <c r="A68">
        <f>Old!AI235</f>
        <v>0</v>
      </c>
      <c r="B68" t="str">
        <f>Old!AS235</f>
        <v>RegularSeason</v>
      </c>
      <c r="C68" t="str">
        <f>Old!BF235</f>
        <v>Pending</v>
      </c>
      <c r="D68">
        <v>3</v>
      </c>
      <c r="E68">
        <v>4</v>
      </c>
      <c r="F68" t="str">
        <f t="shared" si="1"/>
        <v>3-4</v>
      </c>
    </row>
    <row r="69" spans="1:6" x14ac:dyDescent="0.25">
      <c r="A69">
        <f>Old!AI239</f>
        <v>0</v>
      </c>
      <c r="B69" t="str">
        <f>Old!AS239</f>
        <v>RegularSeason</v>
      </c>
      <c r="C69" t="str">
        <f>Old!BF239</f>
        <v>Pending</v>
      </c>
      <c r="D69">
        <v>3</v>
      </c>
      <c r="E69">
        <v>5</v>
      </c>
      <c r="F69" t="str">
        <f t="shared" si="1"/>
        <v>3-5</v>
      </c>
    </row>
    <row r="70" spans="1:6" x14ac:dyDescent="0.25">
      <c r="A70">
        <f>Old!AI251</f>
        <v>0</v>
      </c>
      <c r="B70" t="str">
        <f>Old!AS251</f>
        <v>RegularSeason</v>
      </c>
      <c r="C70" t="str">
        <f>Old!BF251</f>
        <v>Pending</v>
      </c>
      <c r="D70">
        <v>3</v>
      </c>
      <c r="E70">
        <v>6</v>
      </c>
      <c r="F70" t="str">
        <f t="shared" si="1"/>
        <v>3-6</v>
      </c>
    </row>
    <row r="71" spans="1:6" x14ac:dyDescent="0.25">
      <c r="A71">
        <f>Old!AI255</f>
        <v>0</v>
      </c>
      <c r="B71" t="str">
        <f>Old!AS255</f>
        <v>RegularSeason</v>
      </c>
      <c r="C71" t="str">
        <f>Old!BF255</f>
        <v>Pending</v>
      </c>
      <c r="D71">
        <v>3</v>
      </c>
      <c r="E71">
        <v>7</v>
      </c>
      <c r="F71" t="str">
        <f t="shared" si="1"/>
        <v>3-7</v>
      </c>
    </row>
    <row r="72" spans="1:6" x14ac:dyDescent="0.25">
      <c r="A72">
        <f>Old!AI215</f>
        <v>0</v>
      </c>
      <c r="B72" t="str">
        <f>Old!AS215</f>
        <v>RegularSeason</v>
      </c>
      <c r="C72" t="str">
        <f>Old!BF215</f>
        <v>Pending</v>
      </c>
      <c r="D72">
        <v>3</v>
      </c>
      <c r="E72">
        <v>8</v>
      </c>
      <c r="F72" t="str">
        <f t="shared" si="1"/>
        <v>3-8</v>
      </c>
    </row>
    <row r="73" spans="1:6" x14ac:dyDescent="0.25">
      <c r="A73">
        <f>Old!AI216</f>
        <v>0</v>
      </c>
      <c r="B73" t="str">
        <f>Old!AS216</f>
        <v>RegularSeason</v>
      </c>
      <c r="C73" t="str">
        <f>Old!BF216</f>
        <v>Pending</v>
      </c>
      <c r="D73">
        <v>3</v>
      </c>
      <c r="E73">
        <v>9</v>
      </c>
      <c r="F73" t="str">
        <f t="shared" si="1"/>
        <v>3-9</v>
      </c>
    </row>
    <row r="74" spans="1:6" x14ac:dyDescent="0.25">
      <c r="A74">
        <f>Old!AI230</f>
        <v>0</v>
      </c>
      <c r="B74" t="str">
        <f>Old!AS230</f>
        <v>RegularSeason</v>
      </c>
      <c r="C74" t="str">
        <f>Old!BF230</f>
        <v>Pending</v>
      </c>
      <c r="D74">
        <v>3</v>
      </c>
      <c r="E74">
        <v>10</v>
      </c>
      <c r="F74" t="str">
        <f t="shared" si="1"/>
        <v>3-10</v>
      </c>
    </row>
    <row r="75" spans="1:6" x14ac:dyDescent="0.25">
      <c r="A75">
        <f>Old!AI220</f>
        <v>0</v>
      </c>
      <c r="B75" t="str">
        <f>Old!AS220</f>
        <v>RegularSeason</v>
      </c>
      <c r="C75" t="str">
        <f>Old!BF220</f>
        <v>Pending</v>
      </c>
      <c r="D75">
        <v>3</v>
      </c>
      <c r="E75">
        <v>11</v>
      </c>
      <c r="F75" t="str">
        <f t="shared" si="1"/>
        <v>3-11</v>
      </c>
    </row>
    <row r="76" spans="1:6" x14ac:dyDescent="0.25">
      <c r="A76">
        <f>Old!AI234</f>
        <v>0</v>
      </c>
      <c r="B76" t="str">
        <f>Old!AS234</f>
        <v>RegularSeason</v>
      </c>
      <c r="C76" t="str">
        <f>Old!BF234</f>
        <v>Pending</v>
      </c>
      <c r="D76">
        <v>3</v>
      </c>
      <c r="E76">
        <v>12</v>
      </c>
      <c r="F76" t="str">
        <f t="shared" si="1"/>
        <v>3-12</v>
      </c>
    </row>
    <row r="77" spans="1:6" x14ac:dyDescent="0.25">
      <c r="A77">
        <f>Old!AI222</f>
        <v>0</v>
      </c>
      <c r="B77" t="str">
        <f>Old!AS222</f>
        <v>RegularSeason</v>
      </c>
      <c r="C77" t="str">
        <f>Old!BF222</f>
        <v>Pending</v>
      </c>
      <c r="D77">
        <v>3</v>
      </c>
      <c r="E77">
        <v>13</v>
      </c>
      <c r="F77" t="str">
        <f t="shared" ref="F77:F140" si="2">_xlfn.CONCAT(D77,"-",E77)</f>
        <v>3-13</v>
      </c>
    </row>
    <row r="78" spans="1:6" x14ac:dyDescent="0.25">
      <c r="A78">
        <f>Old!AI242</f>
        <v>0</v>
      </c>
      <c r="B78" t="str">
        <f>Old!AS242</f>
        <v>RegularSeason</v>
      </c>
      <c r="C78" t="str">
        <f>Old!BF242</f>
        <v>Pending</v>
      </c>
      <c r="D78">
        <v>3</v>
      </c>
      <c r="E78">
        <v>14</v>
      </c>
      <c r="F78" t="str">
        <f t="shared" si="2"/>
        <v>3-14</v>
      </c>
    </row>
    <row r="79" spans="1:6" x14ac:dyDescent="0.25">
      <c r="A79">
        <f>Old!AI227</f>
        <v>0</v>
      </c>
      <c r="B79" t="str">
        <f>Old!AS227</f>
        <v>RegularSeason</v>
      </c>
      <c r="C79" t="str">
        <f>Old!BF227</f>
        <v>Pending</v>
      </c>
      <c r="D79">
        <v>3</v>
      </c>
      <c r="E79">
        <v>15</v>
      </c>
      <c r="F79" t="str">
        <f t="shared" si="2"/>
        <v>3-15</v>
      </c>
    </row>
    <row r="80" spans="1:6" x14ac:dyDescent="0.25">
      <c r="A80">
        <f>Old!AI195</f>
        <v>0</v>
      </c>
      <c r="B80" t="str">
        <f>Old!AS195</f>
        <v>RegularSeason</v>
      </c>
      <c r="C80" t="str">
        <f>Old!BF195</f>
        <v>Pending</v>
      </c>
      <c r="D80">
        <v>4</v>
      </c>
      <c r="E80">
        <v>0</v>
      </c>
      <c r="F80" t="str">
        <f t="shared" si="2"/>
        <v>4-0</v>
      </c>
    </row>
    <row r="81" spans="1:6" x14ac:dyDescent="0.25">
      <c r="A81">
        <f>Old!AI202</f>
        <v>0</v>
      </c>
      <c r="B81" t="str">
        <f>Old!AS202</f>
        <v>RegularSeason</v>
      </c>
      <c r="C81" t="str">
        <f>Old!BF202</f>
        <v>Pending</v>
      </c>
      <c r="D81">
        <v>4</v>
      </c>
      <c r="E81">
        <v>1</v>
      </c>
      <c r="F81" t="str">
        <f t="shared" si="2"/>
        <v>4-1</v>
      </c>
    </row>
    <row r="82" spans="1:6" x14ac:dyDescent="0.25">
      <c r="A82">
        <f>Old!AI205</f>
        <v>0</v>
      </c>
      <c r="B82" t="str">
        <f>Old!AS205</f>
        <v>RegularSeason</v>
      </c>
      <c r="C82" t="str">
        <f>Old!BF205</f>
        <v>Pending</v>
      </c>
      <c r="D82">
        <v>4</v>
      </c>
      <c r="E82">
        <v>2</v>
      </c>
      <c r="F82" t="str">
        <f t="shared" si="2"/>
        <v>4-2</v>
      </c>
    </row>
    <row r="83" spans="1:6" x14ac:dyDescent="0.25">
      <c r="A83">
        <f>Old!AI208</f>
        <v>0</v>
      </c>
      <c r="B83" t="str">
        <f>Old!AS208</f>
        <v>RegularSeason</v>
      </c>
      <c r="C83" t="str">
        <f>Old!BF208</f>
        <v>Pending</v>
      </c>
      <c r="D83">
        <v>4</v>
      </c>
      <c r="E83">
        <v>3</v>
      </c>
      <c r="F83" t="str">
        <f t="shared" si="2"/>
        <v>4-3</v>
      </c>
    </row>
    <row r="84" spans="1:6" x14ac:dyDescent="0.25">
      <c r="A84">
        <f>Old!AI210</f>
        <v>0</v>
      </c>
      <c r="B84" t="str">
        <f>Old!AS210</f>
        <v>RegularSeason</v>
      </c>
      <c r="C84" t="str">
        <f>Old!BF210</f>
        <v>Pending</v>
      </c>
      <c r="D84">
        <v>4</v>
      </c>
      <c r="E84">
        <v>4</v>
      </c>
      <c r="F84" t="str">
        <f t="shared" si="2"/>
        <v>4-4</v>
      </c>
    </row>
    <row r="85" spans="1:6" x14ac:dyDescent="0.25">
      <c r="A85">
        <f>Old!AI213</f>
        <v>0</v>
      </c>
      <c r="B85" t="str">
        <f>Old!AS213</f>
        <v>RegularSeason</v>
      </c>
      <c r="C85" t="str">
        <f>Old!BF213</f>
        <v>Pending</v>
      </c>
      <c r="D85">
        <v>4</v>
      </c>
      <c r="E85">
        <v>5</v>
      </c>
      <c r="F85" t="str">
        <f t="shared" si="2"/>
        <v>4-5</v>
      </c>
    </row>
    <row r="86" spans="1:6" x14ac:dyDescent="0.25">
      <c r="A86">
        <f>Old!AI237</f>
        <v>0</v>
      </c>
      <c r="B86" t="str">
        <f>Old!AS237</f>
        <v>RegularSeason</v>
      </c>
      <c r="C86" t="str">
        <f>Old!BF237</f>
        <v>Pending</v>
      </c>
      <c r="D86">
        <v>4</v>
      </c>
      <c r="E86">
        <v>6</v>
      </c>
      <c r="F86" t="str">
        <f t="shared" si="2"/>
        <v>4-6</v>
      </c>
    </row>
    <row r="87" spans="1:6" x14ac:dyDescent="0.25">
      <c r="A87">
        <f>Old!AI238</f>
        <v>0</v>
      </c>
      <c r="B87" t="str">
        <f>Old!AS238</f>
        <v>RegularSeason</v>
      </c>
      <c r="C87" t="str">
        <f>Old!BF238</f>
        <v>Pending</v>
      </c>
      <c r="D87">
        <v>4</v>
      </c>
      <c r="E87">
        <v>7</v>
      </c>
      <c r="F87" t="str">
        <f t="shared" si="2"/>
        <v>4-7</v>
      </c>
    </row>
    <row r="88" spans="1:6" x14ac:dyDescent="0.25">
      <c r="A88">
        <f>Old!AI214</f>
        <v>0</v>
      </c>
      <c r="B88" t="str">
        <f>Old!AS214</f>
        <v>RegularSeason</v>
      </c>
      <c r="C88" t="str">
        <f>Old!BF214</f>
        <v>Pending</v>
      </c>
      <c r="D88">
        <v>4</v>
      </c>
      <c r="E88">
        <v>8</v>
      </c>
      <c r="F88" t="str">
        <f t="shared" si="2"/>
        <v>4-8</v>
      </c>
    </row>
    <row r="89" spans="1:6" x14ac:dyDescent="0.25">
      <c r="A89">
        <f>Old!AI198</f>
        <v>0</v>
      </c>
      <c r="B89" t="str">
        <f>Old!AS198</f>
        <v>RegularSeason</v>
      </c>
      <c r="C89" t="str">
        <f>Old!BF198</f>
        <v>Pending</v>
      </c>
      <c r="D89">
        <v>4</v>
      </c>
      <c r="E89">
        <v>9</v>
      </c>
      <c r="F89" t="str">
        <f t="shared" si="2"/>
        <v>4-9</v>
      </c>
    </row>
    <row r="90" spans="1:6" x14ac:dyDescent="0.25">
      <c r="A90">
        <f>Old!AI204</f>
        <v>0</v>
      </c>
      <c r="B90" t="str">
        <f>Old!AS204</f>
        <v>RegularSeason</v>
      </c>
      <c r="C90" t="str">
        <f>Old!BF204</f>
        <v>Pending</v>
      </c>
      <c r="D90">
        <v>4</v>
      </c>
      <c r="E90">
        <v>10</v>
      </c>
      <c r="F90" t="str">
        <f t="shared" si="2"/>
        <v>4-10</v>
      </c>
    </row>
    <row r="91" spans="1:6" x14ac:dyDescent="0.25">
      <c r="A91">
        <f>Old!AI219</f>
        <v>0</v>
      </c>
      <c r="B91" t="str">
        <f>Old!AS219</f>
        <v>RegularSeason</v>
      </c>
      <c r="C91" t="str">
        <f>Old!BF219</f>
        <v>Pending</v>
      </c>
      <c r="D91">
        <v>4</v>
      </c>
      <c r="E91">
        <v>11</v>
      </c>
      <c r="F91" t="str">
        <f t="shared" si="2"/>
        <v>4-11</v>
      </c>
    </row>
    <row r="92" spans="1:6" x14ac:dyDescent="0.25">
      <c r="A92">
        <f>Old!AI223</f>
        <v>0</v>
      </c>
      <c r="B92" t="str">
        <f>Old!AS223</f>
        <v>RegularSeason</v>
      </c>
      <c r="C92" t="str">
        <f>Old!BF223</f>
        <v>Pending</v>
      </c>
      <c r="D92">
        <v>4</v>
      </c>
      <c r="E92">
        <v>12</v>
      </c>
      <c r="F92" t="str">
        <f t="shared" si="2"/>
        <v>4-12</v>
      </c>
    </row>
    <row r="93" spans="1:6" x14ac:dyDescent="0.25">
      <c r="A93">
        <f>Old!AI212</f>
        <v>0</v>
      </c>
      <c r="B93" t="str">
        <f>Old!AS212</f>
        <v>RegularSeason</v>
      </c>
      <c r="C93" t="str">
        <f>Old!BF212</f>
        <v>Pending</v>
      </c>
      <c r="D93">
        <v>4</v>
      </c>
      <c r="E93">
        <v>13</v>
      </c>
      <c r="F93" t="str">
        <f t="shared" si="2"/>
        <v>4-13</v>
      </c>
    </row>
    <row r="94" spans="1:6" x14ac:dyDescent="0.25">
      <c r="A94">
        <f>Old!AI233</f>
        <v>0</v>
      </c>
      <c r="B94" t="str">
        <f>Old!AS233</f>
        <v>RegularSeason</v>
      </c>
      <c r="C94" t="str">
        <f>Old!BF233</f>
        <v>Pending</v>
      </c>
      <c r="D94">
        <v>4</v>
      </c>
      <c r="E94">
        <v>14</v>
      </c>
      <c r="F94" t="str">
        <f t="shared" si="2"/>
        <v>4-14</v>
      </c>
    </row>
    <row r="95" spans="1:6" x14ac:dyDescent="0.25">
      <c r="A95">
        <f>Old!AI226</f>
        <v>0</v>
      </c>
      <c r="B95" t="str">
        <f>Old!AS226</f>
        <v>RegularSeason</v>
      </c>
      <c r="C95" t="str">
        <f>Old!BF226</f>
        <v>Pending</v>
      </c>
      <c r="D95">
        <v>4</v>
      </c>
      <c r="E95">
        <v>15</v>
      </c>
      <c r="F95" t="str">
        <f t="shared" si="2"/>
        <v>4-15</v>
      </c>
    </row>
    <row r="96" spans="1:6" x14ac:dyDescent="0.25">
      <c r="A96">
        <f>Old!AI187</f>
        <v>0</v>
      </c>
      <c r="B96" t="str">
        <f>Old!AS187</f>
        <v>RegularSeason</v>
      </c>
      <c r="C96" t="str">
        <f>Old!BF187</f>
        <v>Pending</v>
      </c>
      <c r="D96">
        <v>5</v>
      </c>
      <c r="E96">
        <v>0</v>
      </c>
      <c r="F96" t="str">
        <f t="shared" si="2"/>
        <v>5-0</v>
      </c>
    </row>
    <row r="97" spans="1:6" x14ac:dyDescent="0.25">
      <c r="A97">
        <f>Old!AI190</f>
        <v>0</v>
      </c>
      <c r="B97" t="str">
        <f>Old!AS190</f>
        <v>RegularSeason</v>
      </c>
      <c r="C97" t="str">
        <f>Old!BF190</f>
        <v>Pending</v>
      </c>
      <c r="D97">
        <v>5</v>
      </c>
      <c r="E97">
        <v>1</v>
      </c>
      <c r="F97" t="str">
        <f t="shared" si="2"/>
        <v>5-1</v>
      </c>
    </row>
    <row r="98" spans="1:6" x14ac:dyDescent="0.25">
      <c r="A98">
        <f>Old!AI194</f>
        <v>0</v>
      </c>
      <c r="B98" t="str">
        <f>Old!AS194</f>
        <v>RegularSeason</v>
      </c>
      <c r="C98" t="str">
        <f>Old!BF194</f>
        <v>Pending</v>
      </c>
      <c r="D98">
        <v>5</v>
      </c>
      <c r="E98">
        <v>2</v>
      </c>
      <c r="F98" t="str">
        <f t="shared" si="2"/>
        <v>5-2</v>
      </c>
    </row>
    <row r="99" spans="1:6" x14ac:dyDescent="0.25">
      <c r="A99">
        <f>Old!AI196</f>
        <v>0</v>
      </c>
      <c r="B99" t="str">
        <f>Old!AS196</f>
        <v>RegularSeason</v>
      </c>
      <c r="C99" t="str">
        <f>Old!BF196</f>
        <v>Pending</v>
      </c>
      <c r="D99">
        <v>5</v>
      </c>
      <c r="E99">
        <v>3</v>
      </c>
      <c r="F99" t="str">
        <f t="shared" si="2"/>
        <v>5-3</v>
      </c>
    </row>
    <row r="100" spans="1:6" x14ac:dyDescent="0.25">
      <c r="A100">
        <f>Old!AI197</f>
        <v>0</v>
      </c>
      <c r="B100" t="str">
        <f>Old!AS197</f>
        <v>RegularSeason</v>
      </c>
      <c r="C100" t="str">
        <f>Old!BF197</f>
        <v>Pending</v>
      </c>
      <c r="D100">
        <v>5</v>
      </c>
      <c r="E100">
        <v>4</v>
      </c>
      <c r="F100" t="str">
        <f t="shared" si="2"/>
        <v>5-4</v>
      </c>
    </row>
    <row r="101" spans="1:6" x14ac:dyDescent="0.25">
      <c r="A101">
        <f>Old!AI200</f>
        <v>0</v>
      </c>
      <c r="B101" t="str">
        <f>Old!AS200</f>
        <v>RegularSeason</v>
      </c>
      <c r="C101" t="str">
        <f>Old!BF200</f>
        <v>Pending</v>
      </c>
      <c r="D101">
        <v>5</v>
      </c>
      <c r="E101">
        <v>5</v>
      </c>
      <c r="F101" t="str">
        <f t="shared" si="2"/>
        <v>5-5</v>
      </c>
    </row>
    <row r="102" spans="1:6" x14ac:dyDescent="0.25">
      <c r="A102">
        <f>Old!AI209</f>
        <v>0</v>
      </c>
      <c r="B102" t="str">
        <f>Old!AS209</f>
        <v>RegularSeason</v>
      </c>
      <c r="C102" t="str">
        <f>Old!BF209</f>
        <v>Pending</v>
      </c>
      <c r="D102">
        <v>5</v>
      </c>
      <c r="E102">
        <v>6</v>
      </c>
      <c r="F102" t="str">
        <f t="shared" si="2"/>
        <v>5-6</v>
      </c>
    </row>
    <row r="103" spans="1:6" x14ac:dyDescent="0.25">
      <c r="A103">
        <f>Old!AI201</f>
        <v>0</v>
      </c>
      <c r="B103" t="str">
        <f>Old!AS201</f>
        <v>RegularSeason</v>
      </c>
      <c r="C103" t="str">
        <f>Old!BF201</f>
        <v>Pending</v>
      </c>
      <c r="D103">
        <v>5</v>
      </c>
      <c r="E103">
        <v>7</v>
      </c>
      <c r="F103" t="str">
        <f t="shared" si="2"/>
        <v>5-7</v>
      </c>
    </row>
    <row r="104" spans="1:6" x14ac:dyDescent="0.25">
      <c r="A104">
        <f>Old!AI211</f>
        <v>0</v>
      </c>
      <c r="B104" t="str">
        <f>Old!AS211</f>
        <v>RegularSeason</v>
      </c>
      <c r="C104" t="str">
        <f>Old!BF211</f>
        <v>Pending</v>
      </c>
      <c r="D104">
        <v>5</v>
      </c>
      <c r="E104">
        <v>8</v>
      </c>
      <c r="F104" t="str">
        <f t="shared" si="2"/>
        <v>5-8</v>
      </c>
    </row>
    <row r="105" spans="1:6" x14ac:dyDescent="0.25">
      <c r="A105">
        <f>Old!AI182</f>
        <v>0</v>
      </c>
      <c r="B105" t="str">
        <f>Old!AS182</f>
        <v>RegularSeason</v>
      </c>
      <c r="C105" t="str">
        <f>Old!BF182</f>
        <v>Pending</v>
      </c>
      <c r="D105">
        <v>5</v>
      </c>
      <c r="E105">
        <v>9</v>
      </c>
      <c r="F105" t="str">
        <f t="shared" si="2"/>
        <v>5-9</v>
      </c>
    </row>
    <row r="106" spans="1:6" x14ac:dyDescent="0.25">
      <c r="A106">
        <f>Old!AI183</f>
        <v>0</v>
      </c>
      <c r="B106" t="str">
        <f>Old!AS183</f>
        <v>RegularSeason</v>
      </c>
      <c r="C106" t="str">
        <f>Old!BF183</f>
        <v>Pending</v>
      </c>
      <c r="D106">
        <v>5</v>
      </c>
      <c r="E106">
        <v>10</v>
      </c>
      <c r="F106" t="str">
        <f t="shared" si="2"/>
        <v>5-10</v>
      </c>
    </row>
    <row r="107" spans="1:6" x14ac:dyDescent="0.25">
      <c r="A107">
        <f>Old!AI221</f>
        <v>0</v>
      </c>
      <c r="B107" t="str">
        <f>Old!AS221</f>
        <v>RegularSeason</v>
      </c>
      <c r="C107" t="str">
        <f>Old!BF221</f>
        <v>Pending</v>
      </c>
      <c r="D107">
        <v>5</v>
      </c>
      <c r="E107">
        <v>11</v>
      </c>
      <c r="F107" t="str">
        <f t="shared" si="2"/>
        <v>5-11</v>
      </c>
    </row>
    <row r="108" spans="1:6" x14ac:dyDescent="0.25">
      <c r="A108">
        <f>Old!AI218</f>
        <v>0</v>
      </c>
      <c r="B108" t="str">
        <f>Old!AS218</f>
        <v>RegularSeason</v>
      </c>
      <c r="C108" t="str">
        <f>Old!BF218</f>
        <v>Pending</v>
      </c>
      <c r="D108">
        <v>5</v>
      </c>
      <c r="E108">
        <v>12</v>
      </c>
      <c r="F108" t="str">
        <f t="shared" si="2"/>
        <v>5-12</v>
      </c>
    </row>
    <row r="109" spans="1:6" x14ac:dyDescent="0.25">
      <c r="A109">
        <f>Old!AI217</f>
        <v>0</v>
      </c>
      <c r="B109" t="str">
        <f>Old!AS217</f>
        <v>RegularSeason</v>
      </c>
      <c r="C109" t="str">
        <f>Old!BF217</f>
        <v>Pending</v>
      </c>
      <c r="D109">
        <v>5</v>
      </c>
      <c r="E109">
        <v>13</v>
      </c>
      <c r="F109" t="str">
        <f t="shared" si="2"/>
        <v>5-13</v>
      </c>
    </row>
    <row r="110" spans="1:6" x14ac:dyDescent="0.25">
      <c r="A110">
        <f>Old!AI181</f>
        <v>0</v>
      </c>
      <c r="B110" t="str">
        <f>Old!AS181</f>
        <v>RegularSeason</v>
      </c>
      <c r="C110" t="str">
        <f>Old!BF181</f>
        <v>Pending</v>
      </c>
      <c r="D110">
        <v>6</v>
      </c>
      <c r="E110">
        <v>0</v>
      </c>
      <c r="F110" t="str">
        <f t="shared" si="2"/>
        <v>6-0</v>
      </c>
    </row>
    <row r="111" spans="1:6" x14ac:dyDescent="0.25">
      <c r="A111">
        <f>Old!AI184</f>
        <v>0</v>
      </c>
      <c r="B111" t="str">
        <f>Old!AS184</f>
        <v>RegularSeason</v>
      </c>
      <c r="C111" t="str">
        <f>Old!BF184</f>
        <v>Pending</v>
      </c>
      <c r="D111">
        <v>6</v>
      </c>
      <c r="E111">
        <v>1</v>
      </c>
      <c r="F111" t="str">
        <f t="shared" si="2"/>
        <v>6-1</v>
      </c>
    </row>
    <row r="112" spans="1:6" x14ac:dyDescent="0.25">
      <c r="A112">
        <f>Old!AI188</f>
        <v>0</v>
      </c>
      <c r="B112" t="str">
        <f>Old!AS188</f>
        <v>RegularSeason</v>
      </c>
      <c r="C112" t="str">
        <f>Old!BF188</f>
        <v>Pending</v>
      </c>
      <c r="D112">
        <v>6</v>
      </c>
      <c r="E112">
        <v>2</v>
      </c>
      <c r="F112" t="str">
        <f t="shared" si="2"/>
        <v>6-2</v>
      </c>
    </row>
    <row r="113" spans="1:6" x14ac:dyDescent="0.25">
      <c r="A113">
        <f>Old!AI191</f>
        <v>0</v>
      </c>
      <c r="B113" t="str">
        <f>Old!AS191</f>
        <v>RegularSeason</v>
      </c>
      <c r="C113" t="str">
        <f>Old!BF191</f>
        <v>Pending</v>
      </c>
      <c r="D113">
        <v>6</v>
      </c>
      <c r="E113">
        <v>3</v>
      </c>
      <c r="F113" t="str">
        <f t="shared" si="2"/>
        <v>6-3</v>
      </c>
    </row>
    <row r="114" spans="1:6" x14ac:dyDescent="0.25">
      <c r="A114">
        <f>Old!AI192</f>
        <v>0</v>
      </c>
      <c r="B114" t="str">
        <f>Old!AS192</f>
        <v>RegularSeason</v>
      </c>
      <c r="C114" t="str">
        <f>Old!BF192</f>
        <v>Pending</v>
      </c>
      <c r="D114">
        <v>6</v>
      </c>
      <c r="E114">
        <v>4</v>
      </c>
      <c r="F114" t="str">
        <f t="shared" si="2"/>
        <v>6-4</v>
      </c>
    </row>
    <row r="115" spans="1:6" x14ac:dyDescent="0.25">
      <c r="A115">
        <f>Old!AI199</f>
        <v>0</v>
      </c>
      <c r="B115" t="str">
        <f>Old!AS199</f>
        <v>RegularSeason</v>
      </c>
      <c r="C115" t="str">
        <f>Old!BF199</f>
        <v>Pending</v>
      </c>
      <c r="D115">
        <v>6</v>
      </c>
      <c r="E115">
        <v>5</v>
      </c>
      <c r="F115" t="str">
        <f t="shared" si="2"/>
        <v>6-5</v>
      </c>
    </row>
    <row r="116" spans="1:6" x14ac:dyDescent="0.25">
      <c r="A116">
        <f>Old!AI203</f>
        <v>0</v>
      </c>
      <c r="B116" t="str">
        <f>Old!AS203</f>
        <v>RegularSeason</v>
      </c>
      <c r="C116" t="str">
        <f>Old!BF203</f>
        <v>Pending</v>
      </c>
      <c r="D116">
        <v>6</v>
      </c>
      <c r="E116">
        <v>6</v>
      </c>
      <c r="F116" t="str">
        <f t="shared" si="2"/>
        <v>6-6</v>
      </c>
    </row>
    <row r="117" spans="1:6" x14ac:dyDescent="0.25">
      <c r="A117">
        <f>Old!AI178</f>
        <v>0</v>
      </c>
      <c r="B117" t="str">
        <f>Old!AS178</f>
        <v>RegularSeason</v>
      </c>
      <c r="C117" t="str">
        <f>Old!BF178</f>
        <v>Pending</v>
      </c>
      <c r="D117">
        <v>6</v>
      </c>
      <c r="E117">
        <v>7</v>
      </c>
      <c r="F117" t="str">
        <f t="shared" si="2"/>
        <v>6-7</v>
      </c>
    </row>
    <row r="118" spans="1:6" x14ac:dyDescent="0.25">
      <c r="A118">
        <f>Old!AI189</f>
        <v>0</v>
      </c>
      <c r="B118" t="str">
        <f>Old!AS189</f>
        <v>RegularSeason</v>
      </c>
      <c r="C118" t="str">
        <f>Old!BF189</f>
        <v>Pending</v>
      </c>
      <c r="D118">
        <v>6</v>
      </c>
      <c r="E118">
        <v>8</v>
      </c>
      <c r="F118" t="str">
        <f t="shared" si="2"/>
        <v>6-8</v>
      </c>
    </row>
    <row r="119" spans="1:6" x14ac:dyDescent="0.25">
      <c r="A119">
        <f>Old!AI175</f>
        <v>0</v>
      </c>
      <c r="B119" t="str">
        <f>Old!AS175</f>
        <v>RegularSeason</v>
      </c>
      <c r="C119" t="str">
        <f>Old!BF175</f>
        <v>Pending</v>
      </c>
      <c r="D119">
        <v>6</v>
      </c>
      <c r="E119">
        <v>9</v>
      </c>
      <c r="F119" t="str">
        <f t="shared" si="2"/>
        <v>6-9</v>
      </c>
    </row>
    <row r="120" spans="1:6" x14ac:dyDescent="0.25">
      <c r="A120">
        <f>Old!AI185</f>
        <v>0</v>
      </c>
      <c r="B120" t="str">
        <f>Old!AS185</f>
        <v>RegularSeason</v>
      </c>
      <c r="C120" t="str">
        <f>Old!BF185</f>
        <v>Pending</v>
      </c>
      <c r="D120">
        <v>6</v>
      </c>
      <c r="E120">
        <v>10</v>
      </c>
      <c r="F120" t="str">
        <f t="shared" si="2"/>
        <v>6-10</v>
      </c>
    </row>
    <row r="121" spans="1:6" x14ac:dyDescent="0.25">
      <c r="A121">
        <f>Old!AI206</f>
        <v>0</v>
      </c>
      <c r="B121" t="str">
        <f>Old!AS206</f>
        <v>RegularSeason</v>
      </c>
      <c r="C121" t="str">
        <f>Old!BF206</f>
        <v>Pending</v>
      </c>
      <c r="D121">
        <v>6</v>
      </c>
      <c r="E121">
        <v>11</v>
      </c>
      <c r="F121" t="str">
        <f t="shared" si="2"/>
        <v>6-11</v>
      </c>
    </row>
    <row r="122" spans="1:6" x14ac:dyDescent="0.25">
      <c r="A122">
        <f>Old!AI207</f>
        <v>0</v>
      </c>
      <c r="B122" t="str">
        <f>Old!AS207</f>
        <v>RegularSeason</v>
      </c>
      <c r="C122" t="str">
        <f>Old!BF207</f>
        <v>Pending</v>
      </c>
      <c r="D122">
        <v>6</v>
      </c>
      <c r="E122">
        <v>12</v>
      </c>
      <c r="F122" t="str">
        <f t="shared" si="2"/>
        <v>6-12</v>
      </c>
    </row>
    <row r="123" spans="1:6" x14ac:dyDescent="0.25">
      <c r="A123">
        <f>Old!AI161</f>
        <v>0</v>
      </c>
      <c r="B123" t="str">
        <f>Old!AS161</f>
        <v>RegularSeason</v>
      </c>
      <c r="C123" t="str">
        <f>Old!BF161</f>
        <v>Pending</v>
      </c>
      <c r="D123">
        <v>7</v>
      </c>
      <c r="E123">
        <v>0</v>
      </c>
      <c r="F123" t="str">
        <f t="shared" si="2"/>
        <v>7-0</v>
      </c>
    </row>
    <row r="124" spans="1:6" x14ac:dyDescent="0.25">
      <c r="A124">
        <f>Old!AI164</f>
        <v>0</v>
      </c>
      <c r="B124" t="str">
        <f>Old!AS164</f>
        <v>RegularSeason</v>
      </c>
      <c r="C124" t="str">
        <f>Old!BF164</f>
        <v>Pending</v>
      </c>
      <c r="D124">
        <v>7</v>
      </c>
      <c r="E124">
        <v>1</v>
      </c>
      <c r="F124" t="str">
        <f t="shared" si="2"/>
        <v>7-1</v>
      </c>
    </row>
    <row r="125" spans="1:6" x14ac:dyDescent="0.25">
      <c r="A125">
        <f>Old!AI167</f>
        <v>0</v>
      </c>
      <c r="B125" t="str">
        <f>Old!AS167</f>
        <v>RegularSeason</v>
      </c>
      <c r="C125" t="str">
        <f>Old!BF167</f>
        <v>Pending</v>
      </c>
      <c r="D125">
        <v>7</v>
      </c>
      <c r="E125">
        <v>2</v>
      </c>
      <c r="F125" t="str">
        <f t="shared" si="2"/>
        <v>7-2</v>
      </c>
    </row>
    <row r="126" spans="1:6" x14ac:dyDescent="0.25">
      <c r="A126">
        <f>Old!AI170</f>
        <v>0</v>
      </c>
      <c r="B126" t="str">
        <f>Old!AS170</f>
        <v>RegularSeason</v>
      </c>
      <c r="C126" t="str">
        <f>Old!BF170</f>
        <v>Pending</v>
      </c>
      <c r="D126">
        <v>7</v>
      </c>
      <c r="E126">
        <v>3</v>
      </c>
      <c r="F126" t="str">
        <f t="shared" si="2"/>
        <v>7-3</v>
      </c>
    </row>
    <row r="127" spans="1:6" x14ac:dyDescent="0.25">
      <c r="A127">
        <f>Old!AI173</f>
        <v>0</v>
      </c>
      <c r="B127" t="str">
        <f>Old!AS173</f>
        <v>RegularSeason</v>
      </c>
      <c r="C127" t="str">
        <f>Old!BF173</f>
        <v>Pending</v>
      </c>
      <c r="D127">
        <v>7</v>
      </c>
      <c r="E127">
        <v>4</v>
      </c>
      <c r="F127" t="str">
        <f t="shared" si="2"/>
        <v>7-4</v>
      </c>
    </row>
    <row r="128" spans="1:6" x14ac:dyDescent="0.25">
      <c r="A128">
        <f>Old!AI174</f>
        <v>0</v>
      </c>
      <c r="B128" t="str">
        <f>Old!AS174</f>
        <v>RegularSeason</v>
      </c>
      <c r="C128" t="str">
        <f>Old!BF174</f>
        <v>Pending</v>
      </c>
      <c r="D128">
        <v>7</v>
      </c>
      <c r="E128">
        <v>5</v>
      </c>
      <c r="F128" t="str">
        <f t="shared" si="2"/>
        <v>7-5</v>
      </c>
    </row>
    <row r="129" spans="1:6" x14ac:dyDescent="0.25">
      <c r="A129">
        <f>Old!AI177</f>
        <v>0</v>
      </c>
      <c r="B129" t="str">
        <f>Old!AS177</f>
        <v>RegularSeason</v>
      </c>
      <c r="C129" t="str">
        <f>Old!BF177</f>
        <v>Pending</v>
      </c>
      <c r="D129">
        <v>7</v>
      </c>
      <c r="E129">
        <v>6</v>
      </c>
      <c r="F129" t="str">
        <f t="shared" si="2"/>
        <v>7-6</v>
      </c>
    </row>
    <row r="130" spans="1:6" x14ac:dyDescent="0.25">
      <c r="A130">
        <f>Old!AI186</f>
        <v>0</v>
      </c>
      <c r="B130" t="str">
        <f>Old!AS186</f>
        <v>RegularSeason</v>
      </c>
      <c r="C130" t="str">
        <f>Old!BF186</f>
        <v>Pending</v>
      </c>
      <c r="D130">
        <v>7</v>
      </c>
      <c r="E130">
        <v>7</v>
      </c>
      <c r="F130" t="str">
        <f t="shared" si="2"/>
        <v>7-7</v>
      </c>
    </row>
    <row r="131" spans="1:6" x14ac:dyDescent="0.25">
      <c r="A131">
        <f>Old!AI152</f>
        <v>0</v>
      </c>
      <c r="B131" t="str">
        <f>Old!AS152</f>
        <v>RegularSeason</v>
      </c>
      <c r="C131" t="str">
        <f>Old!BF152</f>
        <v>Pending</v>
      </c>
      <c r="D131">
        <v>7</v>
      </c>
      <c r="E131">
        <v>8</v>
      </c>
      <c r="F131" t="str">
        <f t="shared" si="2"/>
        <v>7-8</v>
      </c>
    </row>
    <row r="132" spans="1:6" x14ac:dyDescent="0.25">
      <c r="A132">
        <f>Old!AI156</f>
        <v>0</v>
      </c>
      <c r="B132" t="str">
        <f>Old!AS156</f>
        <v>RegularSeason</v>
      </c>
      <c r="C132" t="str">
        <f>Old!BF156</f>
        <v>Pending</v>
      </c>
      <c r="D132">
        <v>7</v>
      </c>
      <c r="E132">
        <v>9</v>
      </c>
      <c r="F132" t="str">
        <f t="shared" si="2"/>
        <v>7-9</v>
      </c>
    </row>
    <row r="133" spans="1:6" x14ac:dyDescent="0.25">
      <c r="A133">
        <f>Old!AI171</f>
        <v>0</v>
      </c>
      <c r="B133" t="str">
        <f>Old!AS171</f>
        <v>RegularSeason</v>
      </c>
      <c r="C133" t="str">
        <f>Old!BF171</f>
        <v>Pending</v>
      </c>
      <c r="D133">
        <v>7</v>
      </c>
      <c r="E133">
        <v>10</v>
      </c>
      <c r="F133" t="str">
        <f t="shared" si="2"/>
        <v>7-10</v>
      </c>
    </row>
    <row r="134" spans="1:6" x14ac:dyDescent="0.25">
      <c r="A134">
        <f>Old!AI172</f>
        <v>0</v>
      </c>
      <c r="B134" t="str">
        <f>Old!AS172</f>
        <v>RegularSeason</v>
      </c>
      <c r="C134" t="str">
        <f>Old!BF172</f>
        <v>Pending</v>
      </c>
      <c r="D134">
        <v>7</v>
      </c>
      <c r="E134">
        <v>11</v>
      </c>
      <c r="F134" t="str">
        <f t="shared" si="2"/>
        <v>7-11</v>
      </c>
    </row>
    <row r="135" spans="1:6" x14ac:dyDescent="0.25">
      <c r="A135">
        <f>Old!AI169</f>
        <v>0</v>
      </c>
      <c r="B135" t="str">
        <f>Old!AS169</f>
        <v>RegularSeason</v>
      </c>
      <c r="C135" t="str">
        <f>Old!BF169</f>
        <v>Pending</v>
      </c>
      <c r="D135">
        <v>7</v>
      </c>
      <c r="E135">
        <v>12</v>
      </c>
      <c r="F135" t="str">
        <f t="shared" si="2"/>
        <v>7-12</v>
      </c>
    </row>
    <row r="136" spans="1:6" x14ac:dyDescent="0.25">
      <c r="A136">
        <f>Old!AI168</f>
        <v>0</v>
      </c>
      <c r="B136" t="str">
        <f>Old!AS168</f>
        <v>RegularSeason</v>
      </c>
      <c r="C136" t="str">
        <f>Old!BF168</f>
        <v>Pending</v>
      </c>
      <c r="D136">
        <v>7</v>
      </c>
      <c r="E136">
        <v>13</v>
      </c>
      <c r="F136" t="str">
        <f t="shared" si="2"/>
        <v>7-13</v>
      </c>
    </row>
    <row r="137" spans="1:6" x14ac:dyDescent="0.25">
      <c r="A137">
        <f>Old!AI193</f>
        <v>0</v>
      </c>
      <c r="B137" t="str">
        <f>Old!AS193</f>
        <v>RegularSeason</v>
      </c>
      <c r="C137" t="str">
        <f>Old!BF193</f>
        <v>Pending</v>
      </c>
      <c r="D137">
        <v>7</v>
      </c>
      <c r="E137">
        <v>14</v>
      </c>
      <c r="F137" t="str">
        <f t="shared" si="2"/>
        <v>7-14</v>
      </c>
    </row>
    <row r="138" spans="1:6" x14ac:dyDescent="0.25">
      <c r="A138">
        <f>Old!AI150</f>
        <v>0</v>
      </c>
      <c r="B138" t="str">
        <f>Old!AS150</f>
        <v>RegularSeason</v>
      </c>
      <c r="C138" t="str">
        <f>Old!BF150</f>
        <v>Pending</v>
      </c>
      <c r="D138">
        <v>8</v>
      </c>
      <c r="E138">
        <v>0</v>
      </c>
      <c r="F138" t="str">
        <f t="shared" si="2"/>
        <v>8-0</v>
      </c>
    </row>
    <row r="139" spans="1:6" x14ac:dyDescent="0.25">
      <c r="A139">
        <f>Old!AI154</f>
        <v>0</v>
      </c>
      <c r="B139" t="str">
        <f>Old!AS154</f>
        <v>RegularSeason</v>
      </c>
      <c r="C139" t="str">
        <f>Old!BF154</f>
        <v>Pending</v>
      </c>
      <c r="D139">
        <v>8</v>
      </c>
      <c r="E139">
        <v>1</v>
      </c>
      <c r="F139" t="str">
        <f t="shared" si="2"/>
        <v>8-1</v>
      </c>
    </row>
    <row r="140" spans="1:6" x14ac:dyDescent="0.25">
      <c r="A140">
        <f>Old!AI158</f>
        <v>0</v>
      </c>
      <c r="B140" t="str">
        <f>Old!AS158</f>
        <v>RegularSeason</v>
      </c>
      <c r="C140" t="str">
        <f>Old!BF158</f>
        <v>Pending</v>
      </c>
      <c r="D140">
        <v>8</v>
      </c>
      <c r="E140">
        <v>2</v>
      </c>
      <c r="F140" t="str">
        <f t="shared" si="2"/>
        <v>8-2</v>
      </c>
    </row>
    <row r="141" spans="1:6" x14ac:dyDescent="0.25">
      <c r="A141">
        <f>Old!AI159</f>
        <v>0</v>
      </c>
      <c r="B141" t="str">
        <f>Old!AS159</f>
        <v>RegularSeason</v>
      </c>
      <c r="C141" t="str">
        <f>Old!BF159</f>
        <v>Pending</v>
      </c>
      <c r="D141">
        <v>8</v>
      </c>
      <c r="E141">
        <v>3</v>
      </c>
      <c r="F141" t="str">
        <f t="shared" ref="F141:F204" si="3">_xlfn.CONCAT(D141,"-",E141)</f>
        <v>8-3</v>
      </c>
    </row>
    <row r="142" spans="1:6" x14ac:dyDescent="0.25">
      <c r="A142">
        <f>Old!AI160</f>
        <v>0</v>
      </c>
      <c r="B142" t="str">
        <f>Old!AS160</f>
        <v>RegularSeason</v>
      </c>
      <c r="C142" t="str">
        <f>Old!BF160</f>
        <v>Pending</v>
      </c>
      <c r="D142">
        <v>8</v>
      </c>
      <c r="E142">
        <v>4</v>
      </c>
      <c r="F142" t="str">
        <f t="shared" si="3"/>
        <v>8-4</v>
      </c>
    </row>
    <row r="143" spans="1:6" x14ac:dyDescent="0.25">
      <c r="A143">
        <f>Old!AI165</f>
        <v>0</v>
      </c>
      <c r="B143" t="str">
        <f>Old!AS165</f>
        <v>RegularSeason</v>
      </c>
      <c r="C143" t="str">
        <f>Old!BF165</f>
        <v>Pending</v>
      </c>
      <c r="D143">
        <v>8</v>
      </c>
      <c r="E143">
        <v>5</v>
      </c>
      <c r="F143" t="str">
        <f t="shared" si="3"/>
        <v>8-5</v>
      </c>
    </row>
    <row r="144" spans="1:6" x14ac:dyDescent="0.25">
      <c r="A144">
        <f>Old!AI166</f>
        <v>0</v>
      </c>
      <c r="B144" t="str">
        <f>Old!AS166</f>
        <v>RegularSeason</v>
      </c>
      <c r="C144" t="str">
        <f>Old!BF166</f>
        <v>Pending</v>
      </c>
      <c r="D144">
        <v>8</v>
      </c>
      <c r="E144">
        <v>6</v>
      </c>
      <c r="F144" t="str">
        <f t="shared" si="3"/>
        <v>8-6</v>
      </c>
    </row>
    <row r="145" spans="1:6" x14ac:dyDescent="0.25">
      <c r="A145">
        <f>Old!AI140</f>
        <v>0</v>
      </c>
      <c r="B145" t="str">
        <f>Old!AS140</f>
        <v>RegularSeason</v>
      </c>
      <c r="C145" t="str">
        <f>Old!BF140</f>
        <v>Pending</v>
      </c>
      <c r="D145">
        <v>8</v>
      </c>
      <c r="E145">
        <v>7</v>
      </c>
      <c r="F145" t="str">
        <f t="shared" si="3"/>
        <v>8-7</v>
      </c>
    </row>
    <row r="146" spans="1:6" x14ac:dyDescent="0.25">
      <c r="A146">
        <f>Old!AI142</f>
        <v>0</v>
      </c>
      <c r="B146" t="str">
        <f>Old!AS142</f>
        <v>RegularSeason</v>
      </c>
      <c r="C146" t="str">
        <f>Old!BF142</f>
        <v>Pending</v>
      </c>
      <c r="D146">
        <v>8</v>
      </c>
      <c r="E146">
        <v>8</v>
      </c>
      <c r="F146" t="str">
        <f t="shared" si="3"/>
        <v>8-8</v>
      </c>
    </row>
    <row r="147" spans="1:6" x14ac:dyDescent="0.25">
      <c r="A147">
        <f>Old!AI145</f>
        <v>0</v>
      </c>
      <c r="B147" t="str">
        <f>Old!AS145</f>
        <v>RegularSeason</v>
      </c>
      <c r="C147" t="str">
        <f>Old!BF145</f>
        <v>Pending</v>
      </c>
      <c r="D147">
        <v>8</v>
      </c>
      <c r="E147">
        <v>9</v>
      </c>
      <c r="F147" t="str">
        <f t="shared" si="3"/>
        <v>8-9</v>
      </c>
    </row>
    <row r="148" spans="1:6" x14ac:dyDescent="0.25">
      <c r="A148">
        <f>Old!AI153</f>
        <v>0</v>
      </c>
      <c r="B148" t="str">
        <f>Old!AS153</f>
        <v>RegularSeason</v>
      </c>
      <c r="C148" t="str">
        <f>Old!BF153</f>
        <v>Pending</v>
      </c>
      <c r="D148">
        <v>8</v>
      </c>
      <c r="E148">
        <v>10</v>
      </c>
      <c r="F148" t="str">
        <f t="shared" si="3"/>
        <v>8-10</v>
      </c>
    </row>
    <row r="149" spans="1:6" x14ac:dyDescent="0.25">
      <c r="A149">
        <f>Old!AI179</f>
        <v>0</v>
      </c>
      <c r="B149" t="str">
        <f>Old!AS179</f>
        <v>RegularSeason</v>
      </c>
      <c r="C149" t="str">
        <f>Old!BF179</f>
        <v>Pending</v>
      </c>
      <c r="D149">
        <v>8</v>
      </c>
      <c r="E149">
        <v>11</v>
      </c>
      <c r="F149" t="str">
        <f t="shared" si="3"/>
        <v>8-11</v>
      </c>
    </row>
    <row r="150" spans="1:6" x14ac:dyDescent="0.25">
      <c r="A150">
        <f>Old!AI180</f>
        <v>0</v>
      </c>
      <c r="B150" t="str">
        <f>Old!AS180</f>
        <v>RegularSeason</v>
      </c>
      <c r="C150" t="str">
        <f>Old!BF180</f>
        <v>Pending</v>
      </c>
      <c r="D150">
        <v>8</v>
      </c>
      <c r="E150">
        <v>12</v>
      </c>
      <c r="F150" t="str">
        <f t="shared" si="3"/>
        <v>8-12</v>
      </c>
    </row>
    <row r="151" spans="1:6" x14ac:dyDescent="0.25">
      <c r="A151">
        <f>Old!AI176</f>
        <v>0</v>
      </c>
      <c r="B151" t="str">
        <f>Old!AS176</f>
        <v>RegularSeason</v>
      </c>
      <c r="C151" t="str">
        <f>Old!BF176</f>
        <v>Pending</v>
      </c>
      <c r="D151">
        <v>8</v>
      </c>
      <c r="E151">
        <v>13</v>
      </c>
      <c r="F151" t="str">
        <f t="shared" si="3"/>
        <v>8-13</v>
      </c>
    </row>
    <row r="152" spans="1:6" x14ac:dyDescent="0.25">
      <c r="A152">
        <f>Old!AI132</f>
        <v>0</v>
      </c>
      <c r="B152" t="str">
        <f>Old!AS132</f>
        <v>RegularSeason</v>
      </c>
      <c r="C152" t="str">
        <f>Old!BF132</f>
        <v>Pending</v>
      </c>
      <c r="D152">
        <v>9</v>
      </c>
      <c r="E152">
        <v>0</v>
      </c>
      <c r="F152" t="str">
        <f t="shared" si="3"/>
        <v>9-0</v>
      </c>
    </row>
    <row r="153" spans="1:6" x14ac:dyDescent="0.25">
      <c r="A153">
        <f>Old!AI134</f>
        <v>0</v>
      </c>
      <c r="B153" t="str">
        <f>Old!AS134</f>
        <v>RegularSeason</v>
      </c>
      <c r="C153" t="str">
        <f>Old!BF134</f>
        <v>Pending</v>
      </c>
      <c r="D153">
        <v>9</v>
      </c>
      <c r="E153">
        <v>1</v>
      </c>
      <c r="F153" t="str">
        <f t="shared" si="3"/>
        <v>9-1</v>
      </c>
    </row>
    <row r="154" spans="1:6" x14ac:dyDescent="0.25">
      <c r="A154">
        <f>Old!AI141</f>
        <v>0</v>
      </c>
      <c r="B154" t="str">
        <f>Old!AS141</f>
        <v>RegularSeason</v>
      </c>
      <c r="C154" t="str">
        <f>Old!BF141</f>
        <v>Pending</v>
      </c>
      <c r="D154">
        <v>9</v>
      </c>
      <c r="E154">
        <v>2</v>
      </c>
      <c r="F154" t="str">
        <f t="shared" si="3"/>
        <v>9-2</v>
      </c>
    </row>
    <row r="155" spans="1:6" x14ac:dyDescent="0.25">
      <c r="A155">
        <f>Old!AI144</f>
        <v>0</v>
      </c>
      <c r="B155" t="str">
        <f>Old!AS144</f>
        <v>RegularSeason</v>
      </c>
      <c r="C155" t="str">
        <f>Old!BF144</f>
        <v>Pending</v>
      </c>
      <c r="D155">
        <v>9</v>
      </c>
      <c r="E155">
        <v>3</v>
      </c>
      <c r="F155" t="str">
        <f t="shared" si="3"/>
        <v>9-3</v>
      </c>
    </row>
    <row r="156" spans="1:6" x14ac:dyDescent="0.25">
      <c r="A156">
        <f>Old!AI149</f>
        <v>0</v>
      </c>
      <c r="B156" t="str">
        <f>Old!AS149</f>
        <v>RegularSeason</v>
      </c>
      <c r="C156" t="str">
        <f>Old!BF149</f>
        <v>Pending</v>
      </c>
      <c r="D156">
        <v>9</v>
      </c>
      <c r="E156">
        <v>4</v>
      </c>
      <c r="F156" t="str">
        <f t="shared" si="3"/>
        <v>9-4</v>
      </c>
    </row>
    <row r="157" spans="1:6" x14ac:dyDescent="0.25">
      <c r="A157">
        <f>Old!AI155</f>
        <v>0</v>
      </c>
      <c r="B157" t="str">
        <f>Old!AS155</f>
        <v>RegularSeason</v>
      </c>
      <c r="C157" t="str">
        <f>Old!BF155</f>
        <v>Pending</v>
      </c>
      <c r="D157">
        <v>9</v>
      </c>
      <c r="E157">
        <v>5</v>
      </c>
      <c r="F157" t="str">
        <f t="shared" si="3"/>
        <v>9-5</v>
      </c>
    </row>
    <row r="158" spans="1:6" x14ac:dyDescent="0.25">
      <c r="A158">
        <f>Old!AI162</f>
        <v>0</v>
      </c>
      <c r="B158" t="str">
        <f>Old!AS162</f>
        <v>RegularSeason</v>
      </c>
      <c r="C158" t="str">
        <f>Old!BF162</f>
        <v>Pending</v>
      </c>
      <c r="D158">
        <v>9</v>
      </c>
      <c r="E158">
        <v>6</v>
      </c>
      <c r="F158" t="str">
        <f t="shared" si="3"/>
        <v>9-6</v>
      </c>
    </row>
    <row r="159" spans="1:6" x14ac:dyDescent="0.25">
      <c r="A159">
        <f>Old!AI148</f>
        <v>0</v>
      </c>
      <c r="B159" t="str">
        <f>Old!AS148</f>
        <v>RegularSeason</v>
      </c>
      <c r="C159" t="str">
        <f>Old!BF148</f>
        <v>Pending</v>
      </c>
      <c r="D159">
        <v>9</v>
      </c>
      <c r="E159">
        <v>7</v>
      </c>
      <c r="F159" t="str">
        <f t="shared" si="3"/>
        <v>9-7</v>
      </c>
    </row>
    <row r="160" spans="1:6" x14ac:dyDescent="0.25">
      <c r="A160">
        <f>Old!AI129</f>
        <v>0</v>
      </c>
      <c r="B160" t="str">
        <f>Old!AS129</f>
        <v>RegularSeason</v>
      </c>
      <c r="C160" t="str">
        <f>Old!BF129</f>
        <v>Pending</v>
      </c>
      <c r="D160">
        <v>9</v>
      </c>
      <c r="E160">
        <v>8</v>
      </c>
      <c r="F160" t="str">
        <f t="shared" si="3"/>
        <v>9-8</v>
      </c>
    </row>
    <row r="161" spans="1:6" x14ac:dyDescent="0.25">
      <c r="A161">
        <f>Old!AI139</f>
        <v>0</v>
      </c>
      <c r="B161" t="str">
        <f>Old!AS139</f>
        <v>RegularSeason</v>
      </c>
      <c r="C161" t="str">
        <f>Old!BF139</f>
        <v>Pending</v>
      </c>
      <c r="D161">
        <v>9</v>
      </c>
      <c r="E161">
        <v>9</v>
      </c>
      <c r="F161" t="str">
        <f t="shared" si="3"/>
        <v>9-9</v>
      </c>
    </row>
    <row r="162" spans="1:6" x14ac:dyDescent="0.25">
      <c r="A162">
        <f>Old!AI146</f>
        <v>0</v>
      </c>
      <c r="B162" t="str">
        <f>Old!AS146</f>
        <v>RegularSeason</v>
      </c>
      <c r="C162" t="str">
        <f>Old!BF146</f>
        <v>Pending</v>
      </c>
      <c r="D162">
        <v>9</v>
      </c>
      <c r="E162">
        <v>10</v>
      </c>
      <c r="F162" t="str">
        <f t="shared" si="3"/>
        <v>9-10</v>
      </c>
    </row>
    <row r="163" spans="1:6" x14ac:dyDescent="0.25">
      <c r="A163">
        <f>Old!AI143</f>
        <v>0</v>
      </c>
      <c r="B163" t="str">
        <f>Old!AS143</f>
        <v>RegularSeason</v>
      </c>
      <c r="C163" t="str">
        <f>Old!BF143</f>
        <v>Pending</v>
      </c>
      <c r="D163">
        <v>9</v>
      </c>
      <c r="E163">
        <v>11</v>
      </c>
      <c r="F163" t="str">
        <f t="shared" si="3"/>
        <v>9-11</v>
      </c>
    </row>
    <row r="164" spans="1:6" x14ac:dyDescent="0.25">
      <c r="A164">
        <f>Old!AI157</f>
        <v>0</v>
      </c>
      <c r="B164" t="str">
        <f>Old!AS157</f>
        <v>RegularSeason</v>
      </c>
      <c r="C164" t="str">
        <f>Old!BF157</f>
        <v>Pending</v>
      </c>
      <c r="D164">
        <v>9</v>
      </c>
      <c r="E164">
        <v>12</v>
      </c>
      <c r="F164" t="str">
        <f t="shared" si="3"/>
        <v>9-12</v>
      </c>
    </row>
    <row r="165" spans="1:6" x14ac:dyDescent="0.25">
      <c r="A165">
        <f>Old!AI163</f>
        <v>0</v>
      </c>
      <c r="B165" t="str">
        <f>Old!AS163</f>
        <v>RegularSeason</v>
      </c>
      <c r="C165" t="str">
        <f>Old!BF163</f>
        <v>Pending</v>
      </c>
      <c r="D165">
        <v>9</v>
      </c>
      <c r="E165">
        <v>13</v>
      </c>
      <c r="F165" t="str">
        <f t="shared" si="3"/>
        <v>9-13</v>
      </c>
    </row>
    <row r="166" spans="1:6" x14ac:dyDescent="0.25">
      <c r="A166">
        <f>Old!AI116</f>
        <v>0</v>
      </c>
      <c r="B166" t="str">
        <f>Old!AS116</f>
        <v>RegularSeason</v>
      </c>
      <c r="C166" t="str">
        <f>Old!BF116</f>
        <v>Pending</v>
      </c>
      <c r="D166">
        <v>10</v>
      </c>
      <c r="E166">
        <v>0</v>
      </c>
      <c r="F166" t="str">
        <f t="shared" si="3"/>
        <v>10-0</v>
      </c>
    </row>
    <row r="167" spans="1:6" x14ac:dyDescent="0.25">
      <c r="A167">
        <f>Old!AI119</f>
        <v>0</v>
      </c>
      <c r="B167" t="str">
        <f>Old!AS119</f>
        <v>RegularSeason</v>
      </c>
      <c r="C167" t="str">
        <f>Old!BF119</f>
        <v>Pending</v>
      </c>
      <c r="D167">
        <v>10</v>
      </c>
      <c r="E167">
        <v>1</v>
      </c>
      <c r="F167" t="str">
        <f t="shared" si="3"/>
        <v>10-1</v>
      </c>
    </row>
    <row r="168" spans="1:6" x14ac:dyDescent="0.25">
      <c r="A168">
        <f>Old!AI124</f>
        <v>0</v>
      </c>
      <c r="B168" t="str">
        <f>Old!AS124</f>
        <v>RegularSeason</v>
      </c>
      <c r="C168" t="str">
        <f>Old!BF124</f>
        <v>Pending</v>
      </c>
      <c r="D168">
        <v>10</v>
      </c>
      <c r="E168">
        <v>2</v>
      </c>
      <c r="F168" t="str">
        <f t="shared" si="3"/>
        <v>10-2</v>
      </c>
    </row>
    <row r="169" spans="1:6" x14ac:dyDescent="0.25">
      <c r="A169">
        <f>Old!AI125</f>
        <v>0</v>
      </c>
      <c r="B169" t="str">
        <f>Old!AS125</f>
        <v>RegularSeason</v>
      </c>
      <c r="C169" t="str">
        <f>Old!BF125</f>
        <v>Pending</v>
      </c>
      <c r="D169">
        <v>10</v>
      </c>
      <c r="E169">
        <v>3</v>
      </c>
      <c r="F169" t="str">
        <f t="shared" si="3"/>
        <v>10-3</v>
      </c>
    </row>
    <row r="170" spans="1:6" x14ac:dyDescent="0.25">
      <c r="A170">
        <f>Old!AI126</f>
        <v>0</v>
      </c>
      <c r="B170" t="str">
        <f>Old!AS126</f>
        <v>RegularSeason</v>
      </c>
      <c r="C170" t="str">
        <f>Old!BF126</f>
        <v>Pending</v>
      </c>
      <c r="D170">
        <v>10</v>
      </c>
      <c r="E170">
        <v>4</v>
      </c>
      <c r="F170" t="str">
        <f t="shared" si="3"/>
        <v>10-4</v>
      </c>
    </row>
    <row r="171" spans="1:6" x14ac:dyDescent="0.25">
      <c r="A171">
        <f>Old!AI127</f>
        <v>0</v>
      </c>
      <c r="B171" t="str">
        <f>Old!AS127</f>
        <v>RegularSeason</v>
      </c>
      <c r="C171" t="str">
        <f>Old!BF127</f>
        <v>Pending</v>
      </c>
      <c r="D171">
        <v>10</v>
      </c>
      <c r="E171">
        <v>5</v>
      </c>
      <c r="F171" t="str">
        <f t="shared" si="3"/>
        <v>10-5</v>
      </c>
    </row>
    <row r="172" spans="1:6" x14ac:dyDescent="0.25">
      <c r="A172">
        <f>Old!AI138</f>
        <v>0</v>
      </c>
      <c r="B172" t="str">
        <f>Old!AS138</f>
        <v>RegularSeason</v>
      </c>
      <c r="C172" t="str">
        <f>Old!BF138</f>
        <v>Pending</v>
      </c>
      <c r="D172">
        <v>10</v>
      </c>
      <c r="E172">
        <v>6</v>
      </c>
      <c r="F172" t="str">
        <f t="shared" si="3"/>
        <v>10-6</v>
      </c>
    </row>
    <row r="173" spans="1:6" x14ac:dyDescent="0.25">
      <c r="A173">
        <f>Old!AI147</f>
        <v>0</v>
      </c>
      <c r="B173" t="str">
        <f>Old!AS147</f>
        <v>RegularSeason</v>
      </c>
      <c r="C173" t="str">
        <f>Old!BF147</f>
        <v>Pending</v>
      </c>
      <c r="D173">
        <v>10</v>
      </c>
      <c r="E173">
        <v>7</v>
      </c>
      <c r="F173" t="str">
        <f t="shared" si="3"/>
        <v>10-7</v>
      </c>
    </row>
    <row r="174" spans="1:6" x14ac:dyDescent="0.25">
      <c r="A174">
        <f>Old!AI123</f>
        <v>0</v>
      </c>
      <c r="B174" t="str">
        <f>Old!AS123</f>
        <v>RegularSeason</v>
      </c>
      <c r="C174" t="str">
        <f>Old!BF123</f>
        <v>Pending</v>
      </c>
      <c r="D174">
        <v>10</v>
      </c>
      <c r="E174">
        <v>8</v>
      </c>
      <c r="F174" t="str">
        <f t="shared" si="3"/>
        <v>10-8</v>
      </c>
    </row>
    <row r="175" spans="1:6" x14ac:dyDescent="0.25">
      <c r="A175">
        <f>Old!AI130</f>
        <v>0</v>
      </c>
      <c r="B175" t="str">
        <f>Old!AS130</f>
        <v>RegularSeason</v>
      </c>
      <c r="C175" t="str">
        <f>Old!BF130</f>
        <v>Pending</v>
      </c>
      <c r="D175">
        <v>10</v>
      </c>
      <c r="E175">
        <v>9</v>
      </c>
      <c r="F175" t="str">
        <f t="shared" si="3"/>
        <v>10-9</v>
      </c>
    </row>
    <row r="176" spans="1:6" x14ac:dyDescent="0.25">
      <c r="A176">
        <f>Old!AI137</f>
        <v>0</v>
      </c>
      <c r="B176" t="str">
        <f>Old!AS137</f>
        <v>RegularSeason</v>
      </c>
      <c r="C176" t="str">
        <f>Old!BF137</f>
        <v>Pending</v>
      </c>
      <c r="D176">
        <v>10</v>
      </c>
      <c r="E176">
        <v>10</v>
      </c>
      <c r="F176" t="str">
        <f t="shared" si="3"/>
        <v>10-10</v>
      </c>
    </row>
    <row r="177" spans="1:6" x14ac:dyDescent="0.25">
      <c r="A177">
        <f>Old!AI135</f>
        <v>0</v>
      </c>
      <c r="B177" t="str">
        <f>Old!AS135</f>
        <v>RegularSeason</v>
      </c>
      <c r="C177" t="str">
        <f>Old!BF135</f>
        <v>Pending</v>
      </c>
      <c r="D177">
        <v>10</v>
      </c>
      <c r="E177">
        <v>11</v>
      </c>
      <c r="F177" t="str">
        <f t="shared" si="3"/>
        <v>10-11</v>
      </c>
    </row>
    <row r="178" spans="1:6" x14ac:dyDescent="0.25">
      <c r="A178">
        <f>Old!AI114</f>
        <v>0</v>
      </c>
      <c r="B178" t="str">
        <f>Old!AS114</f>
        <v>RegularSeason</v>
      </c>
      <c r="C178" t="str">
        <f>Old!BF114</f>
        <v>Pending</v>
      </c>
      <c r="D178">
        <v>10</v>
      </c>
      <c r="E178">
        <v>12</v>
      </c>
      <c r="F178" t="str">
        <f t="shared" si="3"/>
        <v>10-12</v>
      </c>
    </row>
    <row r="179" spans="1:6" x14ac:dyDescent="0.25">
      <c r="A179">
        <f>Old!AI115</f>
        <v>0</v>
      </c>
      <c r="B179" t="str">
        <f>Old!AS115</f>
        <v>RegularSeason</v>
      </c>
      <c r="C179" t="str">
        <f>Old!BF115</f>
        <v>Pending</v>
      </c>
      <c r="D179">
        <v>10</v>
      </c>
      <c r="E179">
        <v>13</v>
      </c>
      <c r="F179" t="str">
        <f t="shared" si="3"/>
        <v>10-13</v>
      </c>
    </row>
    <row r="180" spans="1:6" x14ac:dyDescent="0.25">
      <c r="A180">
        <f>Old!AI151</f>
        <v>0</v>
      </c>
      <c r="B180" t="str">
        <f>Old!AS151</f>
        <v>RegularSeason</v>
      </c>
      <c r="C180" t="str">
        <f>Old!BF151</f>
        <v>Pending</v>
      </c>
      <c r="D180">
        <v>10</v>
      </c>
      <c r="E180">
        <v>14</v>
      </c>
      <c r="F180" t="str">
        <f t="shared" si="3"/>
        <v>10-14</v>
      </c>
    </row>
    <row r="181" spans="1:6" x14ac:dyDescent="0.25">
      <c r="A181">
        <f>Old!AI94</f>
        <v>0</v>
      </c>
      <c r="B181" t="str">
        <f>Old!AS94</f>
        <v>RegularSeason</v>
      </c>
      <c r="C181" t="str">
        <f>Old!BF94</f>
        <v>Pending</v>
      </c>
      <c r="D181">
        <v>11</v>
      </c>
      <c r="E181">
        <v>0</v>
      </c>
      <c r="F181" t="str">
        <f t="shared" si="3"/>
        <v>11-0</v>
      </c>
    </row>
    <row r="182" spans="1:6" x14ac:dyDescent="0.25">
      <c r="A182">
        <f>Old!AI97</f>
        <v>0</v>
      </c>
      <c r="B182" t="str">
        <f>Old!AS97</f>
        <v>RegularSeason</v>
      </c>
      <c r="C182" t="str">
        <f>Old!BF97</f>
        <v>Pending</v>
      </c>
      <c r="D182">
        <v>11</v>
      </c>
      <c r="E182">
        <v>1</v>
      </c>
      <c r="F182" t="str">
        <f t="shared" si="3"/>
        <v>11-1</v>
      </c>
    </row>
    <row r="183" spans="1:6" x14ac:dyDescent="0.25">
      <c r="A183">
        <f>Old!AI103</f>
        <v>0</v>
      </c>
      <c r="B183" t="str">
        <f>Old!AS103</f>
        <v>RegularSeason</v>
      </c>
      <c r="C183" t="str">
        <f>Old!BF103</f>
        <v>Pending</v>
      </c>
      <c r="D183">
        <v>11</v>
      </c>
      <c r="E183">
        <v>2</v>
      </c>
      <c r="F183" t="str">
        <f t="shared" si="3"/>
        <v>11-2</v>
      </c>
    </row>
    <row r="184" spans="1:6" x14ac:dyDescent="0.25">
      <c r="A184">
        <f>Old!AI108</f>
        <v>0</v>
      </c>
      <c r="B184" t="str">
        <f>Old!AS108</f>
        <v>RegularSeason</v>
      </c>
      <c r="C184" t="str">
        <f>Old!BF108</f>
        <v>Pending</v>
      </c>
      <c r="D184">
        <v>11</v>
      </c>
      <c r="E184">
        <v>3</v>
      </c>
      <c r="F184" t="str">
        <f t="shared" si="3"/>
        <v>11-3</v>
      </c>
    </row>
    <row r="185" spans="1:6" x14ac:dyDescent="0.25">
      <c r="A185">
        <f>Old!AI109</f>
        <v>0</v>
      </c>
      <c r="B185" t="str">
        <f>Old!AS109</f>
        <v>RegularSeason</v>
      </c>
      <c r="C185" t="str">
        <f>Old!BF109</f>
        <v>Pending</v>
      </c>
      <c r="D185">
        <v>11</v>
      </c>
      <c r="E185">
        <v>4</v>
      </c>
      <c r="F185" t="str">
        <f t="shared" si="3"/>
        <v>11-4</v>
      </c>
    </row>
    <row r="186" spans="1:6" x14ac:dyDescent="0.25">
      <c r="A186">
        <f>Old!AI112</f>
        <v>0</v>
      </c>
      <c r="B186" t="str">
        <f>Old!AS112</f>
        <v>RegularSeason</v>
      </c>
      <c r="C186" t="str">
        <f>Old!BF112</f>
        <v>Pending</v>
      </c>
      <c r="D186">
        <v>11</v>
      </c>
      <c r="E186">
        <v>5</v>
      </c>
      <c r="F186" t="str">
        <f t="shared" si="3"/>
        <v>11-5</v>
      </c>
    </row>
    <row r="187" spans="1:6" x14ac:dyDescent="0.25">
      <c r="A187">
        <f>Old!AI131</f>
        <v>0</v>
      </c>
      <c r="B187" t="str">
        <f>Old!AS131</f>
        <v>RegularSeason</v>
      </c>
      <c r="C187" t="str">
        <f>Old!BF131</f>
        <v>Pending</v>
      </c>
      <c r="D187">
        <v>11</v>
      </c>
      <c r="E187">
        <v>6</v>
      </c>
      <c r="F187" t="str">
        <f t="shared" si="3"/>
        <v>11-6</v>
      </c>
    </row>
    <row r="188" spans="1:6" x14ac:dyDescent="0.25">
      <c r="A188">
        <f>Old!AI113</f>
        <v>0</v>
      </c>
      <c r="B188" t="str">
        <f>Old!AS113</f>
        <v>RegularSeason</v>
      </c>
      <c r="C188" t="str">
        <f>Old!BF113</f>
        <v>Pending</v>
      </c>
      <c r="D188">
        <v>11</v>
      </c>
      <c r="E188">
        <v>7</v>
      </c>
      <c r="F188" t="str">
        <f t="shared" si="3"/>
        <v>11-7</v>
      </c>
    </row>
    <row r="189" spans="1:6" x14ac:dyDescent="0.25">
      <c r="A189">
        <f>Old!AI121</f>
        <v>0</v>
      </c>
      <c r="B189" t="str">
        <f>Old!AS121</f>
        <v>RegularSeason</v>
      </c>
      <c r="C189" t="str">
        <f>Old!BF121</f>
        <v>Pending</v>
      </c>
      <c r="D189">
        <v>11</v>
      </c>
      <c r="E189">
        <v>8</v>
      </c>
      <c r="F189" t="str">
        <f t="shared" si="3"/>
        <v>11-8</v>
      </c>
    </row>
    <row r="190" spans="1:6" x14ac:dyDescent="0.25">
      <c r="A190">
        <f>Old!AI122</f>
        <v>0</v>
      </c>
      <c r="B190" t="str">
        <f>Old!AS122</f>
        <v>RegularSeason</v>
      </c>
      <c r="C190" t="str">
        <f>Old!BF122</f>
        <v>Pending</v>
      </c>
      <c r="D190">
        <v>11</v>
      </c>
      <c r="E190">
        <v>9</v>
      </c>
      <c r="F190" t="str">
        <f t="shared" si="3"/>
        <v>11-9</v>
      </c>
    </row>
    <row r="191" spans="1:6" x14ac:dyDescent="0.25">
      <c r="A191">
        <f>Old!AI111</f>
        <v>0</v>
      </c>
      <c r="B191" t="str">
        <f>Old!AS111</f>
        <v>RegularSeason</v>
      </c>
      <c r="C191" t="str">
        <f>Old!BF111</f>
        <v>Pending</v>
      </c>
      <c r="D191">
        <v>11</v>
      </c>
      <c r="E191">
        <v>10</v>
      </c>
      <c r="F191" t="str">
        <f t="shared" si="3"/>
        <v>11-10</v>
      </c>
    </row>
    <row r="192" spans="1:6" x14ac:dyDescent="0.25">
      <c r="A192">
        <f>Old!AI133</f>
        <v>0</v>
      </c>
      <c r="B192" t="str">
        <f>Old!AS133</f>
        <v>RegularSeason</v>
      </c>
      <c r="C192" t="str">
        <f>Old!BF133</f>
        <v>Pending</v>
      </c>
      <c r="D192">
        <v>11</v>
      </c>
      <c r="E192">
        <v>11</v>
      </c>
      <c r="F192" t="str">
        <f t="shared" si="3"/>
        <v>11-11</v>
      </c>
    </row>
    <row r="193" spans="1:6" x14ac:dyDescent="0.25">
      <c r="A193">
        <f>Old!AI128</f>
        <v>0</v>
      </c>
      <c r="B193" t="str">
        <f>Old!AS128</f>
        <v>RegularSeason</v>
      </c>
      <c r="C193" t="str">
        <f>Old!BF128</f>
        <v>Pending</v>
      </c>
      <c r="D193">
        <v>11</v>
      </c>
      <c r="E193">
        <v>12</v>
      </c>
      <c r="F193" t="str">
        <f t="shared" si="3"/>
        <v>11-12</v>
      </c>
    </row>
    <row r="194" spans="1:6" x14ac:dyDescent="0.25">
      <c r="A194">
        <f>Old!AI117</f>
        <v>0</v>
      </c>
      <c r="B194" t="str">
        <f>Old!AS117</f>
        <v>RegularSeason</v>
      </c>
      <c r="C194" t="str">
        <f>Old!BF117</f>
        <v>Pending</v>
      </c>
      <c r="D194">
        <v>11</v>
      </c>
      <c r="E194">
        <v>13</v>
      </c>
      <c r="F194" t="str">
        <f t="shared" si="3"/>
        <v>11-13</v>
      </c>
    </row>
    <row r="195" spans="1:6" x14ac:dyDescent="0.25">
      <c r="A195">
        <f>Old!AI136</f>
        <v>0</v>
      </c>
      <c r="B195" t="str">
        <f>Old!AS136</f>
        <v>RegularSeason</v>
      </c>
      <c r="C195" t="str">
        <f>Old!BF136</f>
        <v>Pending</v>
      </c>
      <c r="D195">
        <v>11</v>
      </c>
      <c r="E195">
        <v>14</v>
      </c>
      <c r="F195" t="str">
        <f t="shared" si="3"/>
        <v>11-14</v>
      </c>
    </row>
    <row r="196" spans="1:6" x14ac:dyDescent="0.25">
      <c r="A196">
        <f>Old!AI83</f>
        <v>0</v>
      </c>
      <c r="B196" t="str">
        <f>Old!AS83</f>
        <v>RegularSeason</v>
      </c>
      <c r="C196" t="str">
        <f>Old!BF83</f>
        <v>Pending</v>
      </c>
      <c r="D196">
        <v>12</v>
      </c>
      <c r="E196">
        <v>0</v>
      </c>
      <c r="F196" t="str">
        <f t="shared" si="3"/>
        <v>12-0</v>
      </c>
    </row>
    <row r="197" spans="1:6" x14ac:dyDescent="0.25">
      <c r="A197">
        <f>Old!AI87</f>
        <v>0</v>
      </c>
      <c r="B197" t="str">
        <f>Old!AS87</f>
        <v>RegularSeason</v>
      </c>
      <c r="C197" t="str">
        <f>Old!BF87</f>
        <v>Pending</v>
      </c>
      <c r="D197">
        <v>12</v>
      </c>
      <c r="E197">
        <v>1</v>
      </c>
      <c r="F197" t="str">
        <f t="shared" si="3"/>
        <v>12-1</v>
      </c>
    </row>
    <row r="198" spans="1:6" x14ac:dyDescent="0.25">
      <c r="A198">
        <f>Old!AI93</f>
        <v>0</v>
      </c>
      <c r="B198" t="str">
        <f>Old!AS93</f>
        <v>RegularSeason</v>
      </c>
      <c r="C198" t="str">
        <f>Old!BF93</f>
        <v>Pending</v>
      </c>
      <c r="D198">
        <v>12</v>
      </c>
      <c r="E198">
        <v>2</v>
      </c>
      <c r="F198" t="str">
        <f t="shared" si="3"/>
        <v>12-2</v>
      </c>
    </row>
    <row r="199" spans="1:6" x14ac:dyDescent="0.25">
      <c r="A199">
        <f>Old!AI100</f>
        <v>0</v>
      </c>
      <c r="B199" t="str">
        <f>Old!AS100</f>
        <v>RegularSeason</v>
      </c>
      <c r="C199" t="str">
        <f>Old!BF100</f>
        <v>Pending</v>
      </c>
      <c r="D199">
        <v>12</v>
      </c>
      <c r="E199">
        <v>3</v>
      </c>
      <c r="F199" t="str">
        <f t="shared" si="3"/>
        <v>12-3</v>
      </c>
    </row>
    <row r="200" spans="1:6" x14ac:dyDescent="0.25">
      <c r="A200">
        <f>Old!AI105</f>
        <v>0</v>
      </c>
      <c r="B200" t="str">
        <f>Old!AS105</f>
        <v>RegularSeason</v>
      </c>
      <c r="C200" t="str">
        <f>Old!BF105</f>
        <v>Pending</v>
      </c>
      <c r="D200">
        <v>12</v>
      </c>
      <c r="E200">
        <v>4</v>
      </c>
      <c r="F200" t="str">
        <f t="shared" si="3"/>
        <v>12-4</v>
      </c>
    </row>
    <row r="201" spans="1:6" x14ac:dyDescent="0.25">
      <c r="A201">
        <f>Old!AI118</f>
        <v>0</v>
      </c>
      <c r="B201" t="str">
        <f>Old!AS118</f>
        <v>RegularSeason</v>
      </c>
      <c r="C201" t="str">
        <f>Old!BF118</f>
        <v>Pending</v>
      </c>
      <c r="D201">
        <v>12</v>
      </c>
      <c r="E201">
        <v>5</v>
      </c>
      <c r="F201" t="str">
        <f t="shared" si="3"/>
        <v>12-5</v>
      </c>
    </row>
    <row r="202" spans="1:6" x14ac:dyDescent="0.25">
      <c r="A202">
        <f>Old!AI120</f>
        <v>0</v>
      </c>
      <c r="B202" t="str">
        <f>Old!AS120</f>
        <v>RegularSeason</v>
      </c>
      <c r="C202" t="str">
        <f>Old!BF120</f>
        <v>Pending</v>
      </c>
      <c r="D202">
        <v>12</v>
      </c>
      <c r="E202">
        <v>6</v>
      </c>
      <c r="F202" t="str">
        <f t="shared" si="3"/>
        <v>12-6</v>
      </c>
    </row>
    <row r="203" spans="1:6" x14ac:dyDescent="0.25">
      <c r="A203">
        <f>Old!AI96</f>
        <v>0</v>
      </c>
      <c r="B203" t="str">
        <f>Old!AS96</f>
        <v>RegularSeason</v>
      </c>
      <c r="C203" t="str">
        <f>Old!BF96</f>
        <v>Pending</v>
      </c>
      <c r="D203">
        <v>12</v>
      </c>
      <c r="E203">
        <v>7</v>
      </c>
      <c r="F203" t="str">
        <f t="shared" si="3"/>
        <v>12-7</v>
      </c>
    </row>
    <row r="204" spans="1:6" x14ac:dyDescent="0.25">
      <c r="A204">
        <f>Old!AI98</f>
        <v>0</v>
      </c>
      <c r="B204" t="str">
        <f>Old!AS98</f>
        <v>RegularSeason</v>
      </c>
      <c r="C204" t="str">
        <f>Old!BF98</f>
        <v>Pending</v>
      </c>
      <c r="D204">
        <v>12</v>
      </c>
      <c r="E204">
        <v>8</v>
      </c>
      <c r="F204" t="str">
        <f t="shared" si="3"/>
        <v>12-8</v>
      </c>
    </row>
    <row r="205" spans="1:6" x14ac:dyDescent="0.25">
      <c r="A205">
        <f>Old!AI101</f>
        <v>0</v>
      </c>
      <c r="B205" t="str">
        <f>Old!AS101</f>
        <v>RegularSeason</v>
      </c>
      <c r="C205" t="str">
        <f>Old!BF101</f>
        <v>Pending</v>
      </c>
      <c r="D205">
        <v>12</v>
      </c>
      <c r="E205">
        <v>9</v>
      </c>
      <c r="F205" t="str">
        <f t="shared" ref="F205:F268" si="4">_xlfn.CONCAT(D205,"-",E205)</f>
        <v>12-9</v>
      </c>
    </row>
    <row r="206" spans="1:6" x14ac:dyDescent="0.25">
      <c r="A206">
        <f>Old!AI104</f>
        <v>0</v>
      </c>
      <c r="B206" t="str">
        <f>Old!AS104</f>
        <v>RegularSeason</v>
      </c>
      <c r="C206" t="str">
        <f>Old!BF104</f>
        <v>Pending</v>
      </c>
      <c r="D206">
        <v>12</v>
      </c>
      <c r="E206">
        <v>10</v>
      </c>
      <c r="F206" t="str">
        <f t="shared" si="4"/>
        <v>12-10</v>
      </c>
    </row>
    <row r="207" spans="1:6" x14ac:dyDescent="0.25">
      <c r="A207">
        <f>Old!AI99</f>
        <v>0</v>
      </c>
      <c r="B207" t="str">
        <f>Old!AS99</f>
        <v>RegularSeason</v>
      </c>
      <c r="C207" t="str">
        <f>Old!BF99</f>
        <v>Pending</v>
      </c>
      <c r="D207">
        <v>12</v>
      </c>
      <c r="E207">
        <v>11</v>
      </c>
      <c r="F207" t="str">
        <f t="shared" si="4"/>
        <v>12-11</v>
      </c>
    </row>
    <row r="208" spans="1:6" x14ac:dyDescent="0.25">
      <c r="A208">
        <f>Old!AI95</f>
        <v>0</v>
      </c>
      <c r="B208" t="str">
        <f>Old!AS95</f>
        <v>RegularSeason</v>
      </c>
      <c r="C208" t="str">
        <f>Old!BF95</f>
        <v>Pending</v>
      </c>
      <c r="D208">
        <v>12</v>
      </c>
      <c r="E208">
        <v>12</v>
      </c>
      <c r="F208" t="str">
        <f t="shared" si="4"/>
        <v>12-12</v>
      </c>
    </row>
    <row r="209" spans="1:6" x14ac:dyDescent="0.25">
      <c r="A209">
        <f>Old!AI110</f>
        <v>0</v>
      </c>
      <c r="B209" t="str">
        <f>Old!AS110</f>
        <v>RegularSeason</v>
      </c>
      <c r="C209" t="str">
        <f>Old!BF110</f>
        <v>Pending</v>
      </c>
      <c r="D209">
        <v>12</v>
      </c>
      <c r="E209">
        <v>13</v>
      </c>
      <c r="F209" t="str">
        <f t="shared" si="4"/>
        <v>12-13</v>
      </c>
    </row>
    <row r="210" spans="1:6" x14ac:dyDescent="0.25">
      <c r="A210">
        <f>Old!AI80</f>
        <v>0</v>
      </c>
      <c r="B210" t="str">
        <f>Old!AS80</f>
        <v>RegularSeason</v>
      </c>
      <c r="C210" t="str">
        <f>Old!BF80</f>
        <v>Pending</v>
      </c>
      <c r="D210">
        <v>13</v>
      </c>
      <c r="E210">
        <v>0</v>
      </c>
      <c r="F210" t="str">
        <f t="shared" si="4"/>
        <v>13-0</v>
      </c>
    </row>
    <row r="211" spans="1:6" x14ac:dyDescent="0.25">
      <c r="A211">
        <f>Old!AI82</f>
        <v>0</v>
      </c>
      <c r="B211" t="str">
        <f>Old!AS82</f>
        <v>RegularSeason</v>
      </c>
      <c r="C211" t="str">
        <f>Old!BF82</f>
        <v>Pending</v>
      </c>
      <c r="D211">
        <v>13</v>
      </c>
      <c r="E211">
        <v>1</v>
      </c>
      <c r="F211" t="str">
        <f t="shared" si="4"/>
        <v>13-1</v>
      </c>
    </row>
    <row r="212" spans="1:6" x14ac:dyDescent="0.25">
      <c r="A212">
        <f>Old!AI84</f>
        <v>0</v>
      </c>
      <c r="B212" t="str">
        <f>Old!AS84</f>
        <v>RegularSeason</v>
      </c>
      <c r="C212" t="str">
        <f>Old!BF84</f>
        <v>Pending</v>
      </c>
      <c r="D212">
        <v>13</v>
      </c>
      <c r="E212">
        <v>2</v>
      </c>
      <c r="F212" t="str">
        <f t="shared" si="4"/>
        <v>13-2</v>
      </c>
    </row>
    <row r="213" spans="1:6" x14ac:dyDescent="0.25">
      <c r="A213">
        <f>Old!AI88</f>
        <v>0</v>
      </c>
      <c r="B213" t="str">
        <f>Old!AS88</f>
        <v>RegularSeason</v>
      </c>
      <c r="C213" t="str">
        <f>Old!BF88</f>
        <v>Pending</v>
      </c>
      <c r="D213">
        <v>13</v>
      </c>
      <c r="E213">
        <v>3</v>
      </c>
      <c r="F213" t="str">
        <f t="shared" si="4"/>
        <v>13-3</v>
      </c>
    </row>
    <row r="214" spans="1:6" x14ac:dyDescent="0.25">
      <c r="A214">
        <f>Old!AI90</f>
        <v>0</v>
      </c>
      <c r="B214" t="str">
        <f>Old!AS90</f>
        <v>RegularSeason</v>
      </c>
      <c r="C214" t="str">
        <f>Old!BF90</f>
        <v>Pending</v>
      </c>
      <c r="D214">
        <v>13</v>
      </c>
      <c r="E214">
        <v>4</v>
      </c>
      <c r="F214" t="str">
        <f t="shared" si="4"/>
        <v>13-4</v>
      </c>
    </row>
    <row r="215" spans="1:6" x14ac:dyDescent="0.25">
      <c r="A215">
        <f>Old!AI106</f>
        <v>0</v>
      </c>
      <c r="B215" t="str">
        <f>Old!AS106</f>
        <v>RegularSeason</v>
      </c>
      <c r="C215" t="str">
        <f>Old!BF106</f>
        <v>Pending</v>
      </c>
      <c r="D215">
        <v>13</v>
      </c>
      <c r="E215">
        <v>5</v>
      </c>
      <c r="F215" t="str">
        <f t="shared" si="4"/>
        <v>13-5</v>
      </c>
    </row>
    <row r="216" spans="1:6" x14ac:dyDescent="0.25">
      <c r="A216">
        <f>Old!AI107</f>
        <v>0</v>
      </c>
      <c r="B216" t="str">
        <f>Old!AS107</f>
        <v>RegularSeason</v>
      </c>
      <c r="C216" t="str">
        <f>Old!BF107</f>
        <v>Pending</v>
      </c>
      <c r="D216">
        <v>13</v>
      </c>
      <c r="E216">
        <v>6</v>
      </c>
      <c r="F216" t="str">
        <f t="shared" si="4"/>
        <v>13-6</v>
      </c>
    </row>
    <row r="217" spans="1:6" x14ac:dyDescent="0.25">
      <c r="A217">
        <f>Old!AI65</f>
        <v>0</v>
      </c>
      <c r="B217" t="str">
        <f>Old!AS65</f>
        <v>RegularSeason</v>
      </c>
      <c r="C217" t="str">
        <f>Old!BF65</f>
        <v>Pending</v>
      </c>
      <c r="D217">
        <v>13</v>
      </c>
      <c r="E217">
        <v>7</v>
      </c>
      <c r="F217" t="str">
        <f t="shared" si="4"/>
        <v>13-7</v>
      </c>
    </row>
    <row r="218" spans="1:6" x14ac:dyDescent="0.25">
      <c r="A218">
        <f>Old!AI72</f>
        <v>0</v>
      </c>
      <c r="B218" t="str">
        <f>Old!AS72</f>
        <v>RegularSeason</v>
      </c>
      <c r="C218" t="str">
        <f>Old!BF72</f>
        <v>Pending</v>
      </c>
      <c r="D218">
        <v>13</v>
      </c>
      <c r="E218">
        <v>8</v>
      </c>
      <c r="F218" t="str">
        <f t="shared" si="4"/>
        <v>13-8</v>
      </c>
    </row>
    <row r="219" spans="1:6" x14ac:dyDescent="0.25">
      <c r="A219">
        <f>Old!AI73</f>
        <v>0</v>
      </c>
      <c r="B219" t="str">
        <f>Old!AS73</f>
        <v>RegularSeason</v>
      </c>
      <c r="C219" t="str">
        <f>Old!BF73</f>
        <v>Pending</v>
      </c>
      <c r="D219">
        <v>13</v>
      </c>
      <c r="E219">
        <v>9</v>
      </c>
      <c r="F219" t="str">
        <f t="shared" si="4"/>
        <v>13-9</v>
      </c>
    </row>
    <row r="220" spans="1:6" x14ac:dyDescent="0.25">
      <c r="A220">
        <f>Old!AI81</f>
        <v>0</v>
      </c>
      <c r="B220" t="str">
        <f>Old!AS81</f>
        <v>RegularSeason</v>
      </c>
      <c r="C220" t="str">
        <f>Old!BF81</f>
        <v>Pending</v>
      </c>
      <c r="D220">
        <v>13</v>
      </c>
      <c r="E220">
        <v>10</v>
      </c>
      <c r="F220" t="str">
        <f t="shared" si="4"/>
        <v>13-10</v>
      </c>
    </row>
    <row r="221" spans="1:6" x14ac:dyDescent="0.25">
      <c r="A221">
        <f>Old!AI89</f>
        <v>0</v>
      </c>
      <c r="B221" t="str">
        <f>Old!AS89</f>
        <v>RegularSeason</v>
      </c>
      <c r="C221" t="str">
        <f>Old!BF89</f>
        <v>Pending</v>
      </c>
      <c r="D221">
        <v>13</v>
      </c>
      <c r="E221">
        <v>11</v>
      </c>
      <c r="F221" t="str">
        <f t="shared" si="4"/>
        <v>13-11</v>
      </c>
    </row>
    <row r="222" spans="1:6" x14ac:dyDescent="0.25">
      <c r="A222">
        <f>Old!AI102</f>
        <v>0</v>
      </c>
      <c r="B222" t="str">
        <f>Old!AS102</f>
        <v>RegularSeason</v>
      </c>
      <c r="C222" t="str">
        <f>Old!BF102</f>
        <v>Pending</v>
      </c>
      <c r="D222">
        <v>13</v>
      </c>
      <c r="E222">
        <v>12</v>
      </c>
      <c r="F222" t="str">
        <f t="shared" si="4"/>
        <v>13-12</v>
      </c>
    </row>
    <row r="223" spans="1:6" x14ac:dyDescent="0.25">
      <c r="A223">
        <f>Old!AI91</f>
        <v>0</v>
      </c>
      <c r="B223" t="str">
        <f>Old!AS91</f>
        <v>RegularSeason</v>
      </c>
      <c r="C223" t="str">
        <f>Old!BF91</f>
        <v>Pending</v>
      </c>
      <c r="D223">
        <v>13</v>
      </c>
      <c r="E223">
        <v>13</v>
      </c>
      <c r="F223" t="str">
        <f t="shared" si="4"/>
        <v>13-13</v>
      </c>
    </row>
    <row r="224" spans="1:6" x14ac:dyDescent="0.25">
      <c r="A224">
        <f>Old!AI64</f>
        <v>0</v>
      </c>
      <c r="B224" t="str">
        <f>Old!AS64</f>
        <v>RegularSeason</v>
      </c>
      <c r="C224" t="str">
        <f>Old!BF64</f>
        <v>Pending</v>
      </c>
      <c r="D224">
        <v>14</v>
      </c>
      <c r="E224">
        <v>0</v>
      </c>
      <c r="F224" t="str">
        <f t="shared" si="4"/>
        <v>14-0</v>
      </c>
    </row>
    <row r="225" spans="1:6" x14ac:dyDescent="0.25">
      <c r="A225">
        <f>Old!AI67</f>
        <v>0</v>
      </c>
      <c r="B225" t="str">
        <f>Old!AS67</f>
        <v>RegularSeason</v>
      </c>
      <c r="C225" t="str">
        <f>Old!BF67</f>
        <v>Pending</v>
      </c>
      <c r="D225">
        <v>14</v>
      </c>
      <c r="E225">
        <v>1</v>
      </c>
      <c r="F225" t="str">
        <f t="shared" si="4"/>
        <v>14-1</v>
      </c>
    </row>
    <row r="226" spans="1:6" x14ac:dyDescent="0.25">
      <c r="A226">
        <f>Old!AI69</f>
        <v>0</v>
      </c>
      <c r="B226" t="str">
        <f>Old!AS69</f>
        <v>RegularSeason</v>
      </c>
      <c r="C226" t="str">
        <f>Old!BF69</f>
        <v>Pending</v>
      </c>
      <c r="D226">
        <v>14</v>
      </c>
      <c r="E226">
        <v>2</v>
      </c>
      <c r="F226" t="str">
        <f t="shared" si="4"/>
        <v>14-2</v>
      </c>
    </row>
    <row r="227" spans="1:6" x14ac:dyDescent="0.25">
      <c r="A227">
        <f>Old!AI70</f>
        <v>0</v>
      </c>
      <c r="B227" t="str">
        <f>Old!AS70</f>
        <v>RegularSeason</v>
      </c>
      <c r="C227" t="str">
        <f>Old!BF70</f>
        <v>Pending</v>
      </c>
      <c r="D227">
        <v>14</v>
      </c>
      <c r="E227">
        <v>3</v>
      </c>
      <c r="F227" t="str">
        <f t="shared" si="4"/>
        <v>14-3</v>
      </c>
    </row>
    <row r="228" spans="1:6" x14ac:dyDescent="0.25">
      <c r="A228">
        <f>Old!AI71</f>
        <v>0</v>
      </c>
      <c r="B228" t="str">
        <f>Old!AS71</f>
        <v>RegularSeason</v>
      </c>
      <c r="C228" t="str">
        <f>Old!BF71</f>
        <v>Pending</v>
      </c>
      <c r="D228">
        <v>14</v>
      </c>
      <c r="E228">
        <v>4</v>
      </c>
      <c r="F228" t="str">
        <f t="shared" si="4"/>
        <v>14-4</v>
      </c>
    </row>
    <row r="229" spans="1:6" x14ac:dyDescent="0.25">
      <c r="A229">
        <f>Old!AI74</f>
        <v>0</v>
      </c>
      <c r="B229" t="str">
        <f>Old!AS74</f>
        <v>RegularSeason</v>
      </c>
      <c r="C229" t="str">
        <f>Old!BF74</f>
        <v>Pending</v>
      </c>
      <c r="D229">
        <v>14</v>
      </c>
      <c r="E229">
        <v>5</v>
      </c>
      <c r="F229" t="str">
        <f t="shared" si="4"/>
        <v>14-5</v>
      </c>
    </row>
    <row r="230" spans="1:6" x14ac:dyDescent="0.25">
      <c r="A230">
        <f>Old!AI75</f>
        <v>0</v>
      </c>
      <c r="B230" t="str">
        <f>Old!AS75</f>
        <v>RegularSeason</v>
      </c>
      <c r="C230" t="str">
        <f>Old!BF75</f>
        <v>Pending</v>
      </c>
      <c r="D230">
        <v>14</v>
      </c>
      <c r="E230">
        <v>6</v>
      </c>
      <c r="F230" t="str">
        <f t="shared" si="4"/>
        <v>14-6</v>
      </c>
    </row>
    <row r="231" spans="1:6" x14ac:dyDescent="0.25">
      <c r="A231">
        <f>Old!AI92</f>
        <v>0</v>
      </c>
      <c r="B231" t="str">
        <f>Old!AS92</f>
        <v>RegularSeason</v>
      </c>
      <c r="C231" t="str">
        <f>Old!BF92</f>
        <v>Pending</v>
      </c>
      <c r="D231">
        <v>14</v>
      </c>
      <c r="E231">
        <v>7</v>
      </c>
      <c r="F231" t="str">
        <f t="shared" si="4"/>
        <v>14-7</v>
      </c>
    </row>
    <row r="232" spans="1:6" x14ac:dyDescent="0.25">
      <c r="A232">
        <f>Old!AI51</f>
        <v>0</v>
      </c>
      <c r="B232" t="str">
        <f>Old!AS51</f>
        <v>PreSeason</v>
      </c>
      <c r="C232" t="str">
        <f>Old!BF51</f>
        <v>Pending</v>
      </c>
      <c r="D232">
        <v>14</v>
      </c>
      <c r="E232">
        <v>8</v>
      </c>
      <c r="F232" t="str">
        <f t="shared" si="4"/>
        <v>14-8</v>
      </c>
    </row>
    <row r="233" spans="1:6" x14ac:dyDescent="0.25">
      <c r="A233">
        <f>Old!AI56</f>
        <v>0</v>
      </c>
      <c r="B233" t="str">
        <f>Old!AS56</f>
        <v>RegularSeason</v>
      </c>
      <c r="C233" t="str">
        <f>Old!BF56</f>
        <v>Pending</v>
      </c>
      <c r="D233">
        <v>14</v>
      </c>
      <c r="E233">
        <v>9</v>
      </c>
      <c r="F233" t="str">
        <f t="shared" si="4"/>
        <v>14-9</v>
      </c>
    </row>
    <row r="234" spans="1:6" x14ac:dyDescent="0.25">
      <c r="A234">
        <f>Old!AI66</f>
        <v>0</v>
      </c>
      <c r="B234" t="str">
        <f>Old!AS66</f>
        <v>RegularSeason</v>
      </c>
      <c r="C234" t="str">
        <f>Old!BF66</f>
        <v>Pending</v>
      </c>
      <c r="D234">
        <v>14</v>
      </c>
      <c r="E234">
        <v>10</v>
      </c>
      <c r="F234" t="str">
        <f t="shared" si="4"/>
        <v>14-10</v>
      </c>
    </row>
    <row r="235" spans="1:6" x14ac:dyDescent="0.25">
      <c r="A235">
        <f>Old!AI59</f>
        <v>0</v>
      </c>
      <c r="B235" t="str">
        <f>Old!AS59</f>
        <v>RegularSeason</v>
      </c>
      <c r="C235" t="str">
        <f>Old!BF59</f>
        <v>Pending</v>
      </c>
      <c r="D235">
        <v>14</v>
      </c>
      <c r="E235">
        <v>11</v>
      </c>
      <c r="F235" t="str">
        <f t="shared" si="4"/>
        <v>14-11</v>
      </c>
    </row>
    <row r="236" spans="1:6" x14ac:dyDescent="0.25">
      <c r="A236">
        <f>Old!AI86</f>
        <v>0</v>
      </c>
      <c r="B236" t="str">
        <f>Old!AS86</f>
        <v>RegularSeason</v>
      </c>
      <c r="C236" t="str">
        <f>Old!BF86</f>
        <v>Pending</v>
      </c>
      <c r="D236">
        <v>14</v>
      </c>
      <c r="E236">
        <v>12</v>
      </c>
      <c r="F236" t="str">
        <f t="shared" si="4"/>
        <v>14-12</v>
      </c>
    </row>
    <row r="237" spans="1:6" x14ac:dyDescent="0.25">
      <c r="A237">
        <f>Old!AI78</f>
        <v>0</v>
      </c>
      <c r="B237" t="str">
        <f>Old!AS78</f>
        <v>RegularSeason</v>
      </c>
      <c r="C237" t="str">
        <f>Old!BF78</f>
        <v>Pending</v>
      </c>
      <c r="D237">
        <v>14</v>
      </c>
      <c r="E237">
        <v>13</v>
      </c>
      <c r="F237" t="str">
        <f t="shared" si="4"/>
        <v>14-13</v>
      </c>
    </row>
    <row r="238" spans="1:6" x14ac:dyDescent="0.25">
      <c r="A238">
        <f>Old!AI76</f>
        <v>0</v>
      </c>
      <c r="B238" t="str">
        <f>Old!AS76</f>
        <v>RegularSeason</v>
      </c>
      <c r="C238" t="str">
        <f>Old!BF76</f>
        <v>Pending</v>
      </c>
      <c r="D238">
        <v>14</v>
      </c>
      <c r="E238">
        <v>14</v>
      </c>
      <c r="F238" t="str">
        <f t="shared" si="4"/>
        <v>14-14</v>
      </c>
    </row>
    <row r="239" spans="1:6" x14ac:dyDescent="0.25">
      <c r="A239">
        <f>Old!AI85</f>
        <v>0</v>
      </c>
      <c r="B239" t="str">
        <f>Old!AS85</f>
        <v>RegularSeason</v>
      </c>
      <c r="C239" t="str">
        <f>Old!BF85</f>
        <v>Pending</v>
      </c>
      <c r="D239">
        <v>14</v>
      </c>
      <c r="E239">
        <v>15</v>
      </c>
      <c r="F239" t="str">
        <f t="shared" si="4"/>
        <v>14-15</v>
      </c>
    </row>
    <row r="240" spans="1:6" x14ac:dyDescent="0.25">
      <c r="A240">
        <f>Old!AI49</f>
        <v>0</v>
      </c>
      <c r="B240" t="str">
        <f>Old!AS49</f>
        <v>RegularSeason</v>
      </c>
      <c r="C240" t="str">
        <f>Old!BF49</f>
        <v>Pending</v>
      </c>
      <c r="D240">
        <v>15</v>
      </c>
      <c r="E240">
        <v>0</v>
      </c>
      <c r="F240" t="str">
        <f t="shared" si="4"/>
        <v>15-0</v>
      </c>
    </row>
    <row r="241" spans="1:6" x14ac:dyDescent="0.25">
      <c r="A241">
        <f>Old!AI50</f>
        <v>0</v>
      </c>
      <c r="B241" t="str">
        <f>Old!AS50</f>
        <v>RegularSeason</v>
      </c>
      <c r="C241" t="str">
        <f>Old!BF50</f>
        <v>Pending</v>
      </c>
      <c r="D241">
        <v>15</v>
      </c>
      <c r="E241">
        <v>1</v>
      </c>
      <c r="F241" t="str">
        <f t="shared" si="4"/>
        <v>15-1</v>
      </c>
    </row>
    <row r="242" spans="1:6" x14ac:dyDescent="0.25">
      <c r="A242">
        <f>Old!AI52</f>
        <v>0</v>
      </c>
      <c r="B242" t="str">
        <f>Old!AS52</f>
        <v>RegularSeason</v>
      </c>
      <c r="C242" t="str">
        <f>Old!BF52</f>
        <v>Pending</v>
      </c>
      <c r="D242">
        <v>15</v>
      </c>
      <c r="E242">
        <v>2</v>
      </c>
      <c r="F242" t="str">
        <f t="shared" si="4"/>
        <v>15-2</v>
      </c>
    </row>
    <row r="243" spans="1:6" x14ac:dyDescent="0.25">
      <c r="A243">
        <f>Old!AI53</f>
        <v>0</v>
      </c>
      <c r="B243" t="str">
        <f>Old!AS53</f>
        <v>PreSeason</v>
      </c>
      <c r="C243" t="str">
        <f>Old!BF53</f>
        <v>Pending</v>
      </c>
      <c r="D243">
        <v>15</v>
      </c>
      <c r="E243">
        <v>3</v>
      </c>
      <c r="F243" t="str">
        <f t="shared" si="4"/>
        <v>15-3</v>
      </c>
    </row>
    <row r="244" spans="1:6" x14ac:dyDescent="0.25">
      <c r="A244">
        <f>Old!AI55</f>
        <v>0</v>
      </c>
      <c r="B244" t="str">
        <f>Old!AS55</f>
        <v>PreSeason</v>
      </c>
      <c r="C244" t="str">
        <f>Old!BF55</f>
        <v>Pending</v>
      </c>
      <c r="D244">
        <v>15</v>
      </c>
      <c r="E244">
        <v>4</v>
      </c>
      <c r="F244" t="str">
        <f t="shared" si="4"/>
        <v>15-4</v>
      </c>
    </row>
    <row r="245" spans="1:6" x14ac:dyDescent="0.25">
      <c r="A245">
        <f>Old!AI57</f>
        <v>0</v>
      </c>
      <c r="B245" t="str">
        <f>Old!AS57</f>
        <v>RegularSeason</v>
      </c>
      <c r="C245" t="str">
        <f>Old!BF57</f>
        <v>Pending</v>
      </c>
      <c r="D245">
        <v>15</v>
      </c>
      <c r="E245">
        <v>5</v>
      </c>
      <c r="F245" t="str">
        <f t="shared" si="4"/>
        <v>15-5</v>
      </c>
    </row>
    <row r="246" spans="1:6" x14ac:dyDescent="0.25">
      <c r="A246">
        <f>Old!AI58</f>
        <v>0</v>
      </c>
      <c r="B246" t="str">
        <f>Old!AS58</f>
        <v>RegularSeason</v>
      </c>
      <c r="C246" t="str">
        <f>Old!BF58</f>
        <v>Pending</v>
      </c>
      <c r="D246">
        <v>15</v>
      </c>
      <c r="E246">
        <v>6</v>
      </c>
      <c r="F246" t="str">
        <f t="shared" si="4"/>
        <v>15-6</v>
      </c>
    </row>
    <row r="247" spans="1:6" x14ac:dyDescent="0.25">
      <c r="A247">
        <f>Old!AI77</f>
        <v>0</v>
      </c>
      <c r="B247" t="str">
        <f>Old!AS77</f>
        <v>RegularSeason</v>
      </c>
      <c r="C247" t="str">
        <f>Old!BF77</f>
        <v>Pending</v>
      </c>
      <c r="D247">
        <v>15</v>
      </c>
      <c r="E247">
        <v>7</v>
      </c>
      <c r="F247" t="str">
        <f t="shared" si="4"/>
        <v>15-7</v>
      </c>
    </row>
    <row r="248" spans="1:6" x14ac:dyDescent="0.25">
      <c r="A248">
        <f>Old!AI36</f>
        <v>0</v>
      </c>
      <c r="B248" t="str">
        <f>Old!AS36</f>
        <v>RegularSeason</v>
      </c>
      <c r="C248" t="str">
        <f>Old!BF36</f>
        <v>Pending</v>
      </c>
      <c r="D248">
        <v>15</v>
      </c>
      <c r="E248">
        <v>8</v>
      </c>
      <c r="F248" t="str">
        <f t="shared" si="4"/>
        <v>15-8</v>
      </c>
    </row>
    <row r="249" spans="1:6" x14ac:dyDescent="0.25">
      <c r="A249">
        <f>Old!AI48</f>
        <v>0</v>
      </c>
      <c r="B249" t="str">
        <f>Old!AS48</f>
        <v>RegularSeason</v>
      </c>
      <c r="C249" t="str">
        <f>Old!BF48</f>
        <v>Pending</v>
      </c>
      <c r="D249">
        <v>15</v>
      </c>
      <c r="E249">
        <v>9</v>
      </c>
      <c r="F249" t="str">
        <f t="shared" si="4"/>
        <v>15-9</v>
      </c>
    </row>
    <row r="250" spans="1:6" x14ac:dyDescent="0.25">
      <c r="A250">
        <f>Old!AI47</f>
        <v>0</v>
      </c>
      <c r="B250" t="str">
        <f>Old!AS47</f>
        <v>PreSeason</v>
      </c>
      <c r="C250" t="str">
        <f>Old!BF47</f>
        <v>Pending</v>
      </c>
      <c r="D250">
        <v>15</v>
      </c>
      <c r="E250">
        <v>10</v>
      </c>
      <c r="F250" t="str">
        <f t="shared" si="4"/>
        <v>15-10</v>
      </c>
    </row>
    <row r="251" spans="1:6" x14ac:dyDescent="0.25">
      <c r="A251">
        <f>Old!AI62</f>
        <v>0</v>
      </c>
      <c r="B251" t="str">
        <f>Old!AS62</f>
        <v>RegularSeason</v>
      </c>
      <c r="C251" t="str">
        <f>Old!BF62</f>
        <v>Pending</v>
      </c>
      <c r="D251">
        <v>15</v>
      </c>
      <c r="E251">
        <v>11</v>
      </c>
      <c r="F251" t="str">
        <f t="shared" si="4"/>
        <v>15-11</v>
      </c>
    </row>
    <row r="252" spans="1:6" x14ac:dyDescent="0.25">
      <c r="A252">
        <f>Old!AI79</f>
        <v>0</v>
      </c>
      <c r="B252" t="str">
        <f>Old!AS79</f>
        <v>RegularSeason</v>
      </c>
      <c r="C252" t="str">
        <f>Old!BF79</f>
        <v>Pending</v>
      </c>
      <c r="D252">
        <v>15</v>
      </c>
      <c r="E252">
        <v>12</v>
      </c>
      <c r="F252" t="str">
        <f t="shared" si="4"/>
        <v>15-12</v>
      </c>
    </row>
    <row r="253" spans="1:6" x14ac:dyDescent="0.25">
      <c r="A253">
        <f>Old!AI68</f>
        <v>0</v>
      </c>
      <c r="B253" t="str">
        <f>Old!AS68</f>
        <v>RegularSeason</v>
      </c>
      <c r="C253" t="str">
        <f>Old!BF68</f>
        <v>Pending</v>
      </c>
      <c r="D253">
        <v>15</v>
      </c>
      <c r="E253">
        <v>13</v>
      </c>
      <c r="F253" t="str">
        <f t="shared" si="4"/>
        <v>15-13</v>
      </c>
    </row>
    <row r="254" spans="1:6" x14ac:dyDescent="0.25">
      <c r="A254">
        <f>Old!AI61</f>
        <v>0</v>
      </c>
      <c r="B254" t="str">
        <f>Old!AS61</f>
        <v>RegularSeason</v>
      </c>
      <c r="C254" t="str">
        <f>Old!BF61</f>
        <v>Pending</v>
      </c>
      <c r="D254">
        <v>15</v>
      </c>
      <c r="E254">
        <v>14</v>
      </c>
      <c r="F254" t="str">
        <f t="shared" si="4"/>
        <v>15-14</v>
      </c>
    </row>
    <row r="255" spans="1:6" x14ac:dyDescent="0.25">
      <c r="A255">
        <f>Old!AI54</f>
        <v>0</v>
      </c>
      <c r="B255" t="str">
        <f>Old!AS54</f>
        <v>RegularSeason</v>
      </c>
      <c r="C255" t="str">
        <f>Old!BF54</f>
        <v>Pending</v>
      </c>
      <c r="D255">
        <v>15</v>
      </c>
      <c r="E255">
        <v>15</v>
      </c>
      <c r="F255" t="str">
        <f t="shared" si="4"/>
        <v>15-15</v>
      </c>
    </row>
    <row r="256" spans="1:6" x14ac:dyDescent="0.25">
      <c r="A256">
        <f>Old!AI32</f>
        <v>0</v>
      </c>
      <c r="B256" t="str">
        <f>Old!AS32</f>
        <v>PreSeason</v>
      </c>
      <c r="C256" t="str">
        <f>Old!BF32</f>
        <v>Pending</v>
      </c>
      <c r="D256">
        <v>16</v>
      </c>
      <c r="E256">
        <v>0</v>
      </c>
      <c r="F256" t="str">
        <f t="shared" si="4"/>
        <v>16-0</v>
      </c>
    </row>
    <row r="257" spans="1:6" x14ac:dyDescent="0.25">
      <c r="A257">
        <f>Old!AI35</f>
        <v>0</v>
      </c>
      <c r="B257" t="str">
        <f>Old!AS35</f>
        <v>PreSeason</v>
      </c>
      <c r="C257" t="str">
        <f>Old!BF35</f>
        <v>Pending</v>
      </c>
      <c r="D257">
        <v>16</v>
      </c>
      <c r="E257">
        <v>1</v>
      </c>
      <c r="F257" t="str">
        <f t="shared" si="4"/>
        <v>16-1</v>
      </c>
    </row>
    <row r="258" spans="1:6" x14ac:dyDescent="0.25">
      <c r="A258">
        <f>Old!AI38</f>
        <v>0</v>
      </c>
      <c r="B258" t="str">
        <f>Old!AS38</f>
        <v>PreSeason</v>
      </c>
      <c r="C258" t="str">
        <f>Old!BF38</f>
        <v>Pending</v>
      </c>
      <c r="D258">
        <v>16</v>
      </c>
      <c r="E258">
        <v>2</v>
      </c>
      <c r="F258" t="str">
        <f t="shared" si="4"/>
        <v>16-2</v>
      </c>
    </row>
    <row r="259" spans="1:6" x14ac:dyDescent="0.25">
      <c r="A259">
        <f>Old!AI39</f>
        <v>0</v>
      </c>
      <c r="B259" t="str">
        <f>Old!AS39</f>
        <v>PreSeason</v>
      </c>
      <c r="C259" t="str">
        <f>Old!BF39</f>
        <v>Pending</v>
      </c>
      <c r="D259">
        <v>16</v>
      </c>
      <c r="E259">
        <v>3</v>
      </c>
      <c r="F259" t="str">
        <f t="shared" si="4"/>
        <v>16-3</v>
      </c>
    </row>
    <row r="260" spans="1:6" x14ac:dyDescent="0.25">
      <c r="A260">
        <f>Old!AI40</f>
        <v>0</v>
      </c>
      <c r="B260" t="str">
        <f>Old!AS40</f>
        <v>PreSeason</v>
      </c>
      <c r="C260" t="str">
        <f>Old!BF40</f>
        <v>Pending</v>
      </c>
      <c r="D260">
        <v>16</v>
      </c>
      <c r="E260">
        <v>4</v>
      </c>
      <c r="F260" t="str">
        <f t="shared" si="4"/>
        <v>16-4</v>
      </c>
    </row>
    <row r="261" spans="1:6" x14ac:dyDescent="0.25">
      <c r="A261">
        <f>Old!AI41</f>
        <v>0</v>
      </c>
      <c r="B261" t="str">
        <f>Old!AS41</f>
        <v>PreSeason</v>
      </c>
      <c r="C261" t="str">
        <f>Old!BF41</f>
        <v>Pending</v>
      </c>
      <c r="D261">
        <v>16</v>
      </c>
      <c r="E261">
        <v>5</v>
      </c>
      <c r="F261" t="str">
        <f t="shared" si="4"/>
        <v>16-5</v>
      </c>
    </row>
    <row r="262" spans="1:6" x14ac:dyDescent="0.25">
      <c r="A262">
        <f>Old!AI60</f>
        <v>0</v>
      </c>
      <c r="B262" t="str">
        <f>Old!AS60</f>
        <v>PreSeason</v>
      </c>
      <c r="C262" t="str">
        <f>Old!BF60</f>
        <v>Pending</v>
      </c>
      <c r="D262">
        <v>16</v>
      </c>
      <c r="E262">
        <v>6</v>
      </c>
      <c r="F262" t="str">
        <f t="shared" si="4"/>
        <v>16-6</v>
      </c>
    </row>
    <row r="263" spans="1:6" x14ac:dyDescent="0.25">
      <c r="A263">
        <f>Old!AI63</f>
        <v>0</v>
      </c>
      <c r="B263" t="str">
        <f>Old!AS63</f>
        <v>PreSeason</v>
      </c>
      <c r="C263" t="str">
        <f>Old!BF63</f>
        <v>Pending</v>
      </c>
      <c r="D263">
        <v>16</v>
      </c>
      <c r="E263">
        <v>7</v>
      </c>
      <c r="F263" t="str">
        <f t="shared" si="4"/>
        <v>16-7</v>
      </c>
    </row>
    <row r="264" spans="1:6" x14ac:dyDescent="0.25">
      <c r="A264">
        <f>Old!AI25</f>
        <v>0</v>
      </c>
      <c r="B264" t="str">
        <f>Old!AS25</f>
        <v>PreSeason</v>
      </c>
      <c r="C264" t="str">
        <f>Old!BF25</f>
        <v>Pending</v>
      </c>
      <c r="D264">
        <v>16</v>
      </c>
      <c r="E264">
        <v>8</v>
      </c>
      <c r="F264" t="str">
        <f t="shared" si="4"/>
        <v>16-8</v>
      </c>
    </row>
    <row r="265" spans="1:6" x14ac:dyDescent="0.25">
      <c r="A265">
        <f>Old!AI29</f>
        <v>0</v>
      </c>
      <c r="B265" t="str">
        <f>Old!AS29</f>
        <v>PreSeason</v>
      </c>
      <c r="C265" t="str">
        <f>Old!BF29</f>
        <v>Pending</v>
      </c>
      <c r="D265">
        <v>16</v>
      </c>
      <c r="E265">
        <v>9</v>
      </c>
      <c r="F265" t="str">
        <f t="shared" si="4"/>
        <v>16-9</v>
      </c>
    </row>
    <row r="266" spans="1:6" x14ac:dyDescent="0.25">
      <c r="A266">
        <f>Old!AI33</f>
        <v>0</v>
      </c>
      <c r="B266" t="str">
        <f>Old!AS33</f>
        <v>PreSeason</v>
      </c>
      <c r="C266" t="str">
        <f>Old!BF33</f>
        <v>Pending</v>
      </c>
      <c r="D266">
        <v>16</v>
      </c>
      <c r="E266">
        <v>10</v>
      </c>
      <c r="F266" t="str">
        <f t="shared" si="4"/>
        <v>16-10</v>
      </c>
    </row>
    <row r="267" spans="1:6" x14ac:dyDescent="0.25">
      <c r="A267">
        <f>Old!AI42</f>
        <v>0</v>
      </c>
      <c r="B267" t="str">
        <f>Old!AS42</f>
        <v>PreSeason</v>
      </c>
      <c r="C267" t="str">
        <f>Old!BF42</f>
        <v>Pending</v>
      </c>
      <c r="D267">
        <v>16</v>
      </c>
      <c r="E267">
        <v>11</v>
      </c>
      <c r="F267" t="str">
        <f t="shared" si="4"/>
        <v>16-11</v>
      </c>
    </row>
    <row r="268" spans="1:6" x14ac:dyDescent="0.25">
      <c r="A268">
        <f>Old!AI43</f>
        <v>0</v>
      </c>
      <c r="B268" t="str">
        <f>Old!AS43</f>
        <v>PreSeason</v>
      </c>
      <c r="C268" t="str">
        <f>Old!BF43</f>
        <v>Pending</v>
      </c>
      <c r="D268">
        <v>16</v>
      </c>
      <c r="E268">
        <v>12</v>
      </c>
      <c r="F268" t="str">
        <f t="shared" si="4"/>
        <v>16-12</v>
      </c>
    </row>
    <row r="269" spans="1:6" x14ac:dyDescent="0.25">
      <c r="A269">
        <f>Old!AI44</f>
        <v>0</v>
      </c>
      <c r="B269" t="str">
        <f>Old!AS44</f>
        <v>PreSeason</v>
      </c>
      <c r="C269" t="str">
        <f>Old!BF44</f>
        <v>Pending</v>
      </c>
      <c r="D269">
        <v>16</v>
      </c>
      <c r="E269">
        <v>13</v>
      </c>
      <c r="F269" t="str">
        <f t="shared" ref="F269:F301" si="5">_xlfn.CONCAT(D269,"-",E269)</f>
        <v>16-13</v>
      </c>
    </row>
    <row r="270" spans="1:6" x14ac:dyDescent="0.25">
      <c r="A270">
        <f>Old!AI34</f>
        <v>0</v>
      </c>
      <c r="B270" t="str">
        <f>Old!AS34</f>
        <v>RegularSeason</v>
      </c>
      <c r="C270" t="str">
        <f>Old!BF34</f>
        <v>Pending</v>
      </c>
      <c r="D270">
        <v>16</v>
      </c>
      <c r="E270">
        <v>14</v>
      </c>
      <c r="F270" t="str">
        <f t="shared" si="5"/>
        <v>16-14</v>
      </c>
    </row>
    <row r="271" spans="1:6" x14ac:dyDescent="0.25">
      <c r="A271">
        <f>Old!AI37</f>
        <v>0</v>
      </c>
      <c r="B271" t="str">
        <f>Old!AS37</f>
        <v>PreSeason</v>
      </c>
      <c r="C271" t="str">
        <f>Old!BF37</f>
        <v>Pending</v>
      </c>
      <c r="D271">
        <v>16</v>
      </c>
      <c r="E271">
        <v>15</v>
      </c>
      <c r="F271" t="str">
        <f t="shared" si="5"/>
        <v>16-15</v>
      </c>
    </row>
    <row r="272" spans="1:6" x14ac:dyDescent="0.25">
      <c r="A272">
        <f>Old!AI16</f>
        <v>0</v>
      </c>
      <c r="B272" t="str">
        <f>Old!AS16</f>
        <v>PreSeason</v>
      </c>
      <c r="C272" t="str">
        <f>Old!BF16</f>
        <v>Pending</v>
      </c>
      <c r="D272">
        <v>17</v>
      </c>
      <c r="E272">
        <v>0</v>
      </c>
      <c r="F272" t="str">
        <f t="shared" si="5"/>
        <v>17-0</v>
      </c>
    </row>
    <row r="273" spans="1:6" hidden="1" x14ac:dyDescent="0.25">
      <c r="A273">
        <f>Old!AI273</f>
        <v>0</v>
      </c>
      <c r="B273" t="str">
        <f>Old!AS273</f>
        <v>RegularSeason</v>
      </c>
      <c r="C273" t="str">
        <f>Old!BF273</f>
        <v>Pending</v>
      </c>
      <c r="D273">
        <v>2</v>
      </c>
      <c r="E273">
        <v>5</v>
      </c>
      <c r="F273" t="str">
        <f t="shared" si="5"/>
        <v>2-5</v>
      </c>
    </row>
    <row r="274" spans="1:6" x14ac:dyDescent="0.25">
      <c r="A274">
        <f>Old!AI19</f>
        <v>0</v>
      </c>
      <c r="B274" t="str">
        <f>Old!AS19</f>
        <v>PreSeason</v>
      </c>
      <c r="C274" t="str">
        <f>Old!BF19</f>
        <v>Pending</v>
      </c>
      <c r="D274">
        <v>17</v>
      </c>
      <c r="E274">
        <v>1</v>
      </c>
      <c r="F274" t="str">
        <f t="shared" si="5"/>
        <v>17-1</v>
      </c>
    </row>
    <row r="275" spans="1:6" x14ac:dyDescent="0.25">
      <c r="A275">
        <f>Old!AI21</f>
        <v>0</v>
      </c>
      <c r="B275" t="str">
        <f>Old!AS21</f>
        <v>PreSeason</v>
      </c>
      <c r="C275" t="str">
        <f>Old!BF21</f>
        <v>Pending</v>
      </c>
      <c r="D275">
        <v>17</v>
      </c>
      <c r="E275">
        <v>2</v>
      </c>
      <c r="F275" t="str">
        <f t="shared" si="5"/>
        <v>17-2</v>
      </c>
    </row>
    <row r="276" spans="1:6" hidden="1" x14ac:dyDescent="0.25">
      <c r="A276">
        <f>Old!AI276</f>
        <v>0</v>
      </c>
      <c r="B276" t="str">
        <f>Old!AS276</f>
        <v>RegularSeason</v>
      </c>
      <c r="C276" t="str">
        <f>Old!BF276</f>
        <v>Pending</v>
      </c>
      <c r="D276">
        <v>2</v>
      </c>
      <c r="E276">
        <v>8</v>
      </c>
      <c r="F276" t="str">
        <f t="shared" si="5"/>
        <v>2-8</v>
      </c>
    </row>
    <row r="277" spans="1:6" x14ac:dyDescent="0.25">
      <c r="A277">
        <f>Old!AI22</f>
        <v>0</v>
      </c>
      <c r="B277" t="str">
        <f>Old!AS22</f>
        <v>PreSeason</v>
      </c>
      <c r="C277" t="str">
        <f>Old!BF22</f>
        <v>Pending</v>
      </c>
      <c r="D277">
        <v>17</v>
      </c>
      <c r="E277">
        <v>3</v>
      </c>
      <c r="F277" t="str">
        <f t="shared" si="5"/>
        <v>17-3</v>
      </c>
    </row>
    <row r="278" spans="1:6" hidden="1" x14ac:dyDescent="0.25">
      <c r="A278">
        <f>Old!AI278</f>
        <v>0</v>
      </c>
      <c r="B278" t="str">
        <f>Old!AS278</f>
        <v>RegularSeason</v>
      </c>
      <c r="C278" t="str">
        <f>Old!BF278</f>
        <v>Pending</v>
      </c>
      <c r="D278">
        <v>2</v>
      </c>
      <c r="E278">
        <v>13</v>
      </c>
      <c r="F278" t="str">
        <f t="shared" si="5"/>
        <v>2-13</v>
      </c>
    </row>
    <row r="279" spans="1:6" x14ac:dyDescent="0.25">
      <c r="A279">
        <f>Old!AI23</f>
        <v>0</v>
      </c>
      <c r="B279" t="str">
        <f>Old!AS23</f>
        <v>PreSeason</v>
      </c>
      <c r="C279" t="str">
        <f>Old!BF23</f>
        <v>Pending</v>
      </c>
      <c r="D279">
        <v>17</v>
      </c>
      <c r="E279">
        <v>4</v>
      </c>
      <c r="F279" t="str">
        <f t="shared" si="5"/>
        <v>17-4</v>
      </c>
    </row>
    <row r="280" spans="1:6" x14ac:dyDescent="0.25">
      <c r="A280">
        <f>Old!AI26</f>
        <v>0</v>
      </c>
      <c r="B280" t="str">
        <f>Old!AS26</f>
        <v>PreSeason</v>
      </c>
      <c r="C280" t="str">
        <f>Old!BF26</f>
        <v>Pending</v>
      </c>
      <c r="D280">
        <v>17</v>
      </c>
      <c r="E280">
        <v>5</v>
      </c>
      <c r="F280" t="str">
        <f t="shared" si="5"/>
        <v>17-5</v>
      </c>
    </row>
    <row r="281" spans="1:6" x14ac:dyDescent="0.25">
      <c r="A281">
        <f>Old!AI28</f>
        <v>0</v>
      </c>
      <c r="B281" t="str">
        <f>Old!AS28</f>
        <v>PreSeason</v>
      </c>
      <c r="C281" t="str">
        <f>Old!BF28</f>
        <v>Pending</v>
      </c>
      <c r="D281">
        <v>17</v>
      </c>
      <c r="E281">
        <v>6</v>
      </c>
      <c r="F281" t="str">
        <f t="shared" si="5"/>
        <v>17-6</v>
      </c>
    </row>
    <row r="282" spans="1:6" x14ac:dyDescent="0.25">
      <c r="A282">
        <f>Old!AI45</f>
        <v>0</v>
      </c>
      <c r="B282" t="str">
        <f>Old!AS45</f>
        <v>PreSeason</v>
      </c>
      <c r="C282" t="str">
        <f>Old!BF45</f>
        <v>Pending</v>
      </c>
      <c r="D282">
        <v>17</v>
      </c>
      <c r="E282">
        <v>7</v>
      </c>
      <c r="F282" t="str">
        <f t="shared" si="5"/>
        <v>17-7</v>
      </c>
    </row>
    <row r="283" spans="1:6" x14ac:dyDescent="0.25">
      <c r="A283">
        <f>Old!AI27</f>
        <v>0</v>
      </c>
      <c r="B283" t="str">
        <f>Old!AS27</f>
        <v>PreSeason</v>
      </c>
      <c r="C283" t="str">
        <f>Old!BF27</f>
        <v>Pending</v>
      </c>
      <c r="D283">
        <v>17</v>
      </c>
      <c r="E283">
        <v>8</v>
      </c>
      <c r="F283" t="str">
        <f t="shared" si="5"/>
        <v>17-8</v>
      </c>
    </row>
    <row r="284" spans="1:6" x14ac:dyDescent="0.25">
      <c r="A284">
        <f>Old!AI31</f>
        <v>0</v>
      </c>
      <c r="B284" t="str">
        <f>Old!AS31</f>
        <v>PreSeason</v>
      </c>
      <c r="C284" t="str">
        <f>Old!BF31</f>
        <v>Pending</v>
      </c>
      <c r="D284">
        <v>17</v>
      </c>
      <c r="E284">
        <v>9</v>
      </c>
      <c r="F284" t="str">
        <f t="shared" si="5"/>
        <v>17-9</v>
      </c>
    </row>
    <row r="285" spans="1:6" x14ac:dyDescent="0.25">
      <c r="A285">
        <f>Old!AI46</f>
        <v>0</v>
      </c>
      <c r="B285" t="str">
        <f>Old!AS46</f>
        <v>PreSeason</v>
      </c>
      <c r="C285" t="str">
        <f>Old!BF46</f>
        <v>Pending</v>
      </c>
      <c r="D285">
        <v>17</v>
      </c>
      <c r="E285">
        <v>10</v>
      </c>
      <c r="F285" t="str">
        <f t="shared" si="5"/>
        <v>17-10</v>
      </c>
    </row>
    <row r="286" spans="1:6" x14ac:dyDescent="0.25">
      <c r="A286">
        <f>Old!AI13</f>
        <v>0</v>
      </c>
      <c r="B286" t="str">
        <f>Old!AS13</f>
        <v>PreSeason</v>
      </c>
      <c r="C286" t="str">
        <f>Old!BF13</f>
        <v>Pending</v>
      </c>
      <c r="D286">
        <v>17</v>
      </c>
      <c r="E286">
        <v>11</v>
      </c>
      <c r="F286" t="str">
        <f t="shared" si="5"/>
        <v>17-11</v>
      </c>
    </row>
    <row r="287" spans="1:6" x14ac:dyDescent="0.25">
      <c r="A287">
        <f>Old!AI18</f>
        <v>0</v>
      </c>
      <c r="B287" t="str">
        <f>Old!AS18</f>
        <v>PreSeason</v>
      </c>
      <c r="C287" t="str">
        <f>Old!BF18</f>
        <v>Pending</v>
      </c>
      <c r="D287">
        <v>17</v>
      </c>
      <c r="E287">
        <v>12</v>
      </c>
      <c r="F287" t="str">
        <f t="shared" si="5"/>
        <v>17-12</v>
      </c>
    </row>
    <row r="288" spans="1:6" hidden="1" x14ac:dyDescent="0.25">
      <c r="A288">
        <f>Old!AI288</f>
        <v>0</v>
      </c>
      <c r="B288" t="str">
        <f>Old!AS288</f>
        <v>RegularSeason</v>
      </c>
      <c r="C288" t="str">
        <f>Old!BF288</f>
        <v>Pending</v>
      </c>
      <c r="D288">
        <v>1</v>
      </c>
      <c r="E288">
        <v>12</v>
      </c>
      <c r="F288" t="str">
        <f t="shared" si="5"/>
        <v>1-12</v>
      </c>
    </row>
    <row r="289" spans="1:6" hidden="1" x14ac:dyDescent="0.25">
      <c r="A289">
        <f>Old!AI289</f>
        <v>0</v>
      </c>
      <c r="B289" t="str">
        <f>Old!AS289</f>
        <v>RegularSeason</v>
      </c>
      <c r="C289" t="str">
        <f>Old!BF289</f>
        <v>Pending</v>
      </c>
      <c r="D289">
        <v>2</v>
      </c>
      <c r="E289">
        <v>11</v>
      </c>
      <c r="F289" t="str">
        <f t="shared" si="5"/>
        <v>2-11</v>
      </c>
    </row>
    <row r="290" spans="1:6" hidden="1" x14ac:dyDescent="0.25">
      <c r="A290">
        <f>Old!AI290</f>
        <v>0</v>
      </c>
      <c r="B290" t="str">
        <f>Old!AS290</f>
        <v>RegularSeason</v>
      </c>
      <c r="C290" t="str">
        <f>Old!BF290</f>
        <v>Pending</v>
      </c>
      <c r="D290">
        <v>2</v>
      </c>
      <c r="E290">
        <v>9</v>
      </c>
      <c r="F290" t="str">
        <f t="shared" si="5"/>
        <v>2-9</v>
      </c>
    </row>
    <row r="291" spans="1:6" x14ac:dyDescent="0.25">
      <c r="A291">
        <f>Old!AI20</f>
        <v>0</v>
      </c>
      <c r="B291" t="str">
        <f>Old!AS20</f>
        <v>PreSeason</v>
      </c>
      <c r="C291" t="str">
        <f>Old!BF20</f>
        <v>Pending</v>
      </c>
      <c r="D291">
        <v>17</v>
      </c>
      <c r="E291">
        <v>13</v>
      </c>
      <c r="F291" t="str">
        <f t="shared" si="5"/>
        <v>17-13</v>
      </c>
    </row>
    <row r="292" spans="1:6" hidden="1" x14ac:dyDescent="0.25">
      <c r="A292">
        <f>Old!AI292</f>
        <v>0</v>
      </c>
      <c r="B292" t="str">
        <f>Old!AS292</f>
        <v>RegularSeason</v>
      </c>
      <c r="C292" t="str">
        <f>Old!BF292</f>
        <v>Pending</v>
      </c>
      <c r="D292">
        <v>1</v>
      </c>
      <c r="E292">
        <v>1</v>
      </c>
      <c r="F292" t="str">
        <f t="shared" si="5"/>
        <v>1-1</v>
      </c>
    </row>
    <row r="293" spans="1:6" hidden="1" x14ac:dyDescent="0.25">
      <c r="A293">
        <f>Old!AI293</f>
        <v>0</v>
      </c>
      <c r="B293" t="str">
        <f>Old!AS293</f>
        <v>RegularSeason</v>
      </c>
      <c r="C293" t="str">
        <f>Old!BF293</f>
        <v>Pending</v>
      </c>
      <c r="D293">
        <v>2</v>
      </c>
      <c r="E293">
        <v>2</v>
      </c>
      <c r="F293" t="str">
        <f t="shared" si="5"/>
        <v>2-2</v>
      </c>
    </row>
    <row r="294" spans="1:6" hidden="1" x14ac:dyDescent="0.25">
      <c r="A294">
        <f>Old!AI294</f>
        <v>0</v>
      </c>
      <c r="B294" t="str">
        <f>Old!AS294</f>
        <v>RegularSeason</v>
      </c>
      <c r="C294" t="str">
        <f>Old!BF294</f>
        <v>Pending</v>
      </c>
      <c r="D294">
        <v>2</v>
      </c>
      <c r="E294">
        <v>10</v>
      </c>
      <c r="F294" t="str">
        <f t="shared" si="5"/>
        <v>2-10</v>
      </c>
    </row>
    <row r="295" spans="1:6" hidden="1" x14ac:dyDescent="0.25">
      <c r="A295">
        <f>Old!AI295</f>
        <v>0</v>
      </c>
      <c r="B295" t="str">
        <f>Old!AS295</f>
        <v>RegularSeason</v>
      </c>
      <c r="C295" t="str">
        <f>Old!BF295</f>
        <v>Pending</v>
      </c>
      <c r="D295">
        <v>2</v>
      </c>
      <c r="E295">
        <v>6</v>
      </c>
      <c r="F295" t="str">
        <f t="shared" si="5"/>
        <v>2-6</v>
      </c>
    </row>
    <row r="296" spans="1:6" hidden="1" x14ac:dyDescent="0.25">
      <c r="A296">
        <f>Old!AI296</f>
        <v>0</v>
      </c>
      <c r="B296" t="str">
        <f>Old!AS296</f>
        <v>RegularSeason</v>
      </c>
      <c r="C296" t="str">
        <f>Old!BF296</f>
        <v>Pending</v>
      </c>
      <c r="D296">
        <v>1</v>
      </c>
      <c r="E296">
        <v>11</v>
      </c>
      <c r="F296" t="str">
        <f t="shared" si="5"/>
        <v>1-11</v>
      </c>
    </row>
    <row r="297" spans="1:6" hidden="1" x14ac:dyDescent="0.25">
      <c r="A297">
        <f>Old!AI297</f>
        <v>0</v>
      </c>
      <c r="B297" t="str">
        <f>Old!AS297</f>
        <v>RegularSeason</v>
      </c>
      <c r="C297" t="str">
        <f>Old!BF297</f>
        <v>Pending</v>
      </c>
      <c r="D297">
        <v>2</v>
      </c>
      <c r="E297">
        <v>3</v>
      </c>
      <c r="F297" t="str">
        <f t="shared" si="5"/>
        <v>2-3</v>
      </c>
    </row>
    <row r="298" spans="1:6" x14ac:dyDescent="0.25">
      <c r="A298">
        <f>Old!AI24</f>
        <v>0</v>
      </c>
      <c r="B298" t="str">
        <f>Old!AS24</f>
        <v>PreSeason</v>
      </c>
      <c r="C298" t="str">
        <f>Old!BF24</f>
        <v>Pending</v>
      </c>
      <c r="D298">
        <v>17</v>
      </c>
      <c r="E298">
        <v>14</v>
      </c>
      <c r="F298" t="str">
        <f t="shared" si="5"/>
        <v>17-14</v>
      </c>
    </row>
    <row r="299" spans="1:6" hidden="1" x14ac:dyDescent="0.25">
      <c r="A299">
        <f>Old!AI299</f>
        <v>0</v>
      </c>
      <c r="B299" t="str">
        <f>Old!AS299</f>
        <v>RegularSeason</v>
      </c>
      <c r="C299" t="str">
        <f>Old!BF299</f>
        <v>Pending</v>
      </c>
      <c r="D299">
        <v>2</v>
      </c>
      <c r="E299">
        <v>14</v>
      </c>
      <c r="F299" t="str">
        <f t="shared" si="5"/>
        <v>2-14</v>
      </c>
    </row>
    <row r="300" spans="1:6" hidden="1" x14ac:dyDescent="0.25">
      <c r="A300">
        <f>Old!AI300</f>
        <v>0</v>
      </c>
      <c r="B300" t="str">
        <f>Old!AS300</f>
        <v>RegularSeason</v>
      </c>
      <c r="C300" t="str">
        <f>Old!BF300</f>
        <v>Pending</v>
      </c>
      <c r="D300">
        <v>2</v>
      </c>
      <c r="E300">
        <v>4</v>
      </c>
      <c r="F300" t="str">
        <f t="shared" si="5"/>
        <v>2-4</v>
      </c>
    </row>
    <row r="301" spans="1:6" x14ac:dyDescent="0.25">
      <c r="A301">
        <f>Old!AI17</f>
        <v>0</v>
      </c>
      <c r="B301" t="str">
        <f>Old!AS17</f>
        <v>PreSeason</v>
      </c>
      <c r="C301" t="str">
        <f>Old!BF17</f>
        <v>Pending</v>
      </c>
      <c r="D301">
        <v>17</v>
      </c>
      <c r="E301">
        <v>15</v>
      </c>
      <c r="F301" t="str">
        <f t="shared" si="5"/>
        <v>17-15</v>
      </c>
    </row>
    <row r="302" spans="1:6" hidden="1" x14ac:dyDescent="0.25">
      <c r="A302">
        <f>Old!AI302</f>
        <v>0</v>
      </c>
      <c r="B302" t="str">
        <f>Old!AS302</f>
        <v>RegularSeason</v>
      </c>
      <c r="C302" t="str">
        <f>Old!BF302</f>
        <v>Pending</v>
      </c>
      <c r="D302">
        <v>2</v>
      </c>
      <c r="E302">
        <v>12</v>
      </c>
      <c r="F302" t="str">
        <f t="shared" ref="F302:F322" si="6">_xlfn.CONCAT(D302,"-",E302)</f>
        <v>2-12</v>
      </c>
    </row>
    <row r="303" spans="1:6" hidden="1" x14ac:dyDescent="0.25">
      <c r="A303">
        <f>Old!AI303</f>
        <v>0</v>
      </c>
      <c r="B303" t="str">
        <f>Old!AS303</f>
        <v>RegularSeason</v>
      </c>
      <c r="C303" t="str">
        <f>Old!BF303</f>
        <v>Pending</v>
      </c>
      <c r="D303">
        <v>2</v>
      </c>
      <c r="E303">
        <v>0</v>
      </c>
      <c r="F303" t="str">
        <f t="shared" si="6"/>
        <v>2-0</v>
      </c>
    </row>
    <row r="304" spans="1:6" hidden="1" x14ac:dyDescent="0.25">
      <c r="A304">
        <f>Old!AI304</f>
        <v>0</v>
      </c>
      <c r="B304" t="str">
        <f>Old!AS304</f>
        <v>RegularSeason</v>
      </c>
      <c r="C304" t="str">
        <f>Old!BF304</f>
        <v>Pending</v>
      </c>
      <c r="D304">
        <v>1</v>
      </c>
      <c r="E304">
        <v>7</v>
      </c>
      <c r="F304" t="str">
        <f t="shared" si="6"/>
        <v>1-7</v>
      </c>
    </row>
    <row r="305" spans="1:6" hidden="1" x14ac:dyDescent="0.25">
      <c r="A305">
        <f>Old!AI305</f>
        <v>0</v>
      </c>
      <c r="B305" t="str">
        <f>Old!AS305</f>
        <v>RegularSeason</v>
      </c>
      <c r="C305" t="str">
        <f>Old!BF305</f>
        <v>Pending</v>
      </c>
      <c r="D305">
        <v>1</v>
      </c>
      <c r="E305">
        <v>8</v>
      </c>
      <c r="F305" t="str">
        <f t="shared" si="6"/>
        <v>1-8</v>
      </c>
    </row>
    <row r="306" spans="1:6" hidden="1" x14ac:dyDescent="0.25">
      <c r="A306">
        <f>Old!AI306</f>
        <v>0</v>
      </c>
      <c r="B306" t="str">
        <f>Old!AS306</f>
        <v>RegularSeason</v>
      </c>
      <c r="C306" t="str">
        <f>Old!BF306</f>
        <v>Pending</v>
      </c>
      <c r="D306">
        <v>0</v>
      </c>
      <c r="E306">
        <v>12</v>
      </c>
      <c r="F306" t="str">
        <f t="shared" si="6"/>
        <v>0-12</v>
      </c>
    </row>
    <row r="307" spans="1:6" hidden="1" x14ac:dyDescent="0.25">
      <c r="A307">
        <f>Old!AI307</f>
        <v>0</v>
      </c>
      <c r="B307" t="str">
        <f>Old!AS307</f>
        <v>RegularSeason</v>
      </c>
      <c r="C307" t="str">
        <f>Old!BF307</f>
        <v>Pending</v>
      </c>
      <c r="D307">
        <v>1</v>
      </c>
      <c r="E307">
        <v>13</v>
      </c>
      <c r="F307" t="str">
        <f t="shared" si="6"/>
        <v>1-13</v>
      </c>
    </row>
    <row r="308" spans="1:6" hidden="1" x14ac:dyDescent="0.25">
      <c r="A308">
        <f>Old!AI308</f>
        <v>0</v>
      </c>
      <c r="B308" t="str">
        <f>Old!AS308</f>
        <v>RegularSeason</v>
      </c>
      <c r="C308" t="str">
        <f>Old!BF308</f>
        <v>Pending</v>
      </c>
      <c r="D308">
        <v>1</v>
      </c>
      <c r="E308">
        <v>0</v>
      </c>
      <c r="F308" t="str">
        <f t="shared" si="6"/>
        <v>1-0</v>
      </c>
    </row>
    <row r="309" spans="1:6" hidden="1" x14ac:dyDescent="0.25">
      <c r="A309">
        <f>Old!AI309</f>
        <v>0</v>
      </c>
      <c r="B309" t="str">
        <f>Old!AS309</f>
        <v>RegularSeason</v>
      </c>
      <c r="C309" t="str">
        <f>Old!BF309</f>
        <v>Pending</v>
      </c>
      <c r="D309">
        <v>1</v>
      </c>
      <c r="E309">
        <v>15</v>
      </c>
      <c r="F309" t="str">
        <f t="shared" si="6"/>
        <v>1-15</v>
      </c>
    </row>
    <row r="310" spans="1:6" hidden="1" x14ac:dyDescent="0.25">
      <c r="A310">
        <f>Old!AI310</f>
        <v>0</v>
      </c>
      <c r="B310" t="str">
        <f>Old!AS310</f>
        <v>RegularSeason</v>
      </c>
      <c r="C310" t="str">
        <f>Old!BF310</f>
        <v>Pending</v>
      </c>
      <c r="D310">
        <v>1</v>
      </c>
      <c r="E310">
        <v>6</v>
      </c>
      <c r="F310" t="str">
        <f t="shared" si="6"/>
        <v>1-6</v>
      </c>
    </row>
    <row r="311" spans="1:6" hidden="1" x14ac:dyDescent="0.25">
      <c r="A311">
        <f>Old!AI311</f>
        <v>0</v>
      </c>
      <c r="B311" t="str">
        <f>Old!AS311</f>
        <v>RegularSeason</v>
      </c>
      <c r="C311" t="str">
        <f>Old!BF311</f>
        <v>Pending</v>
      </c>
      <c r="D311">
        <v>1</v>
      </c>
      <c r="E311">
        <v>9</v>
      </c>
      <c r="F311" t="str">
        <f t="shared" si="6"/>
        <v>1-9</v>
      </c>
    </row>
    <row r="312" spans="1:6" hidden="1" x14ac:dyDescent="0.25">
      <c r="A312">
        <f>Old!AI312</f>
        <v>0</v>
      </c>
      <c r="B312" t="str">
        <f>Old!AS312</f>
        <v>RegularSeason</v>
      </c>
      <c r="C312" t="str">
        <f>Old!BF312</f>
        <v>Pending</v>
      </c>
      <c r="D312">
        <v>1</v>
      </c>
      <c r="E312">
        <v>5</v>
      </c>
      <c r="F312" t="str">
        <f t="shared" si="6"/>
        <v>1-5</v>
      </c>
    </row>
    <row r="313" spans="1:6" hidden="1" x14ac:dyDescent="0.25">
      <c r="A313">
        <f>Old!AI313</f>
        <v>0</v>
      </c>
      <c r="B313" t="str">
        <f>Old!AS313</f>
        <v>SuperBowl</v>
      </c>
      <c r="C313" t="str">
        <f>Old!BF313</f>
        <v>Pending</v>
      </c>
      <c r="D313">
        <v>1</v>
      </c>
      <c r="E313">
        <v>3</v>
      </c>
      <c r="F313" t="str">
        <f t="shared" si="6"/>
        <v>1-3</v>
      </c>
    </row>
    <row r="314" spans="1:6" hidden="1" x14ac:dyDescent="0.25">
      <c r="A314">
        <f>Old!AI314</f>
        <v>0</v>
      </c>
      <c r="B314" t="str">
        <f>Old!AS314</f>
        <v>RegularSeason</v>
      </c>
      <c r="C314" t="str">
        <f>Old!BF314</f>
        <v>Pending</v>
      </c>
      <c r="D314">
        <v>2</v>
      </c>
      <c r="E314">
        <v>15</v>
      </c>
      <c r="F314" t="str">
        <f t="shared" si="6"/>
        <v>2-15</v>
      </c>
    </row>
    <row r="315" spans="1:6" hidden="1" x14ac:dyDescent="0.25">
      <c r="A315">
        <f>Old!AI315</f>
        <v>0</v>
      </c>
      <c r="B315" t="str">
        <f>Old!AS315</f>
        <v>RegularSeason</v>
      </c>
      <c r="C315" t="str">
        <f>Old!BF315</f>
        <v>Pending</v>
      </c>
      <c r="D315">
        <v>1</v>
      </c>
      <c r="E315">
        <v>4</v>
      </c>
      <c r="F315" t="str">
        <f t="shared" si="6"/>
        <v>1-4</v>
      </c>
    </row>
    <row r="316" spans="1:6" hidden="1" x14ac:dyDescent="0.25">
      <c r="A316">
        <f>Old!AI316</f>
        <v>0</v>
      </c>
      <c r="B316" t="str">
        <f>Old!AS316</f>
        <v>RegularSeason</v>
      </c>
      <c r="C316" t="str">
        <f>Old!BF316</f>
        <v>Pending</v>
      </c>
      <c r="D316">
        <v>1</v>
      </c>
      <c r="E316">
        <v>2</v>
      </c>
      <c r="F316" t="str">
        <f t="shared" si="6"/>
        <v>1-2</v>
      </c>
    </row>
    <row r="317" spans="1:6" hidden="1" x14ac:dyDescent="0.25">
      <c r="A317">
        <f>Old!AI317</f>
        <v>0</v>
      </c>
      <c r="B317" t="str">
        <f>Old!AS317</f>
        <v>RegularSeason</v>
      </c>
      <c r="C317" t="str">
        <f>Old!BF317</f>
        <v>Pending</v>
      </c>
      <c r="D317">
        <v>2</v>
      </c>
      <c r="E317">
        <v>7</v>
      </c>
      <c r="F317" t="str">
        <f t="shared" si="6"/>
        <v>2-7</v>
      </c>
    </row>
    <row r="318" spans="1:6" hidden="1" x14ac:dyDescent="0.25">
      <c r="A318">
        <f>Old!AI318</f>
        <v>0</v>
      </c>
      <c r="B318" t="str">
        <f>Old!AS318</f>
        <v>RegularSeason</v>
      </c>
      <c r="C318" t="str">
        <f>Old!BF318</f>
        <v>Pending</v>
      </c>
      <c r="D318">
        <v>2</v>
      </c>
      <c r="E318">
        <v>1</v>
      </c>
      <c r="F318" t="str">
        <f t="shared" si="6"/>
        <v>2-1</v>
      </c>
    </row>
    <row r="319" spans="1:6" hidden="1" x14ac:dyDescent="0.25">
      <c r="A319">
        <f>Old!AI319</f>
        <v>0</v>
      </c>
      <c r="B319" t="str">
        <f>Old!AS319</f>
        <v>RegularSeason</v>
      </c>
      <c r="C319" t="str">
        <f>Old!BF319</f>
        <v>Pending</v>
      </c>
      <c r="D319">
        <v>1</v>
      </c>
      <c r="E319">
        <v>14</v>
      </c>
      <c r="F319" t="str">
        <f t="shared" si="6"/>
        <v>1-14</v>
      </c>
    </row>
    <row r="320" spans="1:6" hidden="1" x14ac:dyDescent="0.25">
      <c r="A320">
        <f>Old!AI320</f>
        <v>0</v>
      </c>
      <c r="B320" t="str">
        <f>Old!AS320</f>
        <v>RegularSeason</v>
      </c>
      <c r="C320" t="str">
        <f>Old!BF320</f>
        <v>Pending</v>
      </c>
      <c r="D320">
        <v>0</v>
      </c>
      <c r="E320">
        <v>14</v>
      </c>
      <c r="F320" t="str">
        <f t="shared" si="6"/>
        <v>0-14</v>
      </c>
    </row>
    <row r="321" spans="1:6" hidden="1" x14ac:dyDescent="0.25">
      <c r="A321">
        <f>Old!AI321</f>
        <v>0</v>
      </c>
      <c r="B321" t="str">
        <f>Old!AS321</f>
        <v>ConferencePlayoff</v>
      </c>
      <c r="C321" t="str">
        <f>Old!BF321</f>
        <v>Pending</v>
      </c>
      <c r="D321">
        <v>0</v>
      </c>
      <c r="E321">
        <v>6</v>
      </c>
      <c r="F321" t="str">
        <f t="shared" si="6"/>
        <v>0-6</v>
      </c>
    </row>
    <row r="322" spans="1:6" hidden="1" x14ac:dyDescent="0.25">
      <c r="A322">
        <f>Old!AI322</f>
        <v>0</v>
      </c>
      <c r="B322" t="str">
        <f>Old!AS322</f>
        <v>ConferencePlayoff</v>
      </c>
      <c r="C322" t="str">
        <f>Old!BF322</f>
        <v>Pending</v>
      </c>
      <c r="D322">
        <v>0</v>
      </c>
      <c r="E322">
        <v>7</v>
      </c>
      <c r="F322" t="str">
        <f t="shared" si="6"/>
        <v>0-7</v>
      </c>
    </row>
    <row r="323" spans="1:6" hidden="1" x14ac:dyDescent="0.25">
      <c r="A323">
        <f>Old!AI323</f>
        <v>0</v>
      </c>
      <c r="B323" t="str">
        <f>Old!AS323</f>
        <v>DivisionalPlayoff</v>
      </c>
      <c r="C323" t="str">
        <f>Old!BF323</f>
        <v>Pending</v>
      </c>
      <c r="D323">
        <v>0</v>
      </c>
      <c r="E323">
        <v>4</v>
      </c>
      <c r="F323" t="str">
        <f t="shared" ref="F323:F386" si="7">_xlfn.CONCAT(D323,"-",E323)</f>
        <v>0-4</v>
      </c>
    </row>
    <row r="324" spans="1:6" hidden="1" x14ac:dyDescent="0.25">
      <c r="A324">
        <f>Old!AI324</f>
        <v>0</v>
      </c>
      <c r="B324" t="str">
        <f>Old!AS324</f>
        <v>WildcardPlayoff</v>
      </c>
      <c r="C324" t="str">
        <f>Old!BF324</f>
        <v>Pending</v>
      </c>
      <c r="D324">
        <v>0</v>
      </c>
      <c r="E324">
        <v>8</v>
      </c>
      <c r="F324" t="str">
        <f t="shared" si="7"/>
        <v>0-8</v>
      </c>
    </row>
    <row r="325" spans="1:6" hidden="1" x14ac:dyDescent="0.25">
      <c r="A325">
        <f>Old!AI325</f>
        <v>0</v>
      </c>
      <c r="B325" t="str">
        <f>Old!AS325</f>
        <v>RegularSeason</v>
      </c>
      <c r="C325" t="str">
        <f>Old!BF325</f>
        <v>Pending</v>
      </c>
      <c r="D325">
        <v>0</v>
      </c>
      <c r="E325">
        <v>9</v>
      </c>
      <c r="F325" t="str">
        <f t="shared" si="7"/>
        <v>0-9</v>
      </c>
    </row>
    <row r="326" spans="1:6" hidden="1" x14ac:dyDescent="0.25">
      <c r="A326">
        <f>Old!AI326</f>
        <v>0</v>
      </c>
      <c r="B326" t="str">
        <f>Old!AS326</f>
        <v>WildcardPlayoff</v>
      </c>
      <c r="C326" t="str">
        <f>Old!BF326</f>
        <v>Pending</v>
      </c>
      <c r="D326">
        <v>0</v>
      </c>
      <c r="E326">
        <v>15</v>
      </c>
      <c r="F326" t="str">
        <f t="shared" si="7"/>
        <v>0-15</v>
      </c>
    </row>
    <row r="327" spans="1:6" hidden="1" x14ac:dyDescent="0.25">
      <c r="A327">
        <f>Old!AI327</f>
        <v>0</v>
      </c>
      <c r="B327" t="str">
        <f>Old!AS327</f>
        <v>DivisionalPlayoff</v>
      </c>
      <c r="C327" t="str">
        <f>Old!BF327</f>
        <v>Pending</v>
      </c>
      <c r="D327">
        <v>0</v>
      </c>
      <c r="E327">
        <v>1</v>
      </c>
      <c r="F327" t="str">
        <f t="shared" si="7"/>
        <v>0-1</v>
      </c>
    </row>
    <row r="328" spans="1:6" hidden="1" x14ac:dyDescent="0.25">
      <c r="A328">
        <f>Old!AI328</f>
        <v>0</v>
      </c>
      <c r="B328" t="str">
        <f>Old!AS328</f>
        <v>WildcardPlayoff</v>
      </c>
      <c r="C328" t="str">
        <f>Old!BF328</f>
        <v>Pending</v>
      </c>
      <c r="D328">
        <v>0</v>
      </c>
      <c r="E328">
        <v>5</v>
      </c>
      <c r="F328" t="str">
        <f t="shared" si="7"/>
        <v>0-5</v>
      </c>
    </row>
    <row r="329" spans="1:6" hidden="1" x14ac:dyDescent="0.25">
      <c r="A329">
        <f>Old!AI329</f>
        <v>0</v>
      </c>
      <c r="B329" t="str">
        <f>Old!AS329</f>
        <v>WildcardPlayoff</v>
      </c>
      <c r="C329" t="str">
        <f>Old!BF329</f>
        <v>Pending</v>
      </c>
      <c r="D329">
        <v>0</v>
      </c>
      <c r="E329">
        <v>13</v>
      </c>
      <c r="F329" t="str">
        <f t="shared" si="7"/>
        <v>0-13</v>
      </c>
    </row>
    <row r="330" spans="1:6" hidden="1" x14ac:dyDescent="0.25">
      <c r="A330">
        <f>Old!AI330</f>
        <v>0</v>
      </c>
      <c r="B330" t="str">
        <f>Old!AS330</f>
        <v>WildcardPlayoff</v>
      </c>
      <c r="C330" t="str">
        <f>Old!BF330</f>
        <v>Pending</v>
      </c>
      <c r="D330">
        <v>0</v>
      </c>
      <c r="E330">
        <v>2</v>
      </c>
      <c r="F330" t="str">
        <f t="shared" si="7"/>
        <v>0-2</v>
      </c>
    </row>
    <row r="331" spans="1:6" hidden="1" x14ac:dyDescent="0.25">
      <c r="A331">
        <f>Old!AI331</f>
        <v>0</v>
      </c>
      <c r="B331" t="str">
        <f>Old!AS331</f>
        <v>DivisionalPlayoff</v>
      </c>
      <c r="C331" t="str">
        <f>Old!BF331</f>
        <v>Pending</v>
      </c>
      <c r="D331">
        <v>0</v>
      </c>
      <c r="E331">
        <v>10</v>
      </c>
      <c r="F331" t="str">
        <f t="shared" si="7"/>
        <v>0-10</v>
      </c>
    </row>
    <row r="332" spans="1:6" hidden="1" x14ac:dyDescent="0.25">
      <c r="A332">
        <f>Old!AI332</f>
        <v>0</v>
      </c>
      <c r="B332" t="str">
        <f>Old!AS332</f>
        <v>RegularSeason</v>
      </c>
      <c r="C332" t="str">
        <f>Old!BF332</f>
        <v>Pending</v>
      </c>
      <c r="D332">
        <v>1</v>
      </c>
      <c r="E332">
        <v>10</v>
      </c>
      <c r="F332" t="str">
        <f t="shared" si="7"/>
        <v>1-10</v>
      </c>
    </row>
    <row r="333" spans="1:6" hidden="1" x14ac:dyDescent="0.25">
      <c r="A333">
        <f>Old!AI333</f>
        <v>0</v>
      </c>
      <c r="B333" t="str">
        <f>Old!AS333</f>
        <v>RegularSeason</v>
      </c>
      <c r="C333" t="str">
        <f>Old!BF333</f>
        <v>Pending</v>
      </c>
      <c r="D333">
        <v>0</v>
      </c>
      <c r="E333">
        <v>3</v>
      </c>
      <c r="F333" t="str">
        <f t="shared" si="7"/>
        <v>0-3</v>
      </c>
    </row>
    <row r="334" spans="1:6" hidden="1" x14ac:dyDescent="0.25">
      <c r="A334">
        <f>Old!AI334</f>
        <v>0</v>
      </c>
      <c r="B334" t="str">
        <f>Old!AS334</f>
        <v>WildcardPlayoff</v>
      </c>
      <c r="C334" t="str">
        <f>Old!BF334</f>
        <v>Pending</v>
      </c>
      <c r="D334">
        <v>0</v>
      </c>
      <c r="E334">
        <v>11</v>
      </c>
      <c r="F334" t="str">
        <f t="shared" si="7"/>
        <v>0-11</v>
      </c>
    </row>
    <row r="335" spans="1:6" hidden="1" x14ac:dyDescent="0.25">
      <c r="A335">
        <f>Old!AI335</f>
        <v>0</v>
      </c>
      <c r="B335" t="str">
        <f>Old!AS335</f>
        <v>DivisionalPlayoff</v>
      </c>
      <c r="C335" t="str">
        <f>Old!BF335</f>
        <v>Pending</v>
      </c>
      <c r="D335">
        <v>0</v>
      </c>
      <c r="E335">
        <v>0</v>
      </c>
      <c r="F335" t="str">
        <f t="shared" si="7"/>
        <v>0-0</v>
      </c>
    </row>
    <row r="336" spans="1:6" hidden="1" x14ac:dyDescent="0.25">
      <c r="A336">
        <f>Old!AI336</f>
        <v>0</v>
      </c>
      <c r="B336" t="str">
        <f>Old!AS336</f>
        <v>PreSeason</v>
      </c>
      <c r="C336" t="str">
        <f>Old!BF336</f>
        <v>Pending</v>
      </c>
      <c r="D336">
        <v>0</v>
      </c>
      <c r="E336">
        <v>0</v>
      </c>
      <c r="F336" t="str">
        <f t="shared" si="7"/>
        <v>0-0</v>
      </c>
    </row>
    <row r="337" spans="1:6" hidden="1" x14ac:dyDescent="0.25">
      <c r="A337">
        <f>Old!AI337</f>
        <v>0</v>
      </c>
      <c r="B337" t="str">
        <f>Old!AS337</f>
        <v>PreSeason</v>
      </c>
      <c r="C337" t="str">
        <f>Old!BF337</f>
        <v>Pending</v>
      </c>
      <c r="D337">
        <v>0</v>
      </c>
      <c r="E337">
        <v>0</v>
      </c>
      <c r="F337" t="str">
        <f t="shared" si="7"/>
        <v>0-0</v>
      </c>
    </row>
    <row r="338" spans="1:6" hidden="1" x14ac:dyDescent="0.25">
      <c r="A338">
        <f>Old!AI338</f>
        <v>0</v>
      </c>
      <c r="B338" t="str">
        <f>Old!AS338</f>
        <v>PreSeason</v>
      </c>
      <c r="C338" t="str">
        <f>Old!BF338</f>
        <v>Pending</v>
      </c>
      <c r="D338">
        <v>0</v>
      </c>
      <c r="E338">
        <v>0</v>
      </c>
      <c r="F338" t="str">
        <f t="shared" si="7"/>
        <v>0-0</v>
      </c>
    </row>
    <row r="339" spans="1:6" hidden="1" x14ac:dyDescent="0.25">
      <c r="A339">
        <f>Old!AI339</f>
        <v>0</v>
      </c>
      <c r="B339" t="str">
        <f>Old!AS339</f>
        <v>PreSeason</v>
      </c>
      <c r="C339" t="str">
        <f>Old!BF339</f>
        <v>Pending</v>
      </c>
      <c r="D339">
        <v>0</v>
      </c>
      <c r="E339">
        <v>0</v>
      </c>
      <c r="F339" t="str">
        <f t="shared" si="7"/>
        <v>0-0</v>
      </c>
    </row>
    <row r="340" spans="1:6" hidden="1" x14ac:dyDescent="0.25">
      <c r="A340">
        <f>Old!AI340</f>
        <v>0</v>
      </c>
      <c r="B340" t="str">
        <f>Old!AS340</f>
        <v>PreSeason</v>
      </c>
      <c r="C340" t="str">
        <f>Old!BF340</f>
        <v>Pending</v>
      </c>
      <c r="D340">
        <v>0</v>
      </c>
      <c r="E340">
        <v>0</v>
      </c>
      <c r="F340" t="str">
        <f t="shared" si="7"/>
        <v>0-0</v>
      </c>
    </row>
    <row r="341" spans="1:6" hidden="1" x14ac:dyDescent="0.25">
      <c r="A341">
        <f>Old!AI341</f>
        <v>0</v>
      </c>
      <c r="B341" t="str">
        <f>Old!AS341</f>
        <v>PreSeason</v>
      </c>
      <c r="C341" t="str">
        <f>Old!BF341</f>
        <v>Pending</v>
      </c>
      <c r="D341">
        <v>0</v>
      </c>
      <c r="E341">
        <v>0</v>
      </c>
      <c r="F341" t="str">
        <f t="shared" si="7"/>
        <v>0-0</v>
      </c>
    </row>
    <row r="342" spans="1:6" hidden="1" x14ac:dyDescent="0.25">
      <c r="A342">
        <f>Old!AI342</f>
        <v>0</v>
      </c>
      <c r="B342" t="str">
        <f>Old!AS342</f>
        <v>PreSeason</v>
      </c>
      <c r="C342" t="str">
        <f>Old!BF342</f>
        <v>Pending</v>
      </c>
      <c r="D342">
        <v>0</v>
      </c>
      <c r="E342">
        <v>0</v>
      </c>
      <c r="F342" t="str">
        <f t="shared" si="7"/>
        <v>0-0</v>
      </c>
    </row>
    <row r="343" spans="1:6" hidden="1" x14ac:dyDescent="0.25">
      <c r="A343">
        <f>Old!AI343</f>
        <v>0</v>
      </c>
      <c r="B343" t="str">
        <f>Old!AS343</f>
        <v>PreSeason</v>
      </c>
      <c r="C343" t="str">
        <f>Old!BF343</f>
        <v>Pending</v>
      </c>
      <c r="D343">
        <v>0</v>
      </c>
      <c r="E343">
        <v>0</v>
      </c>
      <c r="F343" t="str">
        <f t="shared" si="7"/>
        <v>0-0</v>
      </c>
    </row>
    <row r="344" spans="1:6" hidden="1" x14ac:dyDescent="0.25">
      <c r="A344">
        <f>Old!AI344</f>
        <v>0</v>
      </c>
      <c r="B344" t="str">
        <f>Old!AS344</f>
        <v>PreSeason</v>
      </c>
      <c r="C344" t="str">
        <f>Old!BF344</f>
        <v>Pending</v>
      </c>
      <c r="D344">
        <v>0</v>
      </c>
      <c r="E344">
        <v>0</v>
      </c>
      <c r="F344" t="str">
        <f t="shared" si="7"/>
        <v>0-0</v>
      </c>
    </row>
    <row r="345" spans="1:6" hidden="1" x14ac:dyDescent="0.25">
      <c r="A345">
        <f>Old!AI345</f>
        <v>0</v>
      </c>
      <c r="B345" t="str">
        <f>Old!AS345</f>
        <v>PreSeason</v>
      </c>
      <c r="C345" t="str">
        <f>Old!BF345</f>
        <v>Pending</v>
      </c>
      <c r="D345">
        <v>0</v>
      </c>
      <c r="E345">
        <v>0</v>
      </c>
      <c r="F345" t="str">
        <f t="shared" si="7"/>
        <v>0-0</v>
      </c>
    </row>
    <row r="346" spans="1:6" hidden="1" x14ac:dyDescent="0.25">
      <c r="A346">
        <f>Old!AI346</f>
        <v>0</v>
      </c>
      <c r="B346" t="str">
        <f>Old!AS346</f>
        <v>PreSeason</v>
      </c>
      <c r="C346" t="str">
        <f>Old!BF346</f>
        <v>Pending</v>
      </c>
      <c r="D346">
        <v>0</v>
      </c>
      <c r="E346">
        <v>0</v>
      </c>
      <c r="F346" t="str">
        <f t="shared" si="7"/>
        <v>0-0</v>
      </c>
    </row>
    <row r="347" spans="1:6" hidden="1" x14ac:dyDescent="0.25">
      <c r="A347">
        <f>Old!AI347</f>
        <v>0</v>
      </c>
      <c r="B347" t="str">
        <f>Old!AS347</f>
        <v>PreSeason</v>
      </c>
      <c r="C347" t="str">
        <f>Old!BF347</f>
        <v>Pending</v>
      </c>
      <c r="D347">
        <v>0</v>
      </c>
      <c r="E347">
        <v>0</v>
      </c>
      <c r="F347" t="str">
        <f t="shared" si="7"/>
        <v>0-0</v>
      </c>
    </row>
    <row r="348" spans="1:6" hidden="1" x14ac:dyDescent="0.25">
      <c r="A348">
        <f>Old!AI348</f>
        <v>0</v>
      </c>
      <c r="B348" t="str">
        <f>Old!AS348</f>
        <v>PreSeason</v>
      </c>
      <c r="C348" t="str">
        <f>Old!BF348</f>
        <v>Pending</v>
      </c>
      <c r="D348">
        <v>0</v>
      </c>
      <c r="E348">
        <v>0</v>
      </c>
      <c r="F348" t="str">
        <f t="shared" si="7"/>
        <v>0-0</v>
      </c>
    </row>
    <row r="349" spans="1:6" hidden="1" x14ac:dyDescent="0.25">
      <c r="A349">
        <f>Old!AI349</f>
        <v>0</v>
      </c>
      <c r="B349" t="str">
        <f>Old!AS349</f>
        <v>PreSeason</v>
      </c>
      <c r="C349" t="str">
        <f>Old!BF349</f>
        <v>Pending</v>
      </c>
      <c r="D349">
        <v>0</v>
      </c>
      <c r="E349">
        <v>0</v>
      </c>
      <c r="F349" t="str">
        <f t="shared" si="7"/>
        <v>0-0</v>
      </c>
    </row>
    <row r="350" spans="1:6" hidden="1" x14ac:dyDescent="0.25">
      <c r="A350">
        <f>Old!AI350</f>
        <v>0</v>
      </c>
      <c r="B350" t="str">
        <f>Old!AS350</f>
        <v>PreSeason</v>
      </c>
      <c r="C350" t="str">
        <f>Old!BF350</f>
        <v>Pending</v>
      </c>
      <c r="D350">
        <v>0</v>
      </c>
      <c r="E350">
        <v>0</v>
      </c>
      <c r="F350" t="str">
        <f t="shared" si="7"/>
        <v>0-0</v>
      </c>
    </row>
    <row r="351" spans="1:6" hidden="1" x14ac:dyDescent="0.25">
      <c r="A351">
        <f>Old!AI351</f>
        <v>0</v>
      </c>
      <c r="B351" t="str">
        <f>Old!AS351</f>
        <v>PreSeason</v>
      </c>
      <c r="C351" t="str">
        <f>Old!BF351</f>
        <v>Pending</v>
      </c>
      <c r="D351">
        <v>0</v>
      </c>
      <c r="E351">
        <v>0</v>
      </c>
      <c r="F351" t="str">
        <f t="shared" si="7"/>
        <v>0-0</v>
      </c>
    </row>
    <row r="352" spans="1:6" hidden="1" x14ac:dyDescent="0.25">
      <c r="A352">
        <f>Old!AI352</f>
        <v>0</v>
      </c>
      <c r="B352" t="str">
        <f>Old!AS352</f>
        <v>PreSeason</v>
      </c>
      <c r="C352" t="str">
        <f>Old!BF352</f>
        <v>Pending</v>
      </c>
      <c r="D352">
        <v>0</v>
      </c>
      <c r="E352">
        <v>0</v>
      </c>
      <c r="F352" t="str">
        <f t="shared" si="7"/>
        <v>0-0</v>
      </c>
    </row>
    <row r="353" spans="1:6" hidden="1" x14ac:dyDescent="0.25">
      <c r="A353">
        <f>Old!AI353</f>
        <v>0</v>
      </c>
      <c r="B353" t="str">
        <f>Old!AS353</f>
        <v>PreSeason</v>
      </c>
      <c r="C353" t="str">
        <f>Old!BF353</f>
        <v>Pending</v>
      </c>
      <c r="D353">
        <v>0</v>
      </c>
      <c r="E353">
        <v>0</v>
      </c>
      <c r="F353" t="str">
        <f t="shared" si="7"/>
        <v>0-0</v>
      </c>
    </row>
    <row r="354" spans="1:6" hidden="1" x14ac:dyDescent="0.25">
      <c r="A354">
        <f>Old!AI354</f>
        <v>0</v>
      </c>
      <c r="B354" t="str">
        <f>Old!AS354</f>
        <v>PreSeason</v>
      </c>
      <c r="C354" t="str">
        <f>Old!BF354</f>
        <v>Pending</v>
      </c>
      <c r="D354">
        <v>0</v>
      </c>
      <c r="E354">
        <v>0</v>
      </c>
      <c r="F354" t="str">
        <f t="shared" si="7"/>
        <v>0-0</v>
      </c>
    </row>
    <row r="355" spans="1:6" hidden="1" x14ac:dyDescent="0.25">
      <c r="A355">
        <f>Old!AI355</f>
        <v>0</v>
      </c>
      <c r="B355" t="str">
        <f>Old!AS355</f>
        <v>PreSeason</v>
      </c>
      <c r="C355" t="str">
        <f>Old!BF355</f>
        <v>Pending</v>
      </c>
      <c r="D355">
        <v>0</v>
      </c>
      <c r="E355">
        <v>0</v>
      </c>
      <c r="F355" t="str">
        <f t="shared" si="7"/>
        <v>0-0</v>
      </c>
    </row>
    <row r="356" spans="1:6" hidden="1" x14ac:dyDescent="0.25">
      <c r="A356">
        <f>Old!AI356</f>
        <v>0</v>
      </c>
      <c r="B356" t="str">
        <f>Old!AS356</f>
        <v>PreSeason</v>
      </c>
      <c r="C356" t="str">
        <f>Old!BF356</f>
        <v>Pending</v>
      </c>
      <c r="D356">
        <v>0</v>
      </c>
      <c r="E356">
        <v>0</v>
      </c>
      <c r="F356" t="str">
        <f t="shared" si="7"/>
        <v>0-0</v>
      </c>
    </row>
    <row r="357" spans="1:6" hidden="1" x14ac:dyDescent="0.25">
      <c r="A357">
        <f>Old!AI357</f>
        <v>0</v>
      </c>
      <c r="B357" t="str">
        <f>Old!AS357</f>
        <v>PreSeason</v>
      </c>
      <c r="C357" t="str">
        <f>Old!BF357</f>
        <v>Pending</v>
      </c>
      <c r="D357">
        <v>0</v>
      </c>
      <c r="E357">
        <v>0</v>
      </c>
      <c r="F357" t="str">
        <f t="shared" si="7"/>
        <v>0-0</v>
      </c>
    </row>
    <row r="358" spans="1:6" hidden="1" x14ac:dyDescent="0.25">
      <c r="A358">
        <f>Old!AI358</f>
        <v>0</v>
      </c>
      <c r="B358" t="str">
        <f>Old!AS358</f>
        <v>PreSeason</v>
      </c>
      <c r="C358" t="str">
        <f>Old!BF358</f>
        <v>Pending</v>
      </c>
      <c r="D358">
        <v>0</v>
      </c>
      <c r="E358">
        <v>0</v>
      </c>
      <c r="F358" t="str">
        <f t="shared" si="7"/>
        <v>0-0</v>
      </c>
    </row>
    <row r="359" spans="1:6" hidden="1" x14ac:dyDescent="0.25">
      <c r="A359">
        <f>Old!AI359</f>
        <v>0</v>
      </c>
      <c r="B359" t="str">
        <f>Old!AS359</f>
        <v>PreSeason</v>
      </c>
      <c r="C359" t="str">
        <f>Old!BF359</f>
        <v>Pending</v>
      </c>
      <c r="D359">
        <v>0</v>
      </c>
      <c r="E359">
        <v>0</v>
      </c>
      <c r="F359" t="str">
        <f t="shared" si="7"/>
        <v>0-0</v>
      </c>
    </row>
    <row r="360" spans="1:6" hidden="1" x14ac:dyDescent="0.25">
      <c r="A360">
        <f>Old!AI360</f>
        <v>0</v>
      </c>
      <c r="B360" t="str">
        <f>Old!AS360</f>
        <v>PreSeason</v>
      </c>
      <c r="C360" t="str">
        <f>Old!BF360</f>
        <v>Pending</v>
      </c>
      <c r="D360">
        <v>0</v>
      </c>
      <c r="E360">
        <v>0</v>
      </c>
      <c r="F360" t="str">
        <f t="shared" si="7"/>
        <v>0-0</v>
      </c>
    </row>
    <row r="361" spans="1:6" hidden="1" x14ac:dyDescent="0.25">
      <c r="A361">
        <f>Old!AI361</f>
        <v>0</v>
      </c>
      <c r="B361" t="str">
        <f>Old!AS361</f>
        <v>PreSeason</v>
      </c>
      <c r="C361" t="str">
        <f>Old!BF361</f>
        <v>Pending</v>
      </c>
      <c r="D361">
        <v>0</v>
      </c>
      <c r="E361">
        <v>0</v>
      </c>
      <c r="F361" t="str">
        <f t="shared" si="7"/>
        <v>0-0</v>
      </c>
    </row>
    <row r="362" spans="1:6" hidden="1" x14ac:dyDescent="0.25">
      <c r="A362">
        <f>Old!AI362</f>
        <v>0</v>
      </c>
      <c r="B362" t="str">
        <f>Old!AS362</f>
        <v>PreSeason</v>
      </c>
      <c r="C362" t="str">
        <f>Old!BF362</f>
        <v>Pending</v>
      </c>
      <c r="D362">
        <v>0</v>
      </c>
      <c r="E362">
        <v>0</v>
      </c>
      <c r="F362" t="str">
        <f t="shared" si="7"/>
        <v>0-0</v>
      </c>
    </row>
    <row r="363" spans="1:6" hidden="1" x14ac:dyDescent="0.25">
      <c r="A363">
        <f>Old!AI363</f>
        <v>0</v>
      </c>
      <c r="B363" t="str">
        <f>Old!AS363</f>
        <v>PreSeason</v>
      </c>
      <c r="C363" t="str">
        <f>Old!BF363</f>
        <v>Pending</v>
      </c>
      <c r="D363">
        <v>0</v>
      </c>
      <c r="E363">
        <v>0</v>
      </c>
      <c r="F363" t="str">
        <f t="shared" si="7"/>
        <v>0-0</v>
      </c>
    </row>
    <row r="364" spans="1:6" hidden="1" x14ac:dyDescent="0.25">
      <c r="A364">
        <f>Old!AI364</f>
        <v>0</v>
      </c>
      <c r="B364" t="str">
        <f>Old!AS364</f>
        <v>PreSeason</v>
      </c>
      <c r="C364" t="str">
        <f>Old!BF364</f>
        <v>Pending</v>
      </c>
      <c r="D364">
        <v>0</v>
      </c>
      <c r="E364">
        <v>0</v>
      </c>
      <c r="F364" t="str">
        <f t="shared" si="7"/>
        <v>0-0</v>
      </c>
    </row>
    <row r="365" spans="1:6" hidden="1" x14ac:dyDescent="0.25">
      <c r="A365">
        <f>Old!AI365</f>
        <v>0</v>
      </c>
      <c r="B365" t="str">
        <f>Old!AS365</f>
        <v>PreSeason</v>
      </c>
      <c r="C365" t="str">
        <f>Old!BF365</f>
        <v>Pending</v>
      </c>
      <c r="D365">
        <v>0</v>
      </c>
      <c r="E365">
        <v>0</v>
      </c>
      <c r="F365" t="str">
        <f t="shared" si="7"/>
        <v>0-0</v>
      </c>
    </row>
    <row r="366" spans="1:6" hidden="1" x14ac:dyDescent="0.25">
      <c r="A366">
        <f>Old!AI366</f>
        <v>0</v>
      </c>
      <c r="B366" t="str">
        <f>Old!AS366</f>
        <v>PreSeason</v>
      </c>
      <c r="C366" t="str">
        <f>Old!BF366</f>
        <v>Pending</v>
      </c>
      <c r="D366">
        <v>0</v>
      </c>
      <c r="E366">
        <v>0</v>
      </c>
      <c r="F366" t="str">
        <f t="shared" si="7"/>
        <v>0-0</v>
      </c>
    </row>
    <row r="367" spans="1:6" hidden="1" x14ac:dyDescent="0.25">
      <c r="A367">
        <f>Old!AI367</f>
        <v>0</v>
      </c>
      <c r="B367" t="str">
        <f>Old!AS367</f>
        <v>PreSeason</v>
      </c>
      <c r="C367" t="str">
        <f>Old!BF367</f>
        <v>Pending</v>
      </c>
      <c r="D367">
        <v>0</v>
      </c>
      <c r="E367">
        <v>0</v>
      </c>
      <c r="F367" t="str">
        <f t="shared" si="7"/>
        <v>0-0</v>
      </c>
    </row>
    <row r="368" spans="1:6" hidden="1" x14ac:dyDescent="0.25">
      <c r="A368">
        <f>Old!AI368</f>
        <v>0</v>
      </c>
      <c r="B368" t="str">
        <f>Old!AS368</f>
        <v>PreSeason</v>
      </c>
      <c r="C368" t="str">
        <f>Old!BF368</f>
        <v>Pending</v>
      </c>
      <c r="D368">
        <v>0</v>
      </c>
      <c r="E368">
        <v>0</v>
      </c>
      <c r="F368" t="str">
        <f t="shared" si="7"/>
        <v>0-0</v>
      </c>
    </row>
    <row r="369" spans="1:6" hidden="1" x14ac:dyDescent="0.25">
      <c r="A369">
        <f>Old!AI369</f>
        <v>0</v>
      </c>
      <c r="B369" t="str">
        <f>Old!AS369</f>
        <v>PreSeason</v>
      </c>
      <c r="C369" t="str">
        <f>Old!BF369</f>
        <v>Pending</v>
      </c>
      <c r="D369">
        <v>0</v>
      </c>
      <c r="E369">
        <v>0</v>
      </c>
      <c r="F369" t="str">
        <f t="shared" si="7"/>
        <v>0-0</v>
      </c>
    </row>
    <row r="370" spans="1:6" hidden="1" x14ac:dyDescent="0.25">
      <c r="A370">
        <f>Old!AI370</f>
        <v>0</v>
      </c>
      <c r="B370" t="str">
        <f>Old!AS370</f>
        <v>PreSeason</v>
      </c>
      <c r="C370" t="str">
        <f>Old!BF370</f>
        <v>Pending</v>
      </c>
      <c r="D370">
        <v>0</v>
      </c>
      <c r="E370">
        <v>0</v>
      </c>
      <c r="F370" t="str">
        <f t="shared" si="7"/>
        <v>0-0</v>
      </c>
    </row>
    <row r="371" spans="1:6" hidden="1" x14ac:dyDescent="0.25">
      <c r="A371">
        <f>Old!AI371</f>
        <v>0</v>
      </c>
      <c r="B371" t="str">
        <f>Old!AS371</f>
        <v>PreSeason</v>
      </c>
      <c r="C371" t="str">
        <f>Old!BF371</f>
        <v>Pending</v>
      </c>
      <c r="D371">
        <v>0</v>
      </c>
      <c r="E371">
        <v>0</v>
      </c>
      <c r="F371" t="str">
        <f t="shared" si="7"/>
        <v>0-0</v>
      </c>
    </row>
    <row r="372" spans="1:6" hidden="1" x14ac:dyDescent="0.25">
      <c r="A372">
        <f>Old!AI372</f>
        <v>0</v>
      </c>
      <c r="B372" t="str">
        <f>Old!AS372</f>
        <v>PreSeason</v>
      </c>
      <c r="C372" t="str">
        <f>Old!BF372</f>
        <v>Pending</v>
      </c>
      <c r="D372">
        <v>0</v>
      </c>
      <c r="E372">
        <v>0</v>
      </c>
      <c r="F372" t="str">
        <f t="shared" si="7"/>
        <v>0-0</v>
      </c>
    </row>
    <row r="373" spans="1:6" hidden="1" x14ac:dyDescent="0.25">
      <c r="A373">
        <f>Old!AI373</f>
        <v>0</v>
      </c>
      <c r="B373" t="str">
        <f>Old!AS373</f>
        <v>PreSeason</v>
      </c>
      <c r="C373" t="str">
        <f>Old!BF373</f>
        <v>Pending</v>
      </c>
      <c r="D373">
        <v>0</v>
      </c>
      <c r="E373">
        <v>0</v>
      </c>
      <c r="F373" t="str">
        <f t="shared" si="7"/>
        <v>0-0</v>
      </c>
    </row>
    <row r="374" spans="1:6" hidden="1" x14ac:dyDescent="0.25">
      <c r="A374">
        <f>Old!AI374</f>
        <v>0</v>
      </c>
      <c r="B374" t="str">
        <f>Old!AS374</f>
        <v>PreSeason</v>
      </c>
      <c r="C374" t="str">
        <f>Old!BF374</f>
        <v>Pending</v>
      </c>
      <c r="D374">
        <v>0</v>
      </c>
      <c r="E374">
        <v>0</v>
      </c>
      <c r="F374" t="str">
        <f t="shared" si="7"/>
        <v>0-0</v>
      </c>
    </row>
    <row r="375" spans="1:6" hidden="1" x14ac:dyDescent="0.25">
      <c r="A375">
        <f>Old!AI375</f>
        <v>0</v>
      </c>
      <c r="B375" t="str">
        <f>Old!AS375</f>
        <v>PreSeason</v>
      </c>
      <c r="C375" t="str">
        <f>Old!BF375</f>
        <v>Pending</v>
      </c>
      <c r="D375">
        <v>0</v>
      </c>
      <c r="E375">
        <v>0</v>
      </c>
      <c r="F375" t="str">
        <f t="shared" si="7"/>
        <v>0-0</v>
      </c>
    </row>
    <row r="376" spans="1:6" hidden="1" x14ac:dyDescent="0.25">
      <c r="A376">
        <f>Old!AI376</f>
        <v>0</v>
      </c>
      <c r="B376" t="str">
        <f>Old!AS376</f>
        <v>PreSeason</v>
      </c>
      <c r="C376" t="str">
        <f>Old!BF376</f>
        <v>Pending</v>
      </c>
      <c r="D376">
        <v>0</v>
      </c>
      <c r="E376">
        <v>0</v>
      </c>
      <c r="F376" t="str">
        <f t="shared" si="7"/>
        <v>0-0</v>
      </c>
    </row>
    <row r="377" spans="1:6" hidden="1" x14ac:dyDescent="0.25">
      <c r="A377">
        <f>Old!AI377</f>
        <v>0</v>
      </c>
      <c r="B377" t="str">
        <f>Old!AS377</f>
        <v>PreSeason</v>
      </c>
      <c r="C377" t="str">
        <f>Old!BF377</f>
        <v>Pending</v>
      </c>
      <c r="D377">
        <v>0</v>
      </c>
      <c r="E377">
        <v>0</v>
      </c>
      <c r="F377" t="str">
        <f t="shared" si="7"/>
        <v>0-0</v>
      </c>
    </row>
    <row r="378" spans="1:6" hidden="1" x14ac:dyDescent="0.25">
      <c r="A378">
        <f>Old!AI378</f>
        <v>0</v>
      </c>
      <c r="B378" t="str">
        <f>Old!AS378</f>
        <v>PreSeason</v>
      </c>
      <c r="C378" t="str">
        <f>Old!BF378</f>
        <v>Pending</v>
      </c>
      <c r="D378">
        <v>0</v>
      </c>
      <c r="E378">
        <v>0</v>
      </c>
      <c r="F378" t="str">
        <f t="shared" si="7"/>
        <v>0-0</v>
      </c>
    </row>
    <row r="379" spans="1:6" hidden="1" x14ac:dyDescent="0.25">
      <c r="A379">
        <f>Old!AI379</f>
        <v>0</v>
      </c>
      <c r="B379" t="str">
        <f>Old!AS379</f>
        <v>PreSeason</v>
      </c>
      <c r="C379" t="str">
        <f>Old!BF379</f>
        <v>Pending</v>
      </c>
      <c r="D379">
        <v>0</v>
      </c>
      <c r="E379">
        <v>0</v>
      </c>
      <c r="F379" t="str">
        <f t="shared" si="7"/>
        <v>0-0</v>
      </c>
    </row>
    <row r="380" spans="1:6" hidden="1" x14ac:dyDescent="0.25">
      <c r="A380">
        <f>Old!AI380</f>
        <v>0</v>
      </c>
      <c r="B380" t="str">
        <f>Old!AS380</f>
        <v>PreSeason</v>
      </c>
      <c r="C380" t="str">
        <f>Old!BF380</f>
        <v>Pending</v>
      </c>
      <c r="D380">
        <v>0</v>
      </c>
      <c r="E380">
        <v>0</v>
      </c>
      <c r="F380" t="str">
        <f t="shared" si="7"/>
        <v>0-0</v>
      </c>
    </row>
    <row r="381" spans="1:6" hidden="1" x14ac:dyDescent="0.25">
      <c r="A381">
        <f>Old!AI381</f>
        <v>0</v>
      </c>
      <c r="B381" t="str">
        <f>Old!AS381</f>
        <v>PreSeason</v>
      </c>
      <c r="C381" t="str">
        <f>Old!BF381</f>
        <v>Pending</v>
      </c>
      <c r="D381">
        <v>0</v>
      </c>
      <c r="E381">
        <v>0</v>
      </c>
      <c r="F381" t="str">
        <f t="shared" si="7"/>
        <v>0-0</v>
      </c>
    </row>
    <row r="382" spans="1:6" hidden="1" x14ac:dyDescent="0.25">
      <c r="A382">
        <f>Old!AI382</f>
        <v>0</v>
      </c>
      <c r="B382" t="str">
        <f>Old!AS382</f>
        <v>PreSeason</v>
      </c>
      <c r="C382" t="str">
        <f>Old!BF382</f>
        <v>Pending</v>
      </c>
      <c r="D382">
        <v>0</v>
      </c>
      <c r="E382">
        <v>0</v>
      </c>
      <c r="F382" t="str">
        <f t="shared" si="7"/>
        <v>0-0</v>
      </c>
    </row>
    <row r="383" spans="1:6" hidden="1" x14ac:dyDescent="0.25">
      <c r="A383">
        <f>Old!AI383</f>
        <v>0</v>
      </c>
      <c r="B383" t="str">
        <f>Old!AS383</f>
        <v>PreSeason</v>
      </c>
      <c r="C383" t="str">
        <f>Old!BF383</f>
        <v>Pending</v>
      </c>
      <c r="D383">
        <v>0</v>
      </c>
      <c r="E383">
        <v>0</v>
      </c>
      <c r="F383" t="str">
        <f t="shared" si="7"/>
        <v>0-0</v>
      </c>
    </row>
    <row r="384" spans="1:6" hidden="1" x14ac:dyDescent="0.25">
      <c r="A384">
        <f>Old!AI384</f>
        <v>0</v>
      </c>
      <c r="B384" t="str">
        <f>Old!AS384</f>
        <v>PreSeason</v>
      </c>
      <c r="C384" t="str">
        <f>Old!BF384</f>
        <v>Pending</v>
      </c>
      <c r="D384">
        <v>0</v>
      </c>
      <c r="E384">
        <v>0</v>
      </c>
      <c r="F384" t="str">
        <f t="shared" si="7"/>
        <v>0-0</v>
      </c>
    </row>
    <row r="385" spans="1:6" hidden="1" x14ac:dyDescent="0.25">
      <c r="A385">
        <f>Old!AI385</f>
        <v>0</v>
      </c>
      <c r="B385" t="str">
        <f>Old!AS385</f>
        <v>PreSeason</v>
      </c>
      <c r="C385" t="str">
        <f>Old!BF385</f>
        <v>Pending</v>
      </c>
      <c r="D385">
        <v>0</v>
      </c>
      <c r="E385">
        <v>0</v>
      </c>
      <c r="F385" t="str">
        <f t="shared" si="7"/>
        <v>0-0</v>
      </c>
    </row>
    <row r="386" spans="1:6" hidden="1" x14ac:dyDescent="0.25">
      <c r="A386">
        <f>Old!AI386</f>
        <v>0</v>
      </c>
      <c r="B386" t="str">
        <f>Old!AS386</f>
        <v>PreSeason</v>
      </c>
      <c r="C386" t="str">
        <f>Old!BF386</f>
        <v>Pending</v>
      </c>
      <c r="D386">
        <v>0</v>
      </c>
      <c r="E386">
        <v>0</v>
      </c>
      <c r="F386" t="str">
        <f t="shared" si="7"/>
        <v>0-0</v>
      </c>
    </row>
    <row r="387" spans="1:6" hidden="1" x14ac:dyDescent="0.25">
      <c r="A387">
        <f>Old!AI387</f>
        <v>0</v>
      </c>
      <c r="B387" t="str">
        <f>Old!AS387</f>
        <v>PreSeason</v>
      </c>
      <c r="C387" t="str">
        <f>Old!BF387</f>
        <v>Pending</v>
      </c>
      <c r="D387">
        <v>0</v>
      </c>
      <c r="E387">
        <v>0</v>
      </c>
      <c r="F387" t="str">
        <f t="shared" ref="F387:F430" si="8">_xlfn.CONCAT(D387,"-",E387)</f>
        <v>0-0</v>
      </c>
    </row>
    <row r="388" spans="1:6" hidden="1" x14ac:dyDescent="0.25">
      <c r="A388">
        <f>Old!AI388</f>
        <v>0</v>
      </c>
      <c r="B388" t="str">
        <f>Old!AS388</f>
        <v>PreSeason</v>
      </c>
      <c r="C388" t="str">
        <f>Old!BF388</f>
        <v>Pending</v>
      </c>
      <c r="D388">
        <v>0</v>
      </c>
      <c r="E388">
        <v>0</v>
      </c>
      <c r="F388" t="str">
        <f t="shared" si="8"/>
        <v>0-0</v>
      </c>
    </row>
    <row r="389" spans="1:6" hidden="1" x14ac:dyDescent="0.25">
      <c r="A389">
        <f>Old!AI389</f>
        <v>0</v>
      </c>
      <c r="B389" t="str">
        <f>Old!AS389</f>
        <v>PreSeason</v>
      </c>
      <c r="C389" t="str">
        <f>Old!BF389</f>
        <v>Pending</v>
      </c>
      <c r="D389">
        <v>0</v>
      </c>
      <c r="E389">
        <v>0</v>
      </c>
      <c r="F389" t="str">
        <f t="shared" si="8"/>
        <v>0-0</v>
      </c>
    </row>
    <row r="390" spans="1:6" hidden="1" x14ac:dyDescent="0.25">
      <c r="A390">
        <f>Old!AI390</f>
        <v>0</v>
      </c>
      <c r="B390" t="str">
        <f>Old!AS390</f>
        <v>PreSeason</v>
      </c>
      <c r="C390" t="str">
        <f>Old!BF390</f>
        <v>Pending</v>
      </c>
      <c r="D390">
        <v>0</v>
      </c>
      <c r="E390">
        <v>0</v>
      </c>
      <c r="F390" t="str">
        <f t="shared" si="8"/>
        <v>0-0</v>
      </c>
    </row>
    <row r="391" spans="1:6" hidden="1" x14ac:dyDescent="0.25">
      <c r="A391">
        <f>Old!AI391</f>
        <v>0</v>
      </c>
      <c r="B391" t="str">
        <f>Old!AS391</f>
        <v>PreSeason</v>
      </c>
      <c r="C391" t="str">
        <f>Old!BF391</f>
        <v>Pending</v>
      </c>
      <c r="D391">
        <v>0</v>
      </c>
      <c r="E391">
        <v>0</v>
      </c>
      <c r="F391" t="str">
        <f t="shared" si="8"/>
        <v>0-0</v>
      </c>
    </row>
    <row r="392" spans="1:6" hidden="1" x14ac:dyDescent="0.25">
      <c r="A392">
        <f>Old!AI392</f>
        <v>0</v>
      </c>
      <c r="B392" t="str">
        <f>Old!AS392</f>
        <v>PreSeason</v>
      </c>
      <c r="C392" t="str">
        <f>Old!BF392</f>
        <v>Pending</v>
      </c>
      <c r="D392">
        <v>0</v>
      </c>
      <c r="E392">
        <v>0</v>
      </c>
      <c r="F392" t="str">
        <f t="shared" si="8"/>
        <v>0-0</v>
      </c>
    </row>
    <row r="393" spans="1:6" hidden="1" x14ac:dyDescent="0.25">
      <c r="A393">
        <f>Old!AI393</f>
        <v>0</v>
      </c>
      <c r="B393" t="str">
        <f>Old!AS393</f>
        <v>PreSeason</v>
      </c>
      <c r="C393" t="str">
        <f>Old!BF393</f>
        <v>Pending</v>
      </c>
      <c r="D393">
        <v>0</v>
      </c>
      <c r="E393">
        <v>0</v>
      </c>
      <c r="F393" t="str">
        <f t="shared" si="8"/>
        <v>0-0</v>
      </c>
    </row>
    <row r="394" spans="1:6" hidden="1" x14ac:dyDescent="0.25">
      <c r="A394">
        <f>Old!AI394</f>
        <v>0</v>
      </c>
      <c r="B394" t="str">
        <f>Old!AS394</f>
        <v>PreSeason</v>
      </c>
      <c r="C394" t="str">
        <f>Old!BF394</f>
        <v>Pending</v>
      </c>
      <c r="D394">
        <v>0</v>
      </c>
      <c r="E394">
        <v>0</v>
      </c>
      <c r="F394" t="str">
        <f t="shared" si="8"/>
        <v>0-0</v>
      </c>
    </row>
    <row r="395" spans="1:6" hidden="1" x14ac:dyDescent="0.25">
      <c r="A395">
        <f>Old!AI395</f>
        <v>0</v>
      </c>
      <c r="B395" t="str">
        <f>Old!AS395</f>
        <v>PreSeason</v>
      </c>
      <c r="C395" t="str">
        <f>Old!BF395</f>
        <v>Pending</v>
      </c>
      <c r="D395">
        <v>0</v>
      </c>
      <c r="E395">
        <v>0</v>
      </c>
      <c r="F395" t="str">
        <f t="shared" si="8"/>
        <v>0-0</v>
      </c>
    </row>
    <row r="396" spans="1:6" hidden="1" x14ac:dyDescent="0.25">
      <c r="A396">
        <f>Old!AI396</f>
        <v>0</v>
      </c>
      <c r="B396" t="str">
        <f>Old!AS396</f>
        <v>PreSeason</v>
      </c>
      <c r="C396" t="str">
        <f>Old!BF396</f>
        <v>Pending</v>
      </c>
      <c r="D396">
        <v>0</v>
      </c>
      <c r="E396">
        <v>0</v>
      </c>
      <c r="F396" t="str">
        <f t="shared" si="8"/>
        <v>0-0</v>
      </c>
    </row>
    <row r="397" spans="1:6" hidden="1" x14ac:dyDescent="0.25">
      <c r="A397">
        <f>Old!AI397</f>
        <v>0</v>
      </c>
      <c r="B397" t="str">
        <f>Old!AS397</f>
        <v>PreSeason</v>
      </c>
      <c r="C397" t="str">
        <f>Old!BF397</f>
        <v>Pending</v>
      </c>
      <c r="D397">
        <v>0</v>
      </c>
      <c r="E397">
        <v>0</v>
      </c>
      <c r="F397" t="str">
        <f t="shared" si="8"/>
        <v>0-0</v>
      </c>
    </row>
    <row r="398" spans="1:6" hidden="1" x14ac:dyDescent="0.25">
      <c r="A398">
        <f>Old!AI398</f>
        <v>0</v>
      </c>
      <c r="B398" t="str">
        <f>Old!AS398</f>
        <v>PreSeason</v>
      </c>
      <c r="C398" t="str">
        <f>Old!BF398</f>
        <v>Pending</v>
      </c>
      <c r="D398">
        <v>0</v>
      </c>
      <c r="E398">
        <v>0</v>
      </c>
      <c r="F398" t="str">
        <f t="shared" si="8"/>
        <v>0-0</v>
      </c>
    </row>
    <row r="399" spans="1:6" hidden="1" x14ac:dyDescent="0.25">
      <c r="A399">
        <f>Old!AI399</f>
        <v>0</v>
      </c>
      <c r="B399" t="str">
        <f>Old!AS399</f>
        <v>PreSeason</v>
      </c>
      <c r="C399" t="str">
        <f>Old!BF399</f>
        <v>Pending</v>
      </c>
      <c r="D399">
        <v>0</v>
      </c>
      <c r="E399">
        <v>0</v>
      </c>
      <c r="F399" t="str">
        <f t="shared" si="8"/>
        <v>0-0</v>
      </c>
    </row>
    <row r="400" spans="1:6" hidden="1" x14ac:dyDescent="0.25">
      <c r="A400">
        <f>Old!AI400</f>
        <v>0</v>
      </c>
      <c r="B400" t="str">
        <f>Old!AS400</f>
        <v>PreSeason</v>
      </c>
      <c r="C400" t="str">
        <f>Old!BF400</f>
        <v>Pending</v>
      </c>
      <c r="D400">
        <v>0</v>
      </c>
      <c r="E400">
        <v>0</v>
      </c>
      <c r="F400" t="str">
        <f t="shared" si="8"/>
        <v>0-0</v>
      </c>
    </row>
    <row r="401" spans="1:6" hidden="1" x14ac:dyDescent="0.25">
      <c r="A401">
        <f>Old!AI401</f>
        <v>0</v>
      </c>
      <c r="B401" t="str">
        <f>Old!AS401</f>
        <v>PreSeason</v>
      </c>
      <c r="C401" t="str">
        <f>Old!BF401</f>
        <v>Pending</v>
      </c>
      <c r="D401">
        <v>0</v>
      </c>
      <c r="E401">
        <v>0</v>
      </c>
      <c r="F401" t="str">
        <f t="shared" si="8"/>
        <v>0-0</v>
      </c>
    </row>
    <row r="402" spans="1:6" hidden="1" x14ac:dyDescent="0.25">
      <c r="A402">
        <f>Old!AI402</f>
        <v>0</v>
      </c>
      <c r="B402" t="str">
        <f>Old!AS402</f>
        <v>PreSeason</v>
      </c>
      <c r="C402" t="str">
        <f>Old!BF402</f>
        <v>Pending</v>
      </c>
      <c r="D402">
        <v>0</v>
      </c>
      <c r="E402">
        <v>0</v>
      </c>
      <c r="F402" t="str">
        <f t="shared" si="8"/>
        <v>0-0</v>
      </c>
    </row>
    <row r="403" spans="1:6" hidden="1" x14ac:dyDescent="0.25">
      <c r="A403">
        <f>Old!AI403</f>
        <v>0</v>
      </c>
      <c r="B403" t="str">
        <f>Old!AS403</f>
        <v>PreSeason</v>
      </c>
      <c r="C403" t="str">
        <f>Old!BF403</f>
        <v>Pending</v>
      </c>
      <c r="D403">
        <v>0</v>
      </c>
      <c r="E403">
        <v>0</v>
      </c>
      <c r="F403" t="str">
        <f t="shared" si="8"/>
        <v>0-0</v>
      </c>
    </row>
    <row r="404" spans="1:6" hidden="1" x14ac:dyDescent="0.25">
      <c r="A404">
        <f>Old!AI404</f>
        <v>0</v>
      </c>
      <c r="B404" t="str">
        <f>Old!AS404</f>
        <v>PreSeason</v>
      </c>
      <c r="C404" t="str">
        <f>Old!BF404</f>
        <v>Pending</v>
      </c>
      <c r="D404">
        <v>0</v>
      </c>
      <c r="E404">
        <v>0</v>
      </c>
      <c r="F404" t="str">
        <f t="shared" si="8"/>
        <v>0-0</v>
      </c>
    </row>
    <row r="405" spans="1:6" hidden="1" x14ac:dyDescent="0.25">
      <c r="A405">
        <f>Old!AI405</f>
        <v>0</v>
      </c>
      <c r="B405" t="str">
        <f>Old!AS405</f>
        <v>PreSeason</v>
      </c>
      <c r="C405" t="str">
        <f>Old!BF405</f>
        <v>Pending</v>
      </c>
      <c r="D405">
        <v>0</v>
      </c>
      <c r="E405">
        <v>0</v>
      </c>
      <c r="F405" t="str">
        <f t="shared" si="8"/>
        <v>0-0</v>
      </c>
    </row>
    <row r="406" spans="1:6" hidden="1" x14ac:dyDescent="0.25">
      <c r="A406">
        <f>Old!AI406</f>
        <v>0</v>
      </c>
      <c r="B406" t="str">
        <f>Old!AS406</f>
        <v>PreSeason</v>
      </c>
      <c r="C406" t="str">
        <f>Old!BF406</f>
        <v>Pending</v>
      </c>
      <c r="D406">
        <v>0</v>
      </c>
      <c r="E406">
        <v>0</v>
      </c>
      <c r="F406" t="str">
        <f t="shared" si="8"/>
        <v>0-0</v>
      </c>
    </row>
    <row r="407" spans="1:6" hidden="1" x14ac:dyDescent="0.25">
      <c r="A407">
        <f>Old!AI407</f>
        <v>0</v>
      </c>
      <c r="B407" t="str">
        <f>Old!AS407</f>
        <v>PreSeason</v>
      </c>
      <c r="C407" t="str">
        <f>Old!BF407</f>
        <v>Pending</v>
      </c>
      <c r="D407">
        <v>0</v>
      </c>
      <c r="E407">
        <v>0</v>
      </c>
      <c r="F407" t="str">
        <f t="shared" si="8"/>
        <v>0-0</v>
      </c>
    </row>
    <row r="408" spans="1:6" hidden="1" x14ac:dyDescent="0.25">
      <c r="A408">
        <f>Old!AI408</f>
        <v>0</v>
      </c>
      <c r="B408" t="str">
        <f>Old!AS408</f>
        <v>PreSeason</v>
      </c>
      <c r="C408" t="str">
        <f>Old!BF408</f>
        <v>Pending</v>
      </c>
      <c r="D408">
        <v>0</v>
      </c>
      <c r="E408">
        <v>0</v>
      </c>
      <c r="F408" t="str">
        <f t="shared" si="8"/>
        <v>0-0</v>
      </c>
    </row>
    <row r="409" spans="1:6" hidden="1" x14ac:dyDescent="0.25">
      <c r="A409">
        <f>Old!AI409</f>
        <v>0</v>
      </c>
      <c r="B409" t="str">
        <f>Old!AS409</f>
        <v>PreSeason</v>
      </c>
      <c r="C409" t="str">
        <f>Old!BF409</f>
        <v>Pending</v>
      </c>
      <c r="D409">
        <v>0</v>
      </c>
      <c r="E409">
        <v>0</v>
      </c>
      <c r="F409" t="str">
        <f t="shared" si="8"/>
        <v>0-0</v>
      </c>
    </row>
    <row r="410" spans="1:6" hidden="1" x14ac:dyDescent="0.25">
      <c r="A410">
        <f>Old!AI410</f>
        <v>0</v>
      </c>
      <c r="B410" t="str">
        <f>Old!AS410</f>
        <v>PreSeason</v>
      </c>
      <c r="C410" t="str">
        <f>Old!BF410</f>
        <v>Pending</v>
      </c>
      <c r="D410">
        <v>0</v>
      </c>
      <c r="E410">
        <v>0</v>
      </c>
      <c r="F410" t="str">
        <f t="shared" si="8"/>
        <v>0-0</v>
      </c>
    </row>
    <row r="411" spans="1:6" hidden="1" x14ac:dyDescent="0.25">
      <c r="A411">
        <f>Old!AI411</f>
        <v>0</v>
      </c>
      <c r="B411" t="str">
        <f>Old!AS411</f>
        <v>PreSeason</v>
      </c>
      <c r="C411" t="str">
        <f>Old!BF411</f>
        <v>Pending</v>
      </c>
      <c r="D411">
        <v>0</v>
      </c>
      <c r="E411">
        <v>0</v>
      </c>
      <c r="F411" t="str">
        <f t="shared" si="8"/>
        <v>0-0</v>
      </c>
    </row>
    <row r="412" spans="1:6" hidden="1" x14ac:dyDescent="0.25">
      <c r="A412">
        <f>Old!AI412</f>
        <v>0</v>
      </c>
      <c r="B412" t="str">
        <f>Old!AS412</f>
        <v>PreSeason</v>
      </c>
      <c r="C412" t="str">
        <f>Old!BF412</f>
        <v>Pending</v>
      </c>
      <c r="D412">
        <v>0</v>
      </c>
      <c r="E412">
        <v>0</v>
      </c>
      <c r="F412" t="str">
        <f t="shared" si="8"/>
        <v>0-0</v>
      </c>
    </row>
    <row r="413" spans="1:6" hidden="1" x14ac:dyDescent="0.25">
      <c r="A413">
        <f>Old!AI413</f>
        <v>0</v>
      </c>
      <c r="B413" t="str">
        <f>Old!AS413</f>
        <v>PreSeason</v>
      </c>
      <c r="C413" t="str">
        <f>Old!BF413</f>
        <v>Pending</v>
      </c>
      <c r="D413">
        <v>0</v>
      </c>
      <c r="E413">
        <v>0</v>
      </c>
      <c r="F413" t="str">
        <f t="shared" si="8"/>
        <v>0-0</v>
      </c>
    </row>
    <row r="414" spans="1:6" hidden="1" x14ac:dyDescent="0.25">
      <c r="A414">
        <f>Old!AI414</f>
        <v>0</v>
      </c>
      <c r="B414" t="str">
        <f>Old!AS414</f>
        <v>PreSeason</v>
      </c>
      <c r="C414" t="str">
        <f>Old!BF414</f>
        <v>Pending</v>
      </c>
      <c r="D414">
        <v>0</v>
      </c>
      <c r="E414">
        <v>0</v>
      </c>
      <c r="F414" t="str">
        <f t="shared" si="8"/>
        <v>0-0</v>
      </c>
    </row>
    <row r="415" spans="1:6" hidden="1" x14ac:dyDescent="0.25">
      <c r="A415">
        <f>Old!AI415</f>
        <v>0</v>
      </c>
      <c r="B415" t="str">
        <f>Old!AS415</f>
        <v>PreSeason</v>
      </c>
      <c r="C415" t="str">
        <f>Old!BF415</f>
        <v>Pending</v>
      </c>
      <c r="D415">
        <v>0</v>
      </c>
      <c r="E415">
        <v>0</v>
      </c>
      <c r="F415" t="str">
        <f t="shared" si="8"/>
        <v>0-0</v>
      </c>
    </row>
    <row r="416" spans="1:6" hidden="1" x14ac:dyDescent="0.25">
      <c r="A416">
        <f>Old!AI416</f>
        <v>0</v>
      </c>
      <c r="B416" t="str">
        <f>Old!AS416</f>
        <v>PreSeason</v>
      </c>
      <c r="C416" t="str">
        <f>Old!BF416</f>
        <v>Pending</v>
      </c>
      <c r="D416">
        <v>0</v>
      </c>
      <c r="E416">
        <v>0</v>
      </c>
      <c r="F416" t="str">
        <f t="shared" si="8"/>
        <v>0-0</v>
      </c>
    </row>
    <row r="417" spans="1:6" hidden="1" x14ac:dyDescent="0.25">
      <c r="A417">
        <f>Old!AI417</f>
        <v>0</v>
      </c>
      <c r="B417" t="str">
        <f>Old!AS417</f>
        <v>PreSeason</v>
      </c>
      <c r="C417" t="str">
        <f>Old!BF417</f>
        <v>Pending</v>
      </c>
      <c r="D417">
        <v>0</v>
      </c>
      <c r="E417">
        <v>0</v>
      </c>
      <c r="F417" t="str">
        <f t="shared" si="8"/>
        <v>0-0</v>
      </c>
    </row>
    <row r="418" spans="1:6" hidden="1" x14ac:dyDescent="0.25">
      <c r="A418">
        <f>Old!AI418</f>
        <v>0</v>
      </c>
      <c r="B418" t="str">
        <f>Old!AS418</f>
        <v>PreSeason</v>
      </c>
      <c r="C418" t="str">
        <f>Old!BF418</f>
        <v>Pending</v>
      </c>
      <c r="D418">
        <v>0</v>
      </c>
      <c r="E418">
        <v>0</v>
      </c>
      <c r="F418" t="str">
        <f t="shared" si="8"/>
        <v>0-0</v>
      </c>
    </row>
    <row r="419" spans="1:6" hidden="1" x14ac:dyDescent="0.25">
      <c r="A419">
        <f>Old!AI419</f>
        <v>0</v>
      </c>
      <c r="B419" t="str">
        <f>Old!AS419</f>
        <v>PreSeason</v>
      </c>
      <c r="C419" t="str">
        <f>Old!BF419</f>
        <v>Pending</v>
      </c>
      <c r="D419">
        <v>0</v>
      </c>
      <c r="E419">
        <v>0</v>
      </c>
      <c r="F419" t="str">
        <f t="shared" si="8"/>
        <v>0-0</v>
      </c>
    </row>
    <row r="420" spans="1:6" hidden="1" x14ac:dyDescent="0.25">
      <c r="A420">
        <f>Old!AI420</f>
        <v>0</v>
      </c>
      <c r="B420" t="str">
        <f>Old!AS420</f>
        <v>PreSeason</v>
      </c>
      <c r="C420" t="str">
        <f>Old!BF420</f>
        <v>Pending</v>
      </c>
      <c r="D420">
        <v>0</v>
      </c>
      <c r="E420">
        <v>0</v>
      </c>
      <c r="F420" t="str">
        <f t="shared" si="8"/>
        <v>0-0</v>
      </c>
    </row>
    <row r="421" spans="1:6" hidden="1" x14ac:dyDescent="0.25">
      <c r="A421">
        <f>Old!AI421</f>
        <v>0</v>
      </c>
      <c r="B421" t="str">
        <f>Old!AS421</f>
        <v>PreSeason</v>
      </c>
      <c r="C421" t="str">
        <f>Old!BF421</f>
        <v>Pending</v>
      </c>
      <c r="D421">
        <v>0</v>
      </c>
      <c r="E421">
        <v>0</v>
      </c>
      <c r="F421" t="str">
        <f t="shared" si="8"/>
        <v>0-0</v>
      </c>
    </row>
    <row r="422" spans="1:6" hidden="1" x14ac:dyDescent="0.25">
      <c r="A422">
        <f>Old!AI422</f>
        <v>0</v>
      </c>
      <c r="B422" t="str">
        <f>Old!AS422</f>
        <v>PreSeason</v>
      </c>
      <c r="C422" t="str">
        <f>Old!BF422</f>
        <v>Pending</v>
      </c>
      <c r="D422">
        <v>0</v>
      </c>
      <c r="E422">
        <v>0</v>
      </c>
      <c r="F422" t="str">
        <f t="shared" si="8"/>
        <v>0-0</v>
      </c>
    </row>
    <row r="423" spans="1:6" hidden="1" x14ac:dyDescent="0.25">
      <c r="A423">
        <f>Old!AI423</f>
        <v>0</v>
      </c>
      <c r="B423" t="str">
        <f>Old!AS423</f>
        <v>PreSeason</v>
      </c>
      <c r="C423" t="str">
        <f>Old!BF423</f>
        <v>Pending</v>
      </c>
      <c r="D423">
        <v>0</v>
      </c>
      <c r="E423">
        <v>0</v>
      </c>
      <c r="F423" t="str">
        <f t="shared" si="8"/>
        <v>0-0</v>
      </c>
    </row>
    <row r="424" spans="1:6" hidden="1" x14ac:dyDescent="0.25">
      <c r="A424">
        <f>Old!AI424</f>
        <v>0</v>
      </c>
      <c r="B424" t="str">
        <f>Old!AS424</f>
        <v>PreSeason</v>
      </c>
      <c r="C424" t="str">
        <f>Old!BF424</f>
        <v>Pending</v>
      </c>
      <c r="D424">
        <v>0</v>
      </c>
      <c r="E424">
        <v>0</v>
      </c>
      <c r="F424" t="str">
        <f t="shared" si="8"/>
        <v>0-0</v>
      </c>
    </row>
    <row r="425" spans="1:6" hidden="1" x14ac:dyDescent="0.25">
      <c r="A425">
        <f>Old!AI425</f>
        <v>0</v>
      </c>
      <c r="B425" t="str">
        <f>Old!AS425</f>
        <v>PreSeason</v>
      </c>
      <c r="C425" t="str">
        <f>Old!BF425</f>
        <v>Pending</v>
      </c>
      <c r="D425">
        <v>0</v>
      </c>
      <c r="E425">
        <v>0</v>
      </c>
      <c r="F425" t="str">
        <f t="shared" si="8"/>
        <v>0-0</v>
      </c>
    </row>
    <row r="426" spans="1:6" hidden="1" x14ac:dyDescent="0.25">
      <c r="A426">
        <f>Old!AI426</f>
        <v>0</v>
      </c>
      <c r="B426" t="str">
        <f>Old!AS426</f>
        <v>PreSeason</v>
      </c>
      <c r="C426" t="str">
        <f>Old!BF426</f>
        <v>Pending</v>
      </c>
      <c r="D426">
        <v>0</v>
      </c>
      <c r="E426">
        <v>0</v>
      </c>
      <c r="F426" t="str">
        <f t="shared" si="8"/>
        <v>0-0</v>
      </c>
    </row>
    <row r="427" spans="1:6" hidden="1" x14ac:dyDescent="0.25">
      <c r="A427">
        <f>Old!AI427</f>
        <v>0</v>
      </c>
      <c r="B427" t="str">
        <f>Old!AS427</f>
        <v>PreSeason</v>
      </c>
      <c r="C427" t="str">
        <f>Old!BF427</f>
        <v>Pending</v>
      </c>
      <c r="D427">
        <v>0</v>
      </c>
      <c r="E427">
        <v>0</v>
      </c>
      <c r="F427" t="str">
        <f t="shared" si="8"/>
        <v>0-0</v>
      </c>
    </row>
    <row r="428" spans="1:6" hidden="1" x14ac:dyDescent="0.25">
      <c r="A428">
        <f>Old!AI428</f>
        <v>0</v>
      </c>
      <c r="B428" t="str">
        <f>Old!AS428</f>
        <v>PreSeason</v>
      </c>
      <c r="C428" t="str">
        <f>Old!BF428</f>
        <v>Pending</v>
      </c>
      <c r="D428">
        <v>0</v>
      </c>
      <c r="E428">
        <v>0</v>
      </c>
      <c r="F428" t="str">
        <f t="shared" si="8"/>
        <v>0-0</v>
      </c>
    </row>
    <row r="429" spans="1:6" hidden="1" x14ac:dyDescent="0.25">
      <c r="A429">
        <f>Old!AI429</f>
        <v>0</v>
      </c>
      <c r="B429" t="str">
        <f>Old!AS429</f>
        <v>PreSeason</v>
      </c>
      <c r="C429" t="str">
        <f>Old!BF429</f>
        <v>Pending</v>
      </c>
      <c r="D429">
        <v>0</v>
      </c>
      <c r="E429">
        <v>0</v>
      </c>
      <c r="F429" t="str">
        <f t="shared" si="8"/>
        <v>0-0</v>
      </c>
    </row>
    <row r="430" spans="1:6" hidden="1" x14ac:dyDescent="0.25">
      <c r="A430">
        <f>Old!AI430</f>
        <v>0</v>
      </c>
      <c r="B430" t="str">
        <f>Old!AS430</f>
        <v>PreSeason</v>
      </c>
      <c r="C430" t="str">
        <f>Old!BF430</f>
        <v>Pending</v>
      </c>
      <c r="D430">
        <v>0</v>
      </c>
      <c r="E430">
        <v>0</v>
      </c>
      <c r="F430" t="str">
        <f t="shared" si="8"/>
        <v>0-0</v>
      </c>
    </row>
  </sheetData>
  <autoFilter ref="A1:F430" xr:uid="{412E1CCE-71BA-419F-8CDA-41F5A3CFF651}">
    <filterColumn colId="0">
      <filters>
        <filter val="RegularSeason"/>
      </filters>
    </filterColumn>
    <sortState xmlns:xlrd2="http://schemas.microsoft.com/office/spreadsheetml/2017/richdata2" ref="A13:F301">
      <sortCondition ref="D2:D430"/>
      <sortCondition ref="E2:E4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880-BF40-4849-8703-3677ABED7CB2}">
  <dimension ref="A1:C38"/>
  <sheetViews>
    <sheetView workbookViewId="0">
      <selection activeCell="C2" sqref="C2"/>
    </sheetView>
  </sheetViews>
  <sheetFormatPr defaultRowHeight="15.75" x14ac:dyDescent="0.25"/>
  <cols>
    <col min="1" max="1" width="11.5" bestFit="1" customWidth="1"/>
    <col min="3" max="3" width="8.875" bestFit="1" customWidth="1"/>
  </cols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 t="s">
        <v>173</v>
      </c>
      <c r="B2">
        <v>0</v>
      </c>
      <c r="C2" t="s">
        <v>451</v>
      </c>
    </row>
    <row r="3" spans="1:3" x14ac:dyDescent="0.25">
      <c r="A3" t="s">
        <v>149</v>
      </c>
      <c r="B3">
        <v>1</v>
      </c>
      <c r="C3" t="s">
        <v>452</v>
      </c>
    </row>
    <row r="4" spans="1:3" x14ac:dyDescent="0.25">
      <c r="A4" t="s">
        <v>165</v>
      </c>
      <c r="B4">
        <v>2</v>
      </c>
      <c r="C4" t="s">
        <v>453</v>
      </c>
    </row>
    <row r="5" spans="1:3" x14ac:dyDescent="0.25">
      <c r="A5" t="s">
        <v>153</v>
      </c>
      <c r="B5">
        <v>3</v>
      </c>
      <c r="C5" t="s">
        <v>454</v>
      </c>
    </row>
    <row r="6" spans="1:3" x14ac:dyDescent="0.25">
      <c r="A6" t="s">
        <v>150</v>
      </c>
      <c r="B6">
        <v>4</v>
      </c>
      <c r="C6" t="s">
        <v>455</v>
      </c>
    </row>
    <row r="7" spans="1:3" x14ac:dyDescent="0.25">
      <c r="A7" t="s">
        <v>169</v>
      </c>
      <c r="B7">
        <v>5</v>
      </c>
      <c r="C7" t="s">
        <v>456</v>
      </c>
    </row>
    <row r="8" spans="1:3" x14ac:dyDescent="0.25">
      <c r="A8" t="s">
        <v>154</v>
      </c>
      <c r="B8">
        <v>6</v>
      </c>
      <c r="C8" t="s">
        <v>457</v>
      </c>
    </row>
    <row r="9" spans="1:3" x14ac:dyDescent="0.25">
      <c r="A9" t="s">
        <v>152</v>
      </c>
      <c r="B9">
        <v>7</v>
      </c>
      <c r="C9" t="s">
        <v>458</v>
      </c>
    </row>
    <row r="10" spans="1:3" x14ac:dyDescent="0.25">
      <c r="A10" t="s">
        <v>443</v>
      </c>
      <c r="B10">
        <v>8</v>
      </c>
      <c r="C10" t="s">
        <v>459</v>
      </c>
    </row>
    <row r="11" spans="1:3" x14ac:dyDescent="0.25">
      <c r="A11" t="s">
        <v>444</v>
      </c>
      <c r="B11">
        <v>9</v>
      </c>
      <c r="C11" t="s">
        <v>460</v>
      </c>
    </row>
    <row r="12" spans="1:3" x14ac:dyDescent="0.25">
      <c r="A12" t="s">
        <v>168</v>
      </c>
      <c r="B12">
        <v>10</v>
      </c>
      <c r="C12" t="s">
        <v>461</v>
      </c>
    </row>
    <row r="13" spans="1:3" x14ac:dyDescent="0.25">
      <c r="A13" t="s">
        <v>143</v>
      </c>
      <c r="B13">
        <v>11</v>
      </c>
      <c r="C13" t="s">
        <v>462</v>
      </c>
    </row>
    <row r="14" spans="1:3" x14ac:dyDescent="0.25">
      <c r="A14" t="s">
        <v>166</v>
      </c>
      <c r="B14">
        <v>12</v>
      </c>
      <c r="C14" t="s">
        <v>463</v>
      </c>
    </row>
    <row r="15" spans="1:3" x14ac:dyDescent="0.25">
      <c r="A15" t="s">
        <v>163</v>
      </c>
      <c r="B15">
        <v>13</v>
      </c>
      <c r="C15" t="s">
        <v>464</v>
      </c>
    </row>
    <row r="16" spans="1:3" x14ac:dyDescent="0.25">
      <c r="A16" t="s">
        <v>171</v>
      </c>
      <c r="B16">
        <v>14</v>
      </c>
      <c r="C16" t="s">
        <v>465</v>
      </c>
    </row>
    <row r="17" spans="1:3" x14ac:dyDescent="0.25">
      <c r="A17" t="s">
        <v>144</v>
      </c>
      <c r="B17">
        <v>15</v>
      </c>
      <c r="C17" t="s">
        <v>466</v>
      </c>
    </row>
    <row r="18" spans="1:3" x14ac:dyDescent="0.25">
      <c r="A18" t="s">
        <v>146</v>
      </c>
      <c r="B18">
        <v>16</v>
      </c>
      <c r="C18" t="s">
        <v>467</v>
      </c>
    </row>
    <row r="19" spans="1:3" x14ac:dyDescent="0.25">
      <c r="A19" t="s">
        <v>157</v>
      </c>
      <c r="B19">
        <v>17</v>
      </c>
      <c r="C19" t="s">
        <v>468</v>
      </c>
    </row>
    <row r="20" spans="1:3" x14ac:dyDescent="0.25">
      <c r="A20" t="s">
        <v>445</v>
      </c>
      <c r="B20">
        <v>18</v>
      </c>
      <c r="C20" t="s">
        <v>469</v>
      </c>
    </row>
    <row r="21" spans="1:3" x14ac:dyDescent="0.25">
      <c r="A21" t="s">
        <v>164</v>
      </c>
      <c r="B21">
        <v>19</v>
      </c>
      <c r="C21" t="s">
        <v>470</v>
      </c>
    </row>
    <row r="22" spans="1:3" x14ac:dyDescent="0.25">
      <c r="A22" t="s">
        <v>446</v>
      </c>
      <c r="B22">
        <v>20</v>
      </c>
      <c r="C22" t="s">
        <v>471</v>
      </c>
    </row>
    <row r="23" spans="1:3" x14ac:dyDescent="0.25">
      <c r="A23" t="s">
        <v>161</v>
      </c>
      <c r="B23">
        <v>21</v>
      </c>
      <c r="C23" t="s">
        <v>472</v>
      </c>
    </row>
    <row r="24" spans="1:3" x14ac:dyDescent="0.25">
      <c r="A24" t="s">
        <v>170</v>
      </c>
      <c r="B24">
        <v>22</v>
      </c>
      <c r="C24" t="s">
        <v>473</v>
      </c>
    </row>
    <row r="25" spans="1:3" x14ac:dyDescent="0.25">
      <c r="A25" t="s">
        <v>172</v>
      </c>
      <c r="B25">
        <v>23</v>
      </c>
      <c r="C25" t="s">
        <v>474</v>
      </c>
    </row>
    <row r="26" spans="1:3" x14ac:dyDescent="0.25">
      <c r="A26" t="s">
        <v>447</v>
      </c>
      <c r="B26">
        <v>24</v>
      </c>
      <c r="C26" t="s">
        <v>475</v>
      </c>
    </row>
    <row r="27" spans="1:3" x14ac:dyDescent="0.25">
      <c r="A27" t="s">
        <v>160</v>
      </c>
      <c r="B27">
        <v>25</v>
      </c>
      <c r="C27" t="s">
        <v>476</v>
      </c>
    </row>
    <row r="28" spans="1:3" x14ac:dyDescent="0.25">
      <c r="A28" t="s">
        <v>147</v>
      </c>
      <c r="B28">
        <v>26</v>
      </c>
      <c r="C28" t="s">
        <v>477</v>
      </c>
    </row>
    <row r="29" spans="1:3" x14ac:dyDescent="0.25">
      <c r="A29" t="s">
        <v>145</v>
      </c>
      <c r="B29">
        <v>27</v>
      </c>
      <c r="C29" t="s">
        <v>478</v>
      </c>
    </row>
    <row r="30" spans="1:3" x14ac:dyDescent="0.25">
      <c r="A30" t="s">
        <v>167</v>
      </c>
      <c r="B30">
        <v>28</v>
      </c>
      <c r="C30" t="s">
        <v>479</v>
      </c>
    </row>
    <row r="31" spans="1:3" x14ac:dyDescent="0.25">
      <c r="A31" t="s">
        <v>174</v>
      </c>
      <c r="B31">
        <v>29</v>
      </c>
      <c r="C31" t="s">
        <v>480</v>
      </c>
    </row>
    <row r="32" spans="1:3" x14ac:dyDescent="0.25">
      <c r="A32" t="s">
        <v>155</v>
      </c>
      <c r="B32">
        <v>30</v>
      </c>
      <c r="C32" t="s">
        <v>481</v>
      </c>
    </row>
    <row r="33" spans="1:3" x14ac:dyDescent="0.25">
      <c r="A33" t="s">
        <v>148</v>
      </c>
      <c r="B33">
        <v>31</v>
      </c>
      <c r="C33" t="s">
        <v>482</v>
      </c>
    </row>
    <row r="34" spans="1:3" x14ac:dyDescent="0.25">
      <c r="A34" t="s">
        <v>151</v>
      </c>
      <c r="B34">
        <v>32</v>
      </c>
      <c r="C34" t="s">
        <v>483</v>
      </c>
    </row>
    <row r="35" spans="1:3" x14ac:dyDescent="0.25">
      <c r="A35" t="s">
        <v>159</v>
      </c>
      <c r="B35">
        <v>33</v>
      </c>
      <c r="C35" t="s">
        <v>484</v>
      </c>
    </row>
    <row r="36" spans="1:3" x14ac:dyDescent="0.25">
      <c r="A36" t="s">
        <v>156</v>
      </c>
      <c r="B36">
        <v>34</v>
      </c>
      <c r="C36" t="s">
        <v>485</v>
      </c>
    </row>
    <row r="37" spans="1:3" x14ac:dyDescent="0.25">
      <c r="A37" t="s">
        <v>162</v>
      </c>
      <c r="B37">
        <v>35</v>
      </c>
      <c r="C37" t="s">
        <v>486</v>
      </c>
    </row>
    <row r="38" spans="1:3" x14ac:dyDescent="0.25">
      <c r="A38" t="s">
        <v>158</v>
      </c>
      <c r="B38">
        <v>36</v>
      </c>
      <c r="C3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Import Sheet</vt:lpstr>
      <vt:lpstr>Save as SeasonGame</vt:lpstr>
      <vt:lpstr>Old</vt:lpstr>
      <vt:lpstr>New</vt:lpstr>
      <vt:lpstr>PASTE IN</vt:lpstr>
      <vt:lpstr>Game Order</vt:lpstr>
      <vt:lpstr>TeamIdentity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2024-12-12T21:44:02Z</dcterms:created>
  <dcterms:modified xsi:type="dcterms:W3CDTF">2026-04-14T17:03:20Z</dcterms:modified>
</cp:coreProperties>
</file>